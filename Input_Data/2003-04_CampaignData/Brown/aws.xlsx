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tasets\science\ASAC_1158\Brown\"/>
    </mc:Choice>
  </mc:AlternateContent>
  <bookViews>
    <workbookView xWindow="-12" yWindow="-12" windowWidth="7656" windowHeight="10452" tabRatio="609" activeTab="1"/>
  </bookViews>
  <sheets>
    <sheet name="Temperature" sheetId="2" r:id="rId1"/>
    <sheet name="Wind Speed" sheetId="3" r:id="rId2"/>
    <sheet name="Wind direction" sheetId="4" r:id="rId3"/>
    <sheet name="Humidity" sheetId="5" r:id="rId4"/>
    <sheet name="Sonic Pinger" sheetId="6" r:id="rId5"/>
    <sheet name="AADATA" sheetId="1" r:id="rId6"/>
  </sheets>
  <calcPr calcId="162913"/>
</workbook>
</file>

<file path=xl/calcChain.xml><?xml version="1.0" encoding="utf-8"?>
<calcChain xmlns="http://schemas.openxmlformats.org/spreadsheetml/2006/main">
  <c r="H4" i="1" l="1"/>
  <c r="H5" i="1" s="1"/>
  <c r="I4" i="1"/>
  <c r="J4" i="1"/>
  <c r="K4" i="1"/>
  <c r="L4" i="1"/>
  <c r="M4" i="1"/>
  <c r="I5" i="1"/>
  <c r="J5" i="1"/>
  <c r="K5" i="1"/>
  <c r="L5" i="1"/>
  <c r="M5" i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I6" i="1"/>
  <c r="J6" i="1"/>
  <c r="K6" i="1"/>
  <c r="L6" i="1"/>
  <c r="M6" i="1"/>
  <c r="R6" i="1"/>
  <c r="I7" i="1"/>
  <c r="J7" i="1"/>
  <c r="K7" i="1"/>
  <c r="L7" i="1"/>
  <c r="R7" i="1" s="1"/>
  <c r="M7" i="1"/>
  <c r="I8" i="1"/>
  <c r="J8" i="1"/>
  <c r="K8" i="1"/>
  <c r="L8" i="1"/>
  <c r="M8" i="1"/>
  <c r="R8" i="1"/>
  <c r="I9" i="1"/>
  <c r="J9" i="1"/>
  <c r="K9" i="1"/>
  <c r="L9" i="1"/>
  <c r="M9" i="1"/>
  <c r="R9" i="1"/>
  <c r="I10" i="1"/>
  <c r="J10" i="1"/>
  <c r="K10" i="1"/>
  <c r="L10" i="1"/>
  <c r="R10" i="1" s="1"/>
  <c r="M10" i="1"/>
  <c r="I11" i="1"/>
  <c r="J11" i="1"/>
  <c r="K11" i="1"/>
  <c r="L11" i="1"/>
  <c r="R11" i="1" s="1"/>
  <c r="M11" i="1"/>
  <c r="I12" i="1"/>
  <c r="J12" i="1"/>
  <c r="K12" i="1"/>
  <c r="L12" i="1"/>
  <c r="M12" i="1"/>
  <c r="R12" i="1"/>
  <c r="I13" i="1"/>
  <c r="J13" i="1"/>
  <c r="K13" i="1"/>
  <c r="L13" i="1"/>
  <c r="M13" i="1"/>
  <c r="R13" i="1"/>
  <c r="I14" i="1"/>
  <c r="J14" i="1"/>
  <c r="K14" i="1"/>
  <c r="L14" i="1"/>
  <c r="M14" i="1"/>
  <c r="R14" i="1"/>
  <c r="I15" i="1"/>
  <c r="J15" i="1"/>
  <c r="K15" i="1"/>
  <c r="L15" i="1"/>
  <c r="R15" i="1" s="1"/>
  <c r="M15" i="1"/>
  <c r="I16" i="1"/>
  <c r="J16" i="1"/>
  <c r="K16" i="1"/>
  <c r="L16" i="1"/>
  <c r="M16" i="1"/>
  <c r="R16" i="1"/>
  <c r="I17" i="1"/>
  <c r="J17" i="1"/>
  <c r="K17" i="1"/>
  <c r="L17" i="1"/>
  <c r="M17" i="1"/>
  <c r="R17" i="1"/>
  <c r="I18" i="1"/>
  <c r="J18" i="1"/>
  <c r="K18" i="1"/>
  <c r="L18" i="1"/>
  <c r="R18" i="1" s="1"/>
  <c r="M18" i="1"/>
  <c r="I19" i="1"/>
  <c r="J19" i="1"/>
  <c r="K19" i="1"/>
  <c r="L19" i="1"/>
  <c r="R19" i="1" s="1"/>
  <c r="M19" i="1"/>
  <c r="I20" i="1"/>
  <c r="J20" i="1"/>
  <c r="K20" i="1"/>
  <c r="L20" i="1"/>
  <c r="M20" i="1"/>
  <c r="R20" i="1"/>
  <c r="I21" i="1"/>
  <c r="J21" i="1"/>
  <c r="K21" i="1"/>
  <c r="L21" i="1"/>
  <c r="M21" i="1"/>
  <c r="R21" i="1"/>
  <c r="I22" i="1"/>
  <c r="J22" i="1"/>
  <c r="K22" i="1"/>
  <c r="L22" i="1"/>
  <c r="M22" i="1"/>
  <c r="R22" i="1"/>
  <c r="I23" i="1"/>
  <c r="J23" i="1"/>
  <c r="K23" i="1"/>
  <c r="L23" i="1"/>
  <c r="R23" i="1" s="1"/>
  <c r="M23" i="1"/>
  <c r="I24" i="1"/>
  <c r="J24" i="1"/>
  <c r="K24" i="1"/>
  <c r="L24" i="1"/>
  <c r="M24" i="1"/>
  <c r="R24" i="1"/>
  <c r="I25" i="1"/>
  <c r="J25" i="1"/>
  <c r="K25" i="1"/>
  <c r="L25" i="1"/>
  <c r="M25" i="1"/>
  <c r="R25" i="1"/>
  <c r="I26" i="1"/>
  <c r="J26" i="1"/>
  <c r="K26" i="1"/>
  <c r="L26" i="1"/>
  <c r="R26" i="1" s="1"/>
  <c r="M26" i="1"/>
  <c r="I27" i="1"/>
  <c r="J27" i="1"/>
  <c r="K27" i="1"/>
  <c r="L27" i="1"/>
  <c r="R27" i="1" s="1"/>
  <c r="M27" i="1"/>
  <c r="I28" i="1"/>
  <c r="J28" i="1"/>
  <c r="K28" i="1"/>
  <c r="L28" i="1"/>
  <c r="M28" i="1"/>
  <c r="R28" i="1"/>
  <c r="I29" i="1"/>
  <c r="J29" i="1"/>
  <c r="K29" i="1"/>
  <c r="L29" i="1"/>
  <c r="M29" i="1"/>
  <c r="R29" i="1"/>
  <c r="I30" i="1"/>
  <c r="J30" i="1"/>
  <c r="K30" i="1"/>
  <c r="L30" i="1"/>
  <c r="M30" i="1"/>
  <c r="R30" i="1"/>
  <c r="I31" i="1"/>
  <c r="J31" i="1"/>
  <c r="K31" i="1"/>
  <c r="L31" i="1"/>
  <c r="R31" i="1" s="1"/>
  <c r="M31" i="1"/>
  <c r="I32" i="1"/>
  <c r="J32" i="1"/>
  <c r="K32" i="1"/>
  <c r="L32" i="1"/>
  <c r="M32" i="1"/>
  <c r="R32" i="1"/>
  <c r="I33" i="1"/>
  <c r="J33" i="1"/>
  <c r="K33" i="1"/>
  <c r="L33" i="1"/>
  <c r="M33" i="1"/>
  <c r="R33" i="1"/>
  <c r="I34" i="1"/>
  <c r="J34" i="1"/>
  <c r="K34" i="1"/>
  <c r="L34" i="1"/>
  <c r="R34" i="1" s="1"/>
  <c r="M34" i="1"/>
  <c r="I35" i="1"/>
  <c r="J35" i="1"/>
  <c r="K35" i="1"/>
  <c r="L35" i="1"/>
  <c r="R35" i="1" s="1"/>
  <c r="M35" i="1"/>
  <c r="I36" i="1"/>
  <c r="J36" i="1"/>
  <c r="K36" i="1"/>
  <c r="L36" i="1"/>
  <c r="M36" i="1"/>
  <c r="R36" i="1"/>
  <c r="I37" i="1"/>
  <c r="J37" i="1"/>
  <c r="K37" i="1"/>
  <c r="L37" i="1"/>
  <c r="M37" i="1"/>
  <c r="R37" i="1"/>
  <c r="I38" i="1"/>
  <c r="J38" i="1"/>
  <c r="K38" i="1"/>
  <c r="L38" i="1"/>
  <c r="M38" i="1"/>
  <c r="R38" i="1"/>
  <c r="I39" i="1"/>
  <c r="J39" i="1"/>
  <c r="K39" i="1"/>
  <c r="L39" i="1"/>
  <c r="R39" i="1" s="1"/>
  <c r="M39" i="1"/>
  <c r="I40" i="1"/>
  <c r="J40" i="1"/>
  <c r="K40" i="1"/>
  <c r="L40" i="1"/>
  <c r="M40" i="1"/>
  <c r="R40" i="1"/>
  <c r="I41" i="1"/>
  <c r="J41" i="1"/>
  <c r="K41" i="1"/>
  <c r="L41" i="1"/>
  <c r="M41" i="1"/>
  <c r="R41" i="1"/>
  <c r="I42" i="1"/>
  <c r="J42" i="1"/>
  <c r="K42" i="1"/>
  <c r="L42" i="1"/>
  <c r="R42" i="1" s="1"/>
  <c r="M42" i="1"/>
  <c r="I43" i="1"/>
  <c r="J43" i="1"/>
  <c r="K43" i="1"/>
  <c r="L43" i="1"/>
  <c r="R43" i="1" s="1"/>
  <c r="M43" i="1"/>
  <c r="I44" i="1"/>
  <c r="J44" i="1"/>
  <c r="K44" i="1"/>
  <c r="L44" i="1"/>
  <c r="M44" i="1"/>
  <c r="R44" i="1"/>
  <c r="I45" i="1"/>
  <c r="J45" i="1"/>
  <c r="K45" i="1"/>
  <c r="L45" i="1"/>
  <c r="M45" i="1"/>
  <c r="R45" i="1"/>
  <c r="I46" i="1"/>
  <c r="J46" i="1"/>
  <c r="K46" i="1"/>
  <c r="L46" i="1"/>
  <c r="M46" i="1"/>
  <c r="R46" i="1"/>
  <c r="I47" i="1"/>
  <c r="J47" i="1"/>
  <c r="K47" i="1"/>
  <c r="L47" i="1"/>
  <c r="R47" i="1" s="1"/>
  <c r="M47" i="1"/>
  <c r="I48" i="1"/>
  <c r="J48" i="1"/>
  <c r="K48" i="1"/>
  <c r="L48" i="1"/>
  <c r="M48" i="1"/>
  <c r="R48" i="1"/>
  <c r="I49" i="1"/>
  <c r="J49" i="1"/>
  <c r="K49" i="1"/>
  <c r="L49" i="1"/>
  <c r="M49" i="1"/>
  <c r="R49" i="1"/>
  <c r="I50" i="1"/>
  <c r="J50" i="1"/>
  <c r="K50" i="1"/>
  <c r="L50" i="1"/>
  <c r="R50" i="1" s="1"/>
  <c r="M50" i="1"/>
  <c r="I51" i="1"/>
  <c r="J51" i="1"/>
  <c r="K51" i="1"/>
  <c r="L51" i="1"/>
  <c r="R51" i="1" s="1"/>
  <c r="M51" i="1"/>
  <c r="I52" i="1"/>
  <c r="J52" i="1"/>
  <c r="K52" i="1"/>
  <c r="L52" i="1"/>
  <c r="M52" i="1"/>
  <c r="R52" i="1"/>
  <c r="I53" i="1"/>
  <c r="J53" i="1"/>
  <c r="K53" i="1"/>
  <c r="L53" i="1"/>
  <c r="M53" i="1"/>
  <c r="R53" i="1"/>
  <c r="I54" i="1"/>
  <c r="J54" i="1"/>
  <c r="K54" i="1"/>
  <c r="L54" i="1"/>
  <c r="M54" i="1"/>
  <c r="R54" i="1"/>
  <c r="I55" i="1"/>
  <c r="J55" i="1"/>
  <c r="K55" i="1"/>
  <c r="L55" i="1"/>
  <c r="R55" i="1" s="1"/>
  <c r="M55" i="1"/>
  <c r="I56" i="1"/>
  <c r="J56" i="1"/>
  <c r="K56" i="1"/>
  <c r="L56" i="1"/>
  <c r="M56" i="1"/>
  <c r="R56" i="1"/>
  <c r="I57" i="1"/>
  <c r="J57" i="1"/>
  <c r="K57" i="1"/>
  <c r="L57" i="1"/>
  <c r="M57" i="1"/>
  <c r="R57" i="1"/>
  <c r="I58" i="1"/>
  <c r="J58" i="1"/>
  <c r="K58" i="1"/>
  <c r="L58" i="1"/>
  <c r="R58" i="1" s="1"/>
  <c r="M58" i="1"/>
  <c r="I59" i="1"/>
  <c r="J59" i="1"/>
  <c r="K59" i="1"/>
  <c r="L59" i="1"/>
  <c r="R59" i="1" s="1"/>
  <c r="M59" i="1"/>
  <c r="I60" i="1"/>
  <c r="J60" i="1"/>
  <c r="K60" i="1"/>
  <c r="L60" i="1"/>
  <c r="M60" i="1"/>
  <c r="R60" i="1"/>
  <c r="I61" i="1"/>
  <c r="J61" i="1"/>
  <c r="K61" i="1"/>
  <c r="L61" i="1"/>
  <c r="M61" i="1"/>
  <c r="R61" i="1"/>
  <c r="I62" i="1"/>
  <c r="J62" i="1"/>
  <c r="K62" i="1"/>
  <c r="L62" i="1"/>
  <c r="M62" i="1"/>
  <c r="R62" i="1"/>
  <c r="I63" i="1"/>
  <c r="J63" i="1"/>
  <c r="K63" i="1"/>
  <c r="L63" i="1"/>
  <c r="R63" i="1" s="1"/>
  <c r="M63" i="1"/>
  <c r="I64" i="1"/>
  <c r="J64" i="1"/>
  <c r="K64" i="1"/>
  <c r="L64" i="1"/>
  <c r="M64" i="1"/>
  <c r="R64" i="1"/>
  <c r="I65" i="1"/>
  <c r="J65" i="1"/>
  <c r="K65" i="1"/>
  <c r="L65" i="1"/>
  <c r="M65" i="1"/>
  <c r="R65" i="1"/>
  <c r="I66" i="1"/>
  <c r="J66" i="1"/>
  <c r="K66" i="1"/>
  <c r="L66" i="1"/>
  <c r="R66" i="1" s="1"/>
  <c r="M66" i="1"/>
  <c r="I67" i="1"/>
  <c r="J67" i="1"/>
  <c r="K67" i="1"/>
  <c r="L67" i="1"/>
  <c r="R67" i="1" s="1"/>
  <c r="M67" i="1"/>
  <c r="I68" i="1"/>
  <c r="J68" i="1"/>
  <c r="K68" i="1"/>
  <c r="L68" i="1"/>
  <c r="M68" i="1"/>
  <c r="R68" i="1"/>
  <c r="I69" i="1"/>
  <c r="J69" i="1"/>
  <c r="K69" i="1"/>
  <c r="L69" i="1"/>
  <c r="M69" i="1"/>
  <c r="R69" i="1"/>
  <c r="I70" i="1"/>
  <c r="J70" i="1"/>
  <c r="K70" i="1"/>
  <c r="L70" i="1"/>
  <c r="M70" i="1"/>
  <c r="R70" i="1"/>
  <c r="I71" i="1"/>
  <c r="J71" i="1"/>
  <c r="K71" i="1"/>
  <c r="L71" i="1"/>
  <c r="R71" i="1" s="1"/>
  <c r="M71" i="1"/>
  <c r="I72" i="1"/>
  <c r="J72" i="1"/>
  <c r="K72" i="1"/>
  <c r="L72" i="1"/>
  <c r="M72" i="1"/>
  <c r="R72" i="1"/>
  <c r="I73" i="1"/>
  <c r="J73" i="1"/>
  <c r="K73" i="1"/>
  <c r="L73" i="1"/>
  <c r="M73" i="1"/>
  <c r="R73" i="1"/>
  <c r="I74" i="1"/>
  <c r="J74" i="1"/>
  <c r="K74" i="1"/>
  <c r="L74" i="1"/>
  <c r="R74" i="1" s="1"/>
  <c r="M74" i="1"/>
  <c r="I75" i="1"/>
  <c r="J75" i="1"/>
  <c r="K75" i="1"/>
  <c r="L75" i="1"/>
  <c r="R75" i="1" s="1"/>
  <c r="M75" i="1"/>
  <c r="I76" i="1"/>
  <c r="J76" i="1"/>
  <c r="K76" i="1"/>
  <c r="L76" i="1"/>
  <c r="M76" i="1"/>
  <c r="R76" i="1"/>
  <c r="I77" i="1"/>
  <c r="J77" i="1"/>
  <c r="K77" i="1"/>
  <c r="L77" i="1"/>
  <c r="M77" i="1"/>
  <c r="R77" i="1"/>
  <c r="I78" i="1"/>
  <c r="J78" i="1"/>
  <c r="K78" i="1"/>
  <c r="L78" i="1"/>
  <c r="M78" i="1"/>
  <c r="R78" i="1"/>
  <c r="I79" i="1"/>
  <c r="J79" i="1"/>
  <c r="K79" i="1"/>
  <c r="L79" i="1"/>
  <c r="R79" i="1" s="1"/>
  <c r="M79" i="1"/>
  <c r="I80" i="1"/>
  <c r="J80" i="1"/>
  <c r="K80" i="1"/>
  <c r="L80" i="1"/>
  <c r="M80" i="1"/>
  <c r="R80" i="1"/>
  <c r="I81" i="1"/>
  <c r="J81" i="1"/>
  <c r="K81" i="1"/>
  <c r="L81" i="1"/>
  <c r="M81" i="1"/>
  <c r="R81" i="1"/>
  <c r="I82" i="1"/>
  <c r="J82" i="1"/>
  <c r="K82" i="1"/>
  <c r="L82" i="1"/>
  <c r="R82" i="1" s="1"/>
  <c r="M82" i="1"/>
  <c r="I83" i="1"/>
  <c r="J83" i="1"/>
  <c r="K83" i="1"/>
  <c r="L83" i="1"/>
  <c r="R83" i="1" s="1"/>
  <c r="M83" i="1"/>
  <c r="I84" i="1"/>
  <c r="J84" i="1"/>
  <c r="K84" i="1"/>
  <c r="L84" i="1"/>
  <c r="M84" i="1"/>
  <c r="R84" i="1"/>
  <c r="I85" i="1"/>
  <c r="J85" i="1"/>
  <c r="K85" i="1"/>
  <c r="L85" i="1"/>
  <c r="M85" i="1"/>
  <c r="R85" i="1"/>
  <c r="I86" i="1"/>
  <c r="J86" i="1"/>
  <c r="K86" i="1"/>
  <c r="L86" i="1"/>
  <c r="M86" i="1"/>
  <c r="R86" i="1"/>
  <c r="I87" i="1"/>
  <c r="J87" i="1"/>
  <c r="K87" i="1"/>
  <c r="L87" i="1"/>
  <c r="R87" i="1" s="1"/>
  <c r="M87" i="1"/>
  <c r="I88" i="1"/>
  <c r="J88" i="1"/>
  <c r="K88" i="1"/>
  <c r="L88" i="1"/>
  <c r="M88" i="1"/>
  <c r="R88" i="1"/>
  <c r="I89" i="1"/>
  <c r="J89" i="1"/>
  <c r="K89" i="1"/>
  <c r="L89" i="1"/>
  <c r="M89" i="1"/>
  <c r="R89" i="1"/>
  <c r="I90" i="1"/>
  <c r="J90" i="1"/>
  <c r="K90" i="1"/>
  <c r="L90" i="1"/>
  <c r="R90" i="1" s="1"/>
  <c r="M90" i="1"/>
  <c r="I91" i="1"/>
  <c r="J91" i="1"/>
  <c r="K91" i="1"/>
  <c r="L91" i="1"/>
  <c r="R91" i="1" s="1"/>
  <c r="M91" i="1"/>
  <c r="I92" i="1"/>
  <c r="J92" i="1"/>
  <c r="K92" i="1"/>
  <c r="L92" i="1"/>
  <c r="M92" i="1"/>
  <c r="R92" i="1"/>
  <c r="I93" i="1"/>
  <c r="J93" i="1"/>
  <c r="K93" i="1"/>
  <c r="L93" i="1"/>
  <c r="M93" i="1"/>
  <c r="R93" i="1"/>
  <c r="I94" i="1"/>
  <c r="J94" i="1"/>
  <c r="K94" i="1"/>
  <c r="L94" i="1"/>
  <c r="M94" i="1"/>
  <c r="R94" i="1"/>
  <c r="I95" i="1"/>
  <c r="J95" i="1"/>
  <c r="K95" i="1"/>
  <c r="L95" i="1"/>
  <c r="R95" i="1" s="1"/>
  <c r="M95" i="1"/>
  <c r="I96" i="1"/>
  <c r="J96" i="1"/>
  <c r="K96" i="1"/>
  <c r="L96" i="1"/>
  <c r="M96" i="1"/>
  <c r="R96" i="1"/>
  <c r="I97" i="1"/>
  <c r="J97" i="1"/>
  <c r="K97" i="1"/>
  <c r="L97" i="1"/>
  <c r="M97" i="1"/>
  <c r="R97" i="1"/>
  <c r="I98" i="1"/>
  <c r="J98" i="1"/>
  <c r="K98" i="1"/>
  <c r="L98" i="1"/>
  <c r="R98" i="1" s="1"/>
  <c r="M98" i="1"/>
  <c r="I99" i="1"/>
  <c r="J99" i="1"/>
  <c r="K99" i="1"/>
  <c r="L99" i="1"/>
  <c r="R99" i="1" s="1"/>
  <c r="M99" i="1"/>
  <c r="I100" i="1"/>
  <c r="J100" i="1"/>
  <c r="K100" i="1"/>
  <c r="L100" i="1"/>
  <c r="M100" i="1"/>
  <c r="R100" i="1"/>
  <c r="I101" i="1"/>
  <c r="J101" i="1"/>
  <c r="K101" i="1"/>
  <c r="L101" i="1"/>
  <c r="M101" i="1"/>
  <c r="R101" i="1"/>
  <c r="I102" i="1"/>
  <c r="J102" i="1"/>
  <c r="K102" i="1"/>
  <c r="L102" i="1"/>
  <c r="M102" i="1"/>
  <c r="R102" i="1"/>
  <c r="I103" i="1"/>
  <c r="J103" i="1"/>
  <c r="K103" i="1"/>
  <c r="L103" i="1"/>
  <c r="R103" i="1" s="1"/>
  <c r="M103" i="1"/>
  <c r="I104" i="1"/>
  <c r="J104" i="1"/>
  <c r="K104" i="1"/>
  <c r="L104" i="1"/>
  <c r="M104" i="1"/>
  <c r="R104" i="1"/>
  <c r="I105" i="1"/>
  <c r="J105" i="1"/>
  <c r="K105" i="1"/>
  <c r="L105" i="1"/>
  <c r="M105" i="1"/>
  <c r="R105" i="1"/>
  <c r="I106" i="1"/>
  <c r="J106" i="1"/>
  <c r="K106" i="1"/>
  <c r="L106" i="1"/>
  <c r="R106" i="1" s="1"/>
  <c r="M106" i="1"/>
  <c r="I107" i="1"/>
  <c r="J107" i="1"/>
  <c r="K107" i="1"/>
  <c r="L107" i="1"/>
  <c r="R107" i="1" s="1"/>
  <c r="M107" i="1"/>
  <c r="I108" i="1"/>
  <c r="J108" i="1"/>
  <c r="K108" i="1"/>
  <c r="L108" i="1"/>
  <c r="M108" i="1"/>
  <c r="R108" i="1"/>
  <c r="I109" i="1"/>
  <c r="J109" i="1"/>
  <c r="K109" i="1"/>
  <c r="L109" i="1"/>
  <c r="M109" i="1"/>
  <c r="R109" i="1"/>
  <c r="I110" i="1"/>
  <c r="J110" i="1"/>
  <c r="K110" i="1"/>
  <c r="L110" i="1"/>
  <c r="M110" i="1"/>
  <c r="R110" i="1"/>
  <c r="I111" i="1"/>
  <c r="J111" i="1"/>
  <c r="K111" i="1"/>
  <c r="L111" i="1"/>
  <c r="R111" i="1" s="1"/>
  <c r="M111" i="1"/>
  <c r="I112" i="1"/>
  <c r="J112" i="1"/>
  <c r="K112" i="1"/>
  <c r="L112" i="1"/>
  <c r="M112" i="1"/>
  <c r="R112" i="1"/>
  <c r="I113" i="1"/>
  <c r="J113" i="1"/>
  <c r="K113" i="1"/>
  <c r="L113" i="1"/>
  <c r="M113" i="1"/>
  <c r="R113" i="1"/>
  <c r="I114" i="1"/>
  <c r="J114" i="1"/>
  <c r="K114" i="1"/>
  <c r="L114" i="1"/>
  <c r="R114" i="1" s="1"/>
  <c r="M114" i="1"/>
  <c r="I115" i="1"/>
  <c r="J115" i="1"/>
  <c r="K115" i="1"/>
  <c r="L115" i="1"/>
  <c r="R115" i="1" s="1"/>
  <c r="M115" i="1"/>
  <c r="I116" i="1"/>
  <c r="J116" i="1"/>
  <c r="K116" i="1"/>
  <c r="L116" i="1"/>
  <c r="M116" i="1"/>
  <c r="R116" i="1"/>
  <c r="I117" i="1"/>
  <c r="J117" i="1"/>
  <c r="K117" i="1"/>
  <c r="L117" i="1"/>
  <c r="M117" i="1"/>
  <c r="R117" i="1"/>
  <c r="I118" i="1"/>
  <c r="J118" i="1"/>
  <c r="K118" i="1"/>
  <c r="L118" i="1"/>
  <c r="M118" i="1"/>
  <c r="R118" i="1"/>
  <c r="I119" i="1"/>
  <c r="J119" i="1"/>
  <c r="K119" i="1"/>
  <c r="L119" i="1"/>
  <c r="R119" i="1" s="1"/>
  <c r="M119" i="1"/>
  <c r="I120" i="1"/>
  <c r="J120" i="1"/>
  <c r="K120" i="1"/>
  <c r="L120" i="1"/>
  <c r="M120" i="1"/>
  <c r="R120" i="1"/>
  <c r="I121" i="1"/>
  <c r="J121" i="1"/>
  <c r="K121" i="1"/>
  <c r="L121" i="1"/>
  <c r="M121" i="1"/>
  <c r="R121" i="1"/>
  <c r="I122" i="1"/>
  <c r="J122" i="1"/>
  <c r="K122" i="1"/>
  <c r="L122" i="1"/>
  <c r="R122" i="1" s="1"/>
  <c r="M122" i="1"/>
  <c r="I123" i="1"/>
  <c r="J123" i="1"/>
  <c r="K123" i="1"/>
  <c r="L123" i="1"/>
  <c r="R123" i="1" s="1"/>
  <c r="M123" i="1"/>
  <c r="I124" i="1"/>
  <c r="J124" i="1"/>
  <c r="K124" i="1"/>
  <c r="L124" i="1"/>
  <c r="M124" i="1"/>
  <c r="R124" i="1"/>
  <c r="I125" i="1"/>
  <c r="J125" i="1"/>
  <c r="K125" i="1"/>
  <c r="L125" i="1"/>
  <c r="M125" i="1"/>
  <c r="R125" i="1"/>
  <c r="I126" i="1"/>
  <c r="J126" i="1"/>
  <c r="K126" i="1"/>
  <c r="L126" i="1"/>
  <c r="M126" i="1"/>
  <c r="R126" i="1"/>
  <c r="I127" i="1"/>
  <c r="J127" i="1"/>
  <c r="K127" i="1"/>
  <c r="L127" i="1"/>
  <c r="R127" i="1" s="1"/>
  <c r="M127" i="1"/>
  <c r="I128" i="1"/>
  <c r="J128" i="1"/>
  <c r="K128" i="1"/>
  <c r="L128" i="1"/>
  <c r="M128" i="1"/>
  <c r="R128" i="1"/>
  <c r="I129" i="1"/>
  <c r="J129" i="1"/>
  <c r="K129" i="1"/>
  <c r="L129" i="1"/>
  <c r="M129" i="1"/>
  <c r="R129" i="1"/>
  <c r="I130" i="1"/>
  <c r="J130" i="1"/>
  <c r="K130" i="1"/>
  <c r="L130" i="1"/>
  <c r="R130" i="1" s="1"/>
  <c r="M130" i="1"/>
  <c r="I131" i="1"/>
  <c r="J131" i="1"/>
  <c r="K131" i="1"/>
  <c r="L131" i="1"/>
  <c r="R131" i="1" s="1"/>
  <c r="M131" i="1"/>
  <c r="I132" i="1"/>
  <c r="J132" i="1"/>
  <c r="K132" i="1"/>
  <c r="L132" i="1"/>
  <c r="M132" i="1"/>
  <c r="R132" i="1"/>
  <c r="I133" i="1"/>
  <c r="J133" i="1"/>
  <c r="K133" i="1"/>
  <c r="L133" i="1"/>
  <c r="M133" i="1"/>
  <c r="R133" i="1"/>
  <c r="I134" i="1"/>
  <c r="J134" i="1"/>
  <c r="K134" i="1"/>
  <c r="L134" i="1"/>
  <c r="M134" i="1"/>
  <c r="R134" i="1"/>
  <c r="I135" i="1"/>
  <c r="J135" i="1"/>
  <c r="K135" i="1"/>
  <c r="L135" i="1"/>
  <c r="R135" i="1" s="1"/>
  <c r="M135" i="1"/>
  <c r="I136" i="1"/>
  <c r="J136" i="1"/>
  <c r="K136" i="1"/>
  <c r="L136" i="1"/>
  <c r="M136" i="1"/>
  <c r="R136" i="1"/>
  <c r="I137" i="1"/>
  <c r="J137" i="1"/>
  <c r="K137" i="1"/>
  <c r="L137" i="1"/>
  <c r="M137" i="1"/>
  <c r="R137" i="1"/>
  <c r="I138" i="1"/>
  <c r="J138" i="1"/>
  <c r="K138" i="1"/>
  <c r="L138" i="1"/>
  <c r="R138" i="1" s="1"/>
  <c r="M138" i="1"/>
  <c r="I139" i="1"/>
  <c r="J139" i="1"/>
  <c r="K139" i="1"/>
  <c r="L139" i="1"/>
  <c r="R139" i="1" s="1"/>
  <c r="M139" i="1"/>
  <c r="I140" i="1"/>
  <c r="J140" i="1"/>
  <c r="K140" i="1"/>
  <c r="L140" i="1"/>
  <c r="M140" i="1"/>
  <c r="R140" i="1"/>
  <c r="I141" i="1"/>
  <c r="J141" i="1"/>
  <c r="K141" i="1"/>
  <c r="L141" i="1"/>
  <c r="M141" i="1"/>
  <c r="R141" i="1"/>
  <c r="I142" i="1"/>
  <c r="J142" i="1"/>
  <c r="K142" i="1"/>
  <c r="L142" i="1"/>
  <c r="M142" i="1"/>
  <c r="R142" i="1"/>
  <c r="I143" i="1"/>
  <c r="J143" i="1"/>
  <c r="K143" i="1"/>
  <c r="L143" i="1"/>
  <c r="R143" i="1" s="1"/>
  <c r="M143" i="1"/>
  <c r="I144" i="1"/>
  <c r="J144" i="1"/>
  <c r="K144" i="1"/>
  <c r="L144" i="1"/>
  <c r="M144" i="1"/>
  <c r="R144" i="1"/>
  <c r="I145" i="1"/>
  <c r="J145" i="1"/>
  <c r="K145" i="1"/>
  <c r="L145" i="1"/>
  <c r="M145" i="1"/>
  <c r="R145" i="1"/>
  <c r="I146" i="1"/>
  <c r="J146" i="1"/>
  <c r="K146" i="1"/>
  <c r="L146" i="1"/>
  <c r="R146" i="1" s="1"/>
  <c r="M146" i="1"/>
  <c r="I147" i="1"/>
  <c r="J147" i="1"/>
  <c r="K147" i="1"/>
  <c r="L147" i="1"/>
  <c r="R147" i="1" s="1"/>
  <c r="M147" i="1"/>
  <c r="I148" i="1"/>
  <c r="J148" i="1"/>
  <c r="K148" i="1"/>
  <c r="L148" i="1"/>
  <c r="M148" i="1"/>
  <c r="R148" i="1"/>
  <c r="I149" i="1"/>
  <c r="J149" i="1"/>
  <c r="K149" i="1"/>
  <c r="L149" i="1"/>
  <c r="M149" i="1"/>
  <c r="R149" i="1"/>
  <c r="I150" i="1"/>
  <c r="J150" i="1"/>
  <c r="K150" i="1"/>
  <c r="L150" i="1"/>
  <c r="M150" i="1"/>
  <c r="R150" i="1"/>
  <c r="I151" i="1"/>
  <c r="J151" i="1"/>
  <c r="K151" i="1"/>
  <c r="L151" i="1"/>
  <c r="R151" i="1" s="1"/>
  <c r="M151" i="1"/>
  <c r="I152" i="1"/>
  <c r="J152" i="1"/>
  <c r="K152" i="1"/>
  <c r="L152" i="1"/>
  <c r="M152" i="1"/>
  <c r="R152" i="1"/>
  <c r="I153" i="1"/>
  <c r="J153" i="1"/>
  <c r="K153" i="1"/>
  <c r="L153" i="1"/>
  <c r="M153" i="1"/>
  <c r="R153" i="1"/>
  <c r="I154" i="1"/>
  <c r="J154" i="1"/>
  <c r="K154" i="1"/>
  <c r="L154" i="1"/>
  <c r="R154" i="1" s="1"/>
  <c r="M154" i="1"/>
  <c r="I155" i="1"/>
  <c r="J155" i="1"/>
  <c r="K155" i="1"/>
  <c r="L155" i="1"/>
  <c r="R155" i="1" s="1"/>
  <c r="M155" i="1"/>
  <c r="I156" i="1"/>
  <c r="J156" i="1"/>
  <c r="K156" i="1"/>
  <c r="L156" i="1"/>
  <c r="M156" i="1"/>
  <c r="R156" i="1"/>
  <c r="I157" i="1"/>
  <c r="J157" i="1"/>
  <c r="K157" i="1"/>
  <c r="L157" i="1"/>
  <c r="M157" i="1"/>
  <c r="R157" i="1"/>
  <c r="I158" i="1"/>
  <c r="J158" i="1"/>
  <c r="K158" i="1"/>
  <c r="L158" i="1"/>
  <c r="M158" i="1"/>
  <c r="R158" i="1"/>
  <c r="I159" i="1"/>
  <c r="J159" i="1"/>
  <c r="K159" i="1"/>
  <c r="L159" i="1"/>
  <c r="R159" i="1" s="1"/>
  <c r="M159" i="1"/>
  <c r="I160" i="1"/>
  <c r="J160" i="1"/>
  <c r="K160" i="1"/>
  <c r="L160" i="1"/>
  <c r="M160" i="1"/>
  <c r="R160" i="1"/>
  <c r="I161" i="1"/>
  <c r="J161" i="1"/>
  <c r="K161" i="1"/>
  <c r="L161" i="1"/>
  <c r="M161" i="1"/>
  <c r="R161" i="1"/>
  <c r="I162" i="1"/>
  <c r="J162" i="1"/>
  <c r="K162" i="1"/>
  <c r="L162" i="1"/>
  <c r="R162" i="1" s="1"/>
  <c r="M162" i="1"/>
  <c r="I163" i="1"/>
  <c r="J163" i="1"/>
  <c r="K163" i="1"/>
  <c r="L163" i="1"/>
  <c r="R163" i="1" s="1"/>
  <c r="M163" i="1"/>
  <c r="I164" i="1"/>
  <c r="J164" i="1"/>
  <c r="K164" i="1"/>
  <c r="L164" i="1"/>
  <c r="M164" i="1"/>
  <c r="R164" i="1"/>
  <c r="I165" i="1"/>
  <c r="J165" i="1"/>
  <c r="K165" i="1"/>
  <c r="L165" i="1"/>
  <c r="M165" i="1"/>
  <c r="R165" i="1"/>
  <c r="I166" i="1"/>
  <c r="J166" i="1"/>
  <c r="K166" i="1"/>
  <c r="L166" i="1"/>
  <c r="M166" i="1"/>
  <c r="R166" i="1"/>
  <c r="I167" i="1"/>
  <c r="J167" i="1"/>
  <c r="K167" i="1"/>
  <c r="L167" i="1"/>
  <c r="R167" i="1" s="1"/>
  <c r="M167" i="1"/>
  <c r="I168" i="1"/>
  <c r="J168" i="1"/>
  <c r="K168" i="1"/>
  <c r="L168" i="1"/>
  <c r="M168" i="1"/>
  <c r="R168" i="1"/>
  <c r="I169" i="1"/>
  <c r="J169" i="1"/>
  <c r="K169" i="1"/>
  <c r="L169" i="1"/>
  <c r="M169" i="1"/>
  <c r="R169" i="1"/>
  <c r="I170" i="1"/>
  <c r="J170" i="1"/>
  <c r="K170" i="1"/>
  <c r="L170" i="1"/>
  <c r="R170" i="1" s="1"/>
  <c r="M170" i="1"/>
  <c r="I171" i="1"/>
  <c r="J171" i="1"/>
  <c r="K171" i="1"/>
  <c r="L171" i="1"/>
  <c r="R171" i="1" s="1"/>
  <c r="M171" i="1"/>
  <c r="I172" i="1"/>
  <c r="J172" i="1"/>
  <c r="K172" i="1"/>
  <c r="L172" i="1"/>
  <c r="M172" i="1"/>
  <c r="R172" i="1"/>
  <c r="I173" i="1"/>
  <c r="J173" i="1"/>
  <c r="K173" i="1"/>
  <c r="L173" i="1"/>
  <c r="M173" i="1"/>
  <c r="R173" i="1"/>
  <c r="I174" i="1"/>
  <c r="J174" i="1"/>
  <c r="K174" i="1"/>
  <c r="L174" i="1"/>
  <c r="M174" i="1"/>
  <c r="R174" i="1"/>
  <c r="I175" i="1"/>
  <c r="J175" i="1"/>
  <c r="K175" i="1"/>
  <c r="L175" i="1"/>
  <c r="R175" i="1" s="1"/>
  <c r="M175" i="1"/>
  <c r="I176" i="1"/>
  <c r="J176" i="1"/>
  <c r="K176" i="1"/>
  <c r="L176" i="1"/>
  <c r="M176" i="1"/>
  <c r="R176" i="1"/>
  <c r="I177" i="1"/>
  <c r="J177" i="1"/>
  <c r="K177" i="1"/>
  <c r="L177" i="1"/>
  <c r="M177" i="1"/>
  <c r="R177" i="1"/>
  <c r="I178" i="1"/>
  <c r="J178" i="1"/>
  <c r="K178" i="1"/>
  <c r="L178" i="1"/>
  <c r="R178" i="1" s="1"/>
  <c r="M178" i="1"/>
  <c r="I179" i="1"/>
  <c r="J179" i="1"/>
  <c r="K179" i="1"/>
  <c r="L179" i="1"/>
  <c r="R179" i="1" s="1"/>
  <c r="M179" i="1"/>
  <c r="I180" i="1"/>
  <c r="J180" i="1"/>
  <c r="K180" i="1"/>
  <c r="L180" i="1"/>
  <c r="M180" i="1"/>
  <c r="R180" i="1"/>
  <c r="I181" i="1"/>
  <c r="J181" i="1"/>
  <c r="K181" i="1"/>
  <c r="L181" i="1"/>
  <c r="M181" i="1"/>
  <c r="R181" i="1"/>
  <c r="I182" i="1"/>
  <c r="J182" i="1"/>
  <c r="K182" i="1"/>
  <c r="L182" i="1"/>
  <c r="M182" i="1"/>
  <c r="R182" i="1"/>
  <c r="I183" i="1"/>
  <c r="J183" i="1"/>
  <c r="K183" i="1"/>
  <c r="L183" i="1"/>
  <c r="R183" i="1" s="1"/>
  <c r="M183" i="1"/>
  <c r="I184" i="1"/>
  <c r="J184" i="1"/>
  <c r="K184" i="1"/>
  <c r="L184" i="1"/>
  <c r="M184" i="1"/>
  <c r="R184" i="1"/>
  <c r="I185" i="1"/>
  <c r="J185" i="1"/>
  <c r="K185" i="1"/>
  <c r="L185" i="1"/>
  <c r="M185" i="1"/>
  <c r="R185" i="1"/>
  <c r="I186" i="1"/>
  <c r="J186" i="1"/>
  <c r="K186" i="1"/>
  <c r="L186" i="1"/>
  <c r="R186" i="1" s="1"/>
  <c r="M186" i="1"/>
  <c r="I187" i="1"/>
  <c r="J187" i="1"/>
  <c r="K187" i="1"/>
  <c r="L187" i="1"/>
  <c r="R187" i="1" s="1"/>
  <c r="M187" i="1"/>
  <c r="I188" i="1"/>
  <c r="J188" i="1"/>
  <c r="K188" i="1"/>
  <c r="L188" i="1"/>
  <c r="R188" i="1" s="1"/>
  <c r="M188" i="1"/>
  <c r="I189" i="1"/>
  <c r="J189" i="1"/>
  <c r="K189" i="1"/>
  <c r="L189" i="1"/>
  <c r="M189" i="1"/>
  <c r="R189" i="1"/>
  <c r="I190" i="1"/>
  <c r="J190" i="1"/>
  <c r="K190" i="1"/>
  <c r="L190" i="1"/>
  <c r="M190" i="1"/>
  <c r="R190" i="1"/>
  <c r="I191" i="1"/>
  <c r="J191" i="1"/>
  <c r="K191" i="1"/>
  <c r="L191" i="1"/>
  <c r="R191" i="1" s="1"/>
  <c r="M191" i="1"/>
  <c r="I192" i="1"/>
  <c r="J192" i="1"/>
  <c r="K192" i="1"/>
  <c r="L192" i="1"/>
  <c r="M192" i="1"/>
  <c r="R192" i="1"/>
  <c r="I193" i="1"/>
  <c r="J193" i="1"/>
  <c r="K193" i="1"/>
  <c r="L193" i="1"/>
  <c r="M193" i="1"/>
  <c r="R193" i="1"/>
  <c r="I194" i="1"/>
  <c r="J194" i="1"/>
  <c r="K194" i="1"/>
  <c r="L194" i="1"/>
  <c r="R194" i="1" s="1"/>
  <c r="M194" i="1"/>
  <c r="I195" i="1"/>
  <c r="J195" i="1"/>
  <c r="K195" i="1"/>
  <c r="L195" i="1"/>
  <c r="R195" i="1" s="1"/>
  <c r="M195" i="1"/>
  <c r="I196" i="1"/>
  <c r="J196" i="1"/>
  <c r="K196" i="1"/>
  <c r="L196" i="1"/>
  <c r="M196" i="1"/>
  <c r="R196" i="1"/>
  <c r="I197" i="1"/>
  <c r="J197" i="1"/>
  <c r="K197" i="1"/>
  <c r="L197" i="1"/>
  <c r="M197" i="1"/>
  <c r="R197" i="1"/>
  <c r="I198" i="1"/>
  <c r="J198" i="1"/>
  <c r="K198" i="1"/>
  <c r="L198" i="1"/>
  <c r="M198" i="1"/>
  <c r="R198" i="1"/>
  <c r="I199" i="1"/>
  <c r="J199" i="1"/>
  <c r="K199" i="1"/>
  <c r="L199" i="1"/>
  <c r="R199" i="1" s="1"/>
  <c r="M199" i="1"/>
  <c r="I200" i="1"/>
  <c r="J200" i="1"/>
  <c r="K200" i="1"/>
  <c r="L200" i="1"/>
  <c r="M200" i="1"/>
  <c r="R200" i="1"/>
  <c r="I201" i="1"/>
  <c r="J201" i="1"/>
  <c r="K201" i="1"/>
  <c r="L201" i="1"/>
  <c r="M201" i="1"/>
  <c r="R201" i="1"/>
  <c r="I202" i="1"/>
  <c r="J202" i="1"/>
  <c r="K202" i="1"/>
  <c r="L202" i="1"/>
  <c r="R202" i="1" s="1"/>
  <c r="M202" i="1"/>
  <c r="I203" i="1"/>
  <c r="J203" i="1"/>
  <c r="K203" i="1"/>
  <c r="L203" i="1"/>
  <c r="R203" i="1" s="1"/>
  <c r="M203" i="1"/>
  <c r="I204" i="1"/>
  <c r="J204" i="1"/>
  <c r="K204" i="1"/>
  <c r="L204" i="1"/>
  <c r="M204" i="1"/>
  <c r="R204" i="1"/>
  <c r="I205" i="1"/>
  <c r="J205" i="1"/>
  <c r="K205" i="1"/>
  <c r="L205" i="1"/>
  <c r="M205" i="1"/>
  <c r="R205" i="1"/>
  <c r="I206" i="1"/>
  <c r="J206" i="1"/>
  <c r="K206" i="1"/>
  <c r="L206" i="1"/>
  <c r="M206" i="1"/>
  <c r="R206" i="1"/>
  <c r="I207" i="1"/>
  <c r="J207" i="1"/>
  <c r="K207" i="1"/>
  <c r="L207" i="1"/>
  <c r="R207" i="1" s="1"/>
  <c r="M207" i="1"/>
  <c r="I208" i="1"/>
  <c r="J208" i="1"/>
  <c r="K208" i="1"/>
  <c r="L208" i="1"/>
  <c r="M208" i="1"/>
  <c r="R208" i="1"/>
  <c r="I209" i="1"/>
  <c r="J209" i="1"/>
  <c r="K209" i="1"/>
  <c r="L209" i="1"/>
  <c r="M209" i="1"/>
  <c r="R209" i="1"/>
  <c r="I210" i="1"/>
  <c r="J210" i="1"/>
  <c r="K210" i="1"/>
  <c r="L210" i="1"/>
  <c r="R210" i="1" s="1"/>
  <c r="M210" i="1"/>
  <c r="I211" i="1"/>
  <c r="J211" i="1"/>
  <c r="K211" i="1"/>
  <c r="L211" i="1"/>
  <c r="R211" i="1" s="1"/>
  <c r="M211" i="1"/>
  <c r="I212" i="1"/>
  <c r="J212" i="1"/>
  <c r="K212" i="1"/>
  <c r="L212" i="1"/>
  <c r="R212" i="1" s="1"/>
  <c r="M212" i="1"/>
  <c r="I213" i="1"/>
  <c r="J213" i="1"/>
  <c r="K213" i="1"/>
  <c r="L213" i="1"/>
  <c r="M213" i="1"/>
  <c r="R213" i="1"/>
  <c r="I214" i="1"/>
  <c r="J214" i="1"/>
  <c r="K214" i="1"/>
  <c r="L214" i="1"/>
  <c r="M214" i="1"/>
  <c r="R214" i="1"/>
  <c r="I215" i="1"/>
  <c r="J215" i="1"/>
  <c r="K215" i="1"/>
  <c r="L215" i="1"/>
  <c r="R215" i="1" s="1"/>
  <c r="M215" i="1"/>
  <c r="I216" i="1"/>
  <c r="J216" i="1"/>
  <c r="K216" i="1"/>
  <c r="L216" i="1"/>
  <c r="M216" i="1"/>
  <c r="R216" i="1"/>
  <c r="I217" i="1"/>
  <c r="J217" i="1"/>
  <c r="K217" i="1"/>
  <c r="L217" i="1"/>
  <c r="M217" i="1"/>
  <c r="R217" i="1"/>
  <c r="I218" i="1"/>
  <c r="J218" i="1"/>
  <c r="K218" i="1"/>
  <c r="L218" i="1"/>
  <c r="R218" i="1" s="1"/>
  <c r="M218" i="1"/>
  <c r="I219" i="1"/>
  <c r="J219" i="1"/>
  <c r="K219" i="1"/>
  <c r="L219" i="1"/>
  <c r="R219" i="1" s="1"/>
  <c r="M219" i="1"/>
  <c r="I220" i="1"/>
  <c r="J220" i="1"/>
  <c r="K220" i="1"/>
  <c r="L220" i="1"/>
  <c r="R220" i="1" s="1"/>
  <c r="M220" i="1"/>
  <c r="I221" i="1"/>
  <c r="J221" i="1"/>
  <c r="K221" i="1"/>
  <c r="L221" i="1"/>
  <c r="M221" i="1"/>
  <c r="R221" i="1"/>
  <c r="I222" i="1"/>
  <c r="J222" i="1"/>
  <c r="K222" i="1"/>
  <c r="L222" i="1"/>
  <c r="M222" i="1"/>
  <c r="R222" i="1"/>
  <c r="I223" i="1"/>
  <c r="J223" i="1"/>
  <c r="K223" i="1"/>
  <c r="L223" i="1"/>
  <c r="R223" i="1" s="1"/>
  <c r="M223" i="1"/>
  <c r="I224" i="1"/>
  <c r="J224" i="1"/>
  <c r="K224" i="1"/>
  <c r="L224" i="1"/>
  <c r="M224" i="1"/>
  <c r="R224" i="1"/>
  <c r="I225" i="1"/>
  <c r="J225" i="1"/>
  <c r="K225" i="1"/>
  <c r="L225" i="1"/>
  <c r="M225" i="1"/>
  <c r="R225" i="1"/>
  <c r="I226" i="1"/>
  <c r="J226" i="1"/>
  <c r="K226" i="1"/>
  <c r="L226" i="1"/>
  <c r="R226" i="1" s="1"/>
  <c r="M226" i="1"/>
  <c r="I227" i="1"/>
  <c r="J227" i="1"/>
  <c r="K227" i="1"/>
  <c r="L227" i="1"/>
  <c r="R227" i="1" s="1"/>
  <c r="M227" i="1"/>
  <c r="I228" i="1"/>
  <c r="J228" i="1"/>
  <c r="K228" i="1"/>
  <c r="L228" i="1"/>
  <c r="M228" i="1"/>
  <c r="R228" i="1"/>
  <c r="I229" i="1"/>
  <c r="J229" i="1"/>
  <c r="K229" i="1"/>
  <c r="L229" i="1"/>
  <c r="M229" i="1"/>
  <c r="R229" i="1"/>
  <c r="I230" i="1"/>
  <c r="J230" i="1"/>
  <c r="K230" i="1"/>
  <c r="L230" i="1"/>
  <c r="R230" i="1" s="1"/>
  <c r="M230" i="1"/>
  <c r="I231" i="1"/>
  <c r="J231" i="1"/>
  <c r="K231" i="1"/>
  <c r="L231" i="1"/>
  <c r="R231" i="1" s="1"/>
  <c r="M231" i="1"/>
  <c r="I232" i="1"/>
  <c r="J232" i="1"/>
  <c r="K232" i="1"/>
  <c r="L232" i="1"/>
  <c r="M232" i="1"/>
  <c r="R232" i="1"/>
  <c r="I233" i="1"/>
  <c r="J233" i="1"/>
  <c r="K233" i="1"/>
  <c r="L233" i="1"/>
  <c r="M233" i="1"/>
  <c r="R233" i="1"/>
  <c r="I234" i="1"/>
  <c r="J234" i="1"/>
  <c r="K234" i="1"/>
  <c r="L234" i="1"/>
  <c r="R234" i="1" s="1"/>
  <c r="M234" i="1"/>
  <c r="I235" i="1"/>
  <c r="J235" i="1"/>
  <c r="K235" i="1"/>
  <c r="L235" i="1"/>
  <c r="R235" i="1" s="1"/>
  <c r="M235" i="1"/>
  <c r="I236" i="1"/>
  <c r="J236" i="1"/>
  <c r="K236" i="1"/>
  <c r="L236" i="1"/>
  <c r="M236" i="1"/>
  <c r="R236" i="1"/>
  <c r="I237" i="1"/>
  <c r="J237" i="1"/>
  <c r="K237" i="1"/>
  <c r="L237" i="1"/>
  <c r="M237" i="1"/>
  <c r="R237" i="1"/>
  <c r="I238" i="1"/>
  <c r="J238" i="1"/>
  <c r="K238" i="1"/>
  <c r="L238" i="1"/>
  <c r="M238" i="1"/>
  <c r="R238" i="1"/>
  <c r="I239" i="1"/>
  <c r="J239" i="1"/>
  <c r="K239" i="1"/>
  <c r="L239" i="1"/>
  <c r="R239" i="1" s="1"/>
  <c r="M239" i="1"/>
  <c r="I240" i="1"/>
  <c r="J240" i="1"/>
  <c r="K240" i="1"/>
  <c r="L240" i="1"/>
  <c r="M240" i="1"/>
  <c r="R240" i="1"/>
  <c r="I241" i="1"/>
  <c r="J241" i="1"/>
  <c r="K241" i="1"/>
  <c r="L241" i="1"/>
  <c r="M241" i="1"/>
  <c r="R241" i="1"/>
  <c r="I242" i="1"/>
  <c r="J242" i="1"/>
  <c r="K242" i="1"/>
  <c r="L242" i="1"/>
  <c r="R242" i="1" s="1"/>
  <c r="M242" i="1"/>
  <c r="I243" i="1"/>
  <c r="J243" i="1"/>
  <c r="K243" i="1"/>
  <c r="L243" i="1"/>
  <c r="R243" i="1" s="1"/>
  <c r="M243" i="1"/>
  <c r="I244" i="1"/>
  <c r="J244" i="1"/>
  <c r="K244" i="1"/>
  <c r="L244" i="1"/>
  <c r="R244" i="1" s="1"/>
  <c r="M244" i="1"/>
  <c r="I245" i="1"/>
  <c r="J245" i="1"/>
  <c r="K245" i="1"/>
  <c r="L245" i="1"/>
  <c r="M245" i="1"/>
  <c r="R245" i="1"/>
  <c r="I246" i="1"/>
  <c r="J246" i="1"/>
  <c r="K246" i="1"/>
  <c r="L246" i="1"/>
  <c r="M246" i="1"/>
  <c r="R246" i="1"/>
  <c r="I247" i="1"/>
  <c r="J247" i="1"/>
  <c r="K247" i="1"/>
  <c r="L247" i="1"/>
  <c r="R247" i="1" s="1"/>
  <c r="M247" i="1"/>
  <c r="I248" i="1"/>
  <c r="J248" i="1"/>
  <c r="K248" i="1"/>
  <c r="L248" i="1"/>
  <c r="M248" i="1"/>
  <c r="R248" i="1"/>
  <c r="I249" i="1"/>
  <c r="J249" i="1"/>
  <c r="K249" i="1"/>
  <c r="L249" i="1"/>
  <c r="M249" i="1"/>
  <c r="R249" i="1"/>
  <c r="I250" i="1"/>
  <c r="J250" i="1"/>
  <c r="K250" i="1"/>
  <c r="L250" i="1"/>
  <c r="R250" i="1" s="1"/>
  <c r="M250" i="1"/>
  <c r="I251" i="1"/>
  <c r="J251" i="1"/>
  <c r="K251" i="1"/>
  <c r="L251" i="1"/>
  <c r="R251" i="1" s="1"/>
  <c r="M251" i="1"/>
  <c r="I252" i="1"/>
  <c r="J252" i="1"/>
  <c r="K252" i="1"/>
  <c r="L252" i="1"/>
  <c r="R252" i="1" s="1"/>
  <c r="M252" i="1"/>
  <c r="I253" i="1"/>
  <c r="J253" i="1"/>
  <c r="K253" i="1"/>
  <c r="L253" i="1"/>
  <c r="M253" i="1"/>
  <c r="R253" i="1"/>
  <c r="I256" i="1"/>
  <c r="J256" i="1"/>
  <c r="K256" i="1"/>
  <c r="L256" i="1"/>
  <c r="M256" i="1"/>
  <c r="R256" i="1"/>
  <c r="I257" i="1"/>
  <c r="J257" i="1"/>
  <c r="K257" i="1"/>
  <c r="L257" i="1"/>
  <c r="M257" i="1"/>
  <c r="R257" i="1"/>
  <c r="I258" i="1"/>
  <c r="J258" i="1"/>
  <c r="K258" i="1"/>
  <c r="L258" i="1"/>
  <c r="M258" i="1"/>
  <c r="R258" i="1"/>
  <c r="I259" i="1"/>
  <c r="J259" i="1"/>
  <c r="K259" i="1"/>
  <c r="L259" i="1"/>
  <c r="R259" i="1" s="1"/>
  <c r="M259" i="1"/>
  <c r="I260" i="1"/>
  <c r="J260" i="1"/>
  <c r="K260" i="1"/>
  <c r="L260" i="1"/>
  <c r="M260" i="1"/>
  <c r="R260" i="1"/>
  <c r="I261" i="1"/>
  <c r="J261" i="1"/>
  <c r="K261" i="1"/>
  <c r="L261" i="1"/>
  <c r="M261" i="1"/>
  <c r="R261" i="1"/>
  <c r="I262" i="1"/>
  <c r="J262" i="1"/>
  <c r="K262" i="1"/>
  <c r="L262" i="1"/>
  <c r="R262" i="1" s="1"/>
  <c r="M262" i="1"/>
  <c r="I263" i="1"/>
  <c r="J263" i="1"/>
  <c r="K263" i="1"/>
  <c r="L263" i="1"/>
  <c r="R263" i="1" s="1"/>
  <c r="M263" i="1"/>
  <c r="I264" i="1"/>
  <c r="J264" i="1"/>
  <c r="K264" i="1"/>
  <c r="L264" i="1"/>
  <c r="R264" i="1" s="1"/>
  <c r="M264" i="1"/>
  <c r="I265" i="1"/>
  <c r="J265" i="1"/>
  <c r="K265" i="1"/>
  <c r="L265" i="1"/>
  <c r="M265" i="1"/>
  <c r="R265" i="1"/>
  <c r="I266" i="1"/>
  <c r="J266" i="1"/>
  <c r="K266" i="1"/>
  <c r="L266" i="1"/>
  <c r="M266" i="1"/>
  <c r="R266" i="1"/>
  <c r="I267" i="1"/>
  <c r="J267" i="1"/>
  <c r="K267" i="1"/>
  <c r="L267" i="1"/>
  <c r="R267" i="1" s="1"/>
  <c r="M267" i="1"/>
  <c r="I268" i="1"/>
  <c r="J268" i="1"/>
  <c r="K268" i="1"/>
  <c r="L268" i="1"/>
  <c r="M268" i="1"/>
  <c r="R268" i="1"/>
  <c r="I269" i="1"/>
  <c r="J269" i="1"/>
  <c r="K269" i="1"/>
  <c r="L269" i="1"/>
  <c r="M269" i="1"/>
  <c r="R269" i="1"/>
  <c r="I270" i="1"/>
  <c r="J270" i="1"/>
  <c r="K270" i="1"/>
  <c r="L270" i="1"/>
  <c r="R270" i="1" s="1"/>
  <c r="M270" i="1"/>
  <c r="I271" i="1"/>
  <c r="J271" i="1"/>
  <c r="K271" i="1"/>
  <c r="L271" i="1"/>
  <c r="R271" i="1" s="1"/>
  <c r="M271" i="1"/>
  <c r="I272" i="1"/>
  <c r="J272" i="1"/>
  <c r="K272" i="1"/>
  <c r="L272" i="1"/>
  <c r="M272" i="1"/>
  <c r="R272" i="1"/>
  <c r="I273" i="1"/>
  <c r="J273" i="1"/>
  <c r="K273" i="1"/>
  <c r="L273" i="1"/>
  <c r="M273" i="1"/>
  <c r="R273" i="1"/>
  <c r="I274" i="1"/>
  <c r="J274" i="1"/>
  <c r="K274" i="1"/>
  <c r="L274" i="1"/>
  <c r="R274" i="1" s="1"/>
  <c r="M274" i="1"/>
  <c r="I275" i="1"/>
  <c r="J275" i="1"/>
  <c r="K275" i="1"/>
  <c r="L275" i="1"/>
  <c r="R275" i="1" s="1"/>
  <c r="M275" i="1"/>
  <c r="I276" i="1"/>
  <c r="J276" i="1"/>
  <c r="K276" i="1"/>
  <c r="L276" i="1"/>
  <c r="M276" i="1"/>
  <c r="R276" i="1"/>
  <c r="I277" i="1"/>
  <c r="J277" i="1"/>
  <c r="K277" i="1"/>
  <c r="L277" i="1"/>
  <c r="M277" i="1"/>
  <c r="R277" i="1"/>
  <c r="I278" i="1"/>
  <c r="J278" i="1"/>
  <c r="K278" i="1"/>
  <c r="L278" i="1"/>
  <c r="R278" i="1" s="1"/>
  <c r="M278" i="1"/>
  <c r="I279" i="1"/>
  <c r="J279" i="1"/>
  <c r="K279" i="1"/>
  <c r="L279" i="1"/>
  <c r="R279" i="1" s="1"/>
  <c r="M279" i="1"/>
  <c r="I280" i="1"/>
  <c r="J280" i="1"/>
  <c r="K280" i="1"/>
  <c r="L280" i="1"/>
  <c r="M280" i="1"/>
  <c r="R280" i="1"/>
  <c r="I281" i="1"/>
  <c r="J281" i="1"/>
  <c r="K281" i="1"/>
  <c r="L281" i="1"/>
  <c r="M281" i="1"/>
  <c r="R281" i="1"/>
  <c r="I282" i="1"/>
  <c r="J282" i="1"/>
  <c r="K282" i="1"/>
  <c r="L282" i="1"/>
  <c r="M282" i="1"/>
  <c r="R282" i="1"/>
  <c r="I283" i="1"/>
  <c r="J283" i="1"/>
  <c r="K283" i="1"/>
  <c r="L283" i="1"/>
  <c r="R283" i="1" s="1"/>
  <c r="M283" i="1"/>
  <c r="I284" i="1"/>
  <c r="J284" i="1"/>
  <c r="K284" i="1"/>
  <c r="L284" i="1"/>
  <c r="M284" i="1"/>
  <c r="R284" i="1"/>
  <c r="I285" i="1"/>
  <c r="J285" i="1"/>
  <c r="K285" i="1"/>
  <c r="L285" i="1"/>
  <c r="M285" i="1"/>
  <c r="R285" i="1"/>
  <c r="I286" i="1"/>
  <c r="J286" i="1"/>
  <c r="K286" i="1"/>
  <c r="L286" i="1"/>
  <c r="R286" i="1" s="1"/>
  <c r="M286" i="1"/>
  <c r="I287" i="1"/>
  <c r="J287" i="1"/>
  <c r="K287" i="1"/>
  <c r="L287" i="1"/>
  <c r="R287" i="1" s="1"/>
  <c r="M287" i="1"/>
  <c r="I288" i="1"/>
  <c r="J288" i="1"/>
  <c r="K288" i="1"/>
  <c r="L288" i="1"/>
  <c r="M288" i="1"/>
  <c r="R288" i="1"/>
  <c r="I289" i="1"/>
  <c r="J289" i="1"/>
  <c r="K289" i="1"/>
  <c r="L289" i="1"/>
  <c r="M289" i="1"/>
  <c r="R289" i="1"/>
  <c r="I290" i="1"/>
  <c r="J290" i="1"/>
  <c r="K290" i="1"/>
  <c r="L290" i="1"/>
  <c r="R290" i="1" s="1"/>
  <c r="M290" i="1"/>
  <c r="I291" i="1"/>
  <c r="J291" i="1"/>
  <c r="K291" i="1"/>
  <c r="L291" i="1"/>
  <c r="R291" i="1" s="1"/>
  <c r="M291" i="1"/>
  <c r="I292" i="1"/>
  <c r="J292" i="1"/>
  <c r="K292" i="1"/>
  <c r="L292" i="1"/>
  <c r="M292" i="1"/>
  <c r="R292" i="1"/>
  <c r="I293" i="1"/>
  <c r="J293" i="1"/>
  <c r="K293" i="1"/>
  <c r="L293" i="1"/>
  <c r="M293" i="1"/>
  <c r="R293" i="1"/>
  <c r="I294" i="1"/>
  <c r="J294" i="1"/>
  <c r="K294" i="1"/>
  <c r="L294" i="1"/>
  <c r="R294" i="1" s="1"/>
  <c r="M294" i="1"/>
  <c r="I295" i="1"/>
  <c r="J295" i="1"/>
  <c r="K295" i="1"/>
  <c r="L295" i="1"/>
  <c r="R295" i="1" s="1"/>
  <c r="M295" i="1"/>
  <c r="I296" i="1"/>
  <c r="J296" i="1"/>
  <c r="K296" i="1"/>
  <c r="L296" i="1"/>
  <c r="R296" i="1" s="1"/>
  <c r="M296" i="1"/>
  <c r="I297" i="1"/>
  <c r="J297" i="1"/>
  <c r="K297" i="1"/>
  <c r="L297" i="1"/>
  <c r="M297" i="1"/>
  <c r="R297" i="1"/>
  <c r="I298" i="1"/>
  <c r="J298" i="1"/>
  <c r="K298" i="1"/>
  <c r="L298" i="1"/>
  <c r="M298" i="1"/>
  <c r="R298" i="1"/>
  <c r="I299" i="1"/>
  <c r="J299" i="1"/>
  <c r="K299" i="1"/>
  <c r="L299" i="1"/>
  <c r="R299" i="1" s="1"/>
  <c r="M299" i="1"/>
  <c r="I300" i="1"/>
  <c r="J300" i="1"/>
  <c r="K300" i="1"/>
  <c r="L300" i="1"/>
  <c r="M300" i="1"/>
  <c r="R300" i="1"/>
  <c r="I301" i="1"/>
  <c r="J301" i="1"/>
  <c r="K301" i="1"/>
  <c r="L301" i="1"/>
  <c r="M301" i="1"/>
  <c r="R301" i="1"/>
  <c r="I302" i="1"/>
  <c r="J302" i="1"/>
  <c r="K302" i="1"/>
  <c r="L302" i="1"/>
  <c r="R302" i="1" s="1"/>
  <c r="M302" i="1"/>
  <c r="I303" i="1"/>
  <c r="J303" i="1"/>
  <c r="K303" i="1"/>
  <c r="L303" i="1"/>
  <c r="R303" i="1" s="1"/>
  <c r="M303" i="1"/>
  <c r="I304" i="1"/>
  <c r="J304" i="1"/>
  <c r="K304" i="1"/>
  <c r="L304" i="1"/>
  <c r="M304" i="1"/>
  <c r="R304" i="1"/>
  <c r="I305" i="1"/>
  <c r="J305" i="1"/>
  <c r="K305" i="1"/>
  <c r="L305" i="1"/>
  <c r="M305" i="1"/>
  <c r="R305" i="1"/>
  <c r="I306" i="1"/>
  <c r="J306" i="1"/>
  <c r="K306" i="1"/>
  <c r="L306" i="1"/>
  <c r="R306" i="1" s="1"/>
  <c r="M306" i="1"/>
  <c r="I307" i="1"/>
  <c r="J307" i="1"/>
  <c r="K307" i="1"/>
  <c r="L307" i="1"/>
  <c r="R307" i="1" s="1"/>
  <c r="M307" i="1"/>
  <c r="I308" i="1"/>
  <c r="J308" i="1"/>
  <c r="K308" i="1"/>
  <c r="L308" i="1"/>
  <c r="M308" i="1"/>
  <c r="R308" i="1"/>
  <c r="I309" i="1"/>
  <c r="J309" i="1"/>
  <c r="K309" i="1"/>
  <c r="L309" i="1"/>
  <c r="M309" i="1"/>
  <c r="R309" i="1"/>
  <c r="I310" i="1"/>
  <c r="J310" i="1"/>
  <c r="K310" i="1"/>
  <c r="L310" i="1"/>
  <c r="R310" i="1" s="1"/>
  <c r="M310" i="1"/>
  <c r="I311" i="1"/>
  <c r="J311" i="1"/>
  <c r="K311" i="1"/>
  <c r="L311" i="1"/>
  <c r="R311" i="1" s="1"/>
  <c r="M311" i="1"/>
  <c r="I312" i="1"/>
  <c r="J312" i="1"/>
  <c r="K312" i="1"/>
  <c r="L312" i="1"/>
  <c r="M312" i="1"/>
  <c r="R312" i="1"/>
  <c r="I313" i="1"/>
  <c r="J313" i="1"/>
  <c r="K313" i="1"/>
  <c r="L313" i="1"/>
  <c r="M313" i="1"/>
  <c r="R313" i="1"/>
  <c r="I314" i="1"/>
  <c r="J314" i="1"/>
  <c r="K314" i="1"/>
  <c r="L314" i="1"/>
  <c r="M314" i="1"/>
  <c r="R314" i="1"/>
  <c r="I315" i="1"/>
  <c r="J315" i="1"/>
  <c r="K315" i="1"/>
  <c r="L315" i="1"/>
  <c r="R315" i="1" s="1"/>
  <c r="M315" i="1"/>
  <c r="I316" i="1"/>
  <c r="J316" i="1"/>
  <c r="K316" i="1"/>
  <c r="L316" i="1"/>
  <c r="M316" i="1"/>
  <c r="R316" i="1"/>
  <c r="I317" i="1"/>
  <c r="J317" i="1"/>
  <c r="K317" i="1"/>
  <c r="L317" i="1"/>
  <c r="M317" i="1"/>
  <c r="R317" i="1"/>
  <c r="I318" i="1"/>
  <c r="J318" i="1"/>
  <c r="K318" i="1"/>
  <c r="L318" i="1"/>
  <c r="R318" i="1" s="1"/>
  <c r="M318" i="1"/>
  <c r="I319" i="1"/>
  <c r="J319" i="1"/>
  <c r="K319" i="1"/>
  <c r="L319" i="1"/>
  <c r="R319" i="1" s="1"/>
  <c r="M319" i="1"/>
  <c r="I320" i="1"/>
  <c r="J320" i="1"/>
  <c r="K320" i="1"/>
  <c r="L320" i="1"/>
  <c r="M320" i="1"/>
  <c r="R320" i="1"/>
  <c r="I321" i="1"/>
  <c r="J321" i="1"/>
  <c r="K321" i="1"/>
  <c r="L321" i="1"/>
  <c r="M321" i="1"/>
  <c r="R321" i="1"/>
  <c r="I322" i="1"/>
  <c r="J322" i="1"/>
  <c r="K322" i="1"/>
  <c r="L322" i="1"/>
  <c r="R322" i="1" s="1"/>
  <c r="M322" i="1"/>
  <c r="I323" i="1"/>
  <c r="J323" i="1"/>
  <c r="K323" i="1"/>
  <c r="L323" i="1"/>
  <c r="R323" i="1" s="1"/>
  <c r="M323" i="1"/>
  <c r="I324" i="1"/>
  <c r="J324" i="1"/>
  <c r="K324" i="1"/>
  <c r="L324" i="1"/>
  <c r="M324" i="1"/>
  <c r="R324" i="1"/>
  <c r="I325" i="1"/>
  <c r="J325" i="1"/>
  <c r="K325" i="1"/>
  <c r="L325" i="1"/>
  <c r="M325" i="1"/>
  <c r="R325" i="1"/>
  <c r="I326" i="1"/>
  <c r="J326" i="1"/>
  <c r="K326" i="1"/>
  <c r="L326" i="1"/>
  <c r="R326" i="1" s="1"/>
  <c r="M326" i="1"/>
  <c r="I327" i="1"/>
  <c r="J327" i="1"/>
  <c r="K327" i="1"/>
  <c r="L327" i="1"/>
  <c r="R327" i="1" s="1"/>
  <c r="M327" i="1"/>
  <c r="I328" i="1"/>
  <c r="J328" i="1"/>
  <c r="K328" i="1"/>
  <c r="L328" i="1"/>
  <c r="R328" i="1" s="1"/>
  <c r="M328" i="1"/>
  <c r="I329" i="1"/>
  <c r="J329" i="1"/>
  <c r="K329" i="1"/>
  <c r="L329" i="1"/>
  <c r="M329" i="1"/>
  <c r="R329" i="1"/>
  <c r="I330" i="1"/>
  <c r="J330" i="1"/>
  <c r="K330" i="1"/>
  <c r="L330" i="1"/>
  <c r="M330" i="1"/>
  <c r="R330" i="1"/>
  <c r="I331" i="1"/>
  <c r="J331" i="1"/>
  <c r="K331" i="1"/>
  <c r="L331" i="1"/>
  <c r="R331" i="1" s="1"/>
  <c r="M331" i="1"/>
  <c r="I332" i="1"/>
  <c r="J332" i="1"/>
  <c r="K332" i="1"/>
  <c r="L332" i="1"/>
  <c r="M332" i="1"/>
  <c r="R332" i="1"/>
  <c r="I333" i="1"/>
  <c r="J333" i="1"/>
  <c r="K333" i="1"/>
  <c r="L333" i="1"/>
  <c r="M333" i="1"/>
  <c r="R333" i="1"/>
  <c r="I334" i="1"/>
  <c r="J334" i="1"/>
  <c r="K334" i="1"/>
  <c r="L334" i="1"/>
  <c r="R334" i="1" s="1"/>
  <c r="M334" i="1"/>
  <c r="I335" i="1"/>
  <c r="J335" i="1"/>
  <c r="K335" i="1"/>
  <c r="L335" i="1"/>
  <c r="R335" i="1" s="1"/>
  <c r="M335" i="1"/>
  <c r="I336" i="1"/>
  <c r="J336" i="1"/>
  <c r="K336" i="1"/>
  <c r="L336" i="1"/>
  <c r="M336" i="1"/>
  <c r="R336" i="1"/>
  <c r="I337" i="1"/>
  <c r="J337" i="1"/>
  <c r="K337" i="1"/>
  <c r="L337" i="1"/>
  <c r="M337" i="1"/>
  <c r="R337" i="1"/>
  <c r="I338" i="1"/>
  <c r="J338" i="1"/>
  <c r="K338" i="1"/>
  <c r="L338" i="1"/>
  <c r="R338" i="1" s="1"/>
  <c r="M338" i="1"/>
  <c r="I339" i="1"/>
  <c r="J339" i="1"/>
  <c r="K339" i="1"/>
  <c r="L339" i="1"/>
  <c r="R339" i="1" s="1"/>
  <c r="M339" i="1"/>
  <c r="I340" i="1"/>
  <c r="J340" i="1"/>
  <c r="K340" i="1"/>
  <c r="L340" i="1"/>
  <c r="M340" i="1"/>
  <c r="R340" i="1"/>
  <c r="I341" i="1"/>
  <c r="J341" i="1"/>
  <c r="K341" i="1"/>
  <c r="L341" i="1"/>
  <c r="M341" i="1"/>
  <c r="R341" i="1"/>
  <c r="I342" i="1"/>
  <c r="J342" i="1"/>
  <c r="K342" i="1"/>
  <c r="L342" i="1"/>
  <c r="R342" i="1" s="1"/>
  <c r="M342" i="1"/>
  <c r="I343" i="1"/>
  <c r="J343" i="1"/>
  <c r="K343" i="1"/>
  <c r="L343" i="1"/>
  <c r="R343" i="1" s="1"/>
  <c r="M343" i="1"/>
  <c r="I344" i="1"/>
  <c r="J344" i="1"/>
  <c r="K344" i="1"/>
  <c r="L344" i="1"/>
  <c r="M344" i="1"/>
  <c r="R344" i="1"/>
  <c r="I345" i="1"/>
  <c r="J345" i="1"/>
  <c r="K345" i="1"/>
  <c r="L345" i="1"/>
  <c r="M345" i="1"/>
  <c r="R345" i="1"/>
  <c r="I346" i="1"/>
  <c r="J346" i="1"/>
  <c r="K346" i="1"/>
  <c r="L346" i="1"/>
  <c r="M346" i="1"/>
  <c r="R346" i="1"/>
  <c r="I347" i="1"/>
  <c r="J347" i="1"/>
  <c r="K347" i="1"/>
  <c r="L347" i="1"/>
  <c r="R347" i="1" s="1"/>
  <c r="M347" i="1"/>
  <c r="I348" i="1"/>
  <c r="J348" i="1"/>
  <c r="K348" i="1"/>
  <c r="L348" i="1"/>
  <c r="M348" i="1"/>
  <c r="R348" i="1"/>
  <c r="I349" i="1"/>
  <c r="J349" i="1"/>
  <c r="K349" i="1"/>
  <c r="L349" i="1"/>
  <c r="M349" i="1"/>
  <c r="R349" i="1"/>
  <c r="I350" i="1"/>
  <c r="J350" i="1"/>
  <c r="K350" i="1"/>
  <c r="L350" i="1"/>
  <c r="R350" i="1" s="1"/>
  <c r="M350" i="1"/>
  <c r="I351" i="1"/>
  <c r="J351" i="1"/>
  <c r="K351" i="1"/>
  <c r="L351" i="1"/>
  <c r="R351" i="1" s="1"/>
  <c r="M351" i="1"/>
  <c r="I352" i="1"/>
  <c r="J352" i="1"/>
  <c r="K352" i="1"/>
  <c r="L352" i="1"/>
  <c r="M352" i="1"/>
  <c r="R352" i="1"/>
  <c r="I353" i="1"/>
  <c r="J353" i="1"/>
  <c r="K353" i="1"/>
  <c r="L353" i="1"/>
  <c r="M353" i="1"/>
  <c r="R353" i="1"/>
  <c r="I354" i="1"/>
  <c r="J354" i="1"/>
  <c r="K354" i="1"/>
  <c r="L354" i="1"/>
  <c r="M354" i="1"/>
  <c r="R354" i="1"/>
  <c r="I355" i="1"/>
  <c r="J355" i="1"/>
  <c r="K355" i="1"/>
  <c r="L355" i="1"/>
  <c r="R355" i="1" s="1"/>
  <c r="M355" i="1"/>
  <c r="I356" i="1"/>
  <c r="J356" i="1"/>
  <c r="K356" i="1"/>
  <c r="L356" i="1"/>
  <c r="M356" i="1"/>
  <c r="R356" i="1"/>
  <c r="I357" i="1"/>
  <c r="J357" i="1"/>
  <c r="K357" i="1"/>
  <c r="L357" i="1"/>
  <c r="M357" i="1"/>
  <c r="R357" i="1"/>
  <c r="I358" i="1"/>
  <c r="J358" i="1"/>
  <c r="K358" i="1"/>
  <c r="L358" i="1"/>
  <c r="R358" i="1" s="1"/>
  <c r="M358" i="1"/>
  <c r="I359" i="1"/>
  <c r="J359" i="1"/>
  <c r="K359" i="1"/>
  <c r="L359" i="1"/>
  <c r="R359" i="1" s="1"/>
  <c r="M359" i="1"/>
  <c r="I360" i="1"/>
  <c r="J360" i="1"/>
  <c r="K360" i="1"/>
  <c r="L360" i="1"/>
  <c r="M360" i="1"/>
  <c r="R360" i="1"/>
  <c r="I361" i="1"/>
  <c r="J361" i="1"/>
  <c r="K361" i="1"/>
  <c r="L361" i="1"/>
  <c r="M361" i="1"/>
  <c r="R361" i="1"/>
  <c r="I362" i="1"/>
  <c r="J362" i="1"/>
  <c r="K362" i="1"/>
  <c r="L362" i="1"/>
  <c r="M362" i="1"/>
  <c r="R362" i="1"/>
  <c r="I363" i="1"/>
  <c r="J363" i="1"/>
  <c r="K363" i="1"/>
  <c r="L363" i="1"/>
  <c r="R363" i="1" s="1"/>
  <c r="M363" i="1"/>
  <c r="I364" i="1"/>
  <c r="J364" i="1"/>
  <c r="K364" i="1"/>
  <c r="L364" i="1"/>
  <c r="M364" i="1"/>
  <c r="R364" i="1"/>
  <c r="I365" i="1"/>
  <c r="J365" i="1"/>
  <c r="K365" i="1"/>
  <c r="L365" i="1"/>
  <c r="M365" i="1"/>
  <c r="R365" i="1"/>
  <c r="I366" i="1"/>
  <c r="J366" i="1"/>
  <c r="K366" i="1"/>
  <c r="L366" i="1"/>
  <c r="R366" i="1" s="1"/>
  <c r="M366" i="1"/>
  <c r="I367" i="1"/>
  <c r="J367" i="1"/>
  <c r="K367" i="1"/>
  <c r="L367" i="1"/>
  <c r="R367" i="1" s="1"/>
  <c r="M367" i="1"/>
  <c r="I368" i="1"/>
  <c r="J368" i="1"/>
  <c r="K368" i="1"/>
  <c r="L368" i="1"/>
  <c r="M368" i="1"/>
  <c r="R368" i="1"/>
  <c r="I369" i="1"/>
  <c r="J369" i="1"/>
  <c r="K369" i="1"/>
  <c r="L369" i="1"/>
  <c r="M369" i="1"/>
  <c r="R369" i="1"/>
  <c r="I370" i="1"/>
  <c r="J370" i="1"/>
  <c r="K370" i="1"/>
  <c r="L370" i="1"/>
  <c r="M370" i="1"/>
  <c r="R370" i="1"/>
  <c r="I371" i="1"/>
  <c r="J371" i="1"/>
  <c r="K371" i="1"/>
  <c r="L371" i="1"/>
  <c r="R371" i="1" s="1"/>
  <c r="M371" i="1"/>
  <c r="I372" i="1"/>
  <c r="J372" i="1"/>
  <c r="K372" i="1"/>
  <c r="L372" i="1"/>
  <c r="M372" i="1"/>
  <c r="R372" i="1"/>
  <c r="I373" i="1"/>
  <c r="J373" i="1"/>
  <c r="K373" i="1"/>
  <c r="L373" i="1"/>
  <c r="M373" i="1"/>
  <c r="R373" i="1"/>
  <c r="I374" i="1"/>
  <c r="J374" i="1"/>
  <c r="K374" i="1"/>
  <c r="L374" i="1"/>
  <c r="R374" i="1" s="1"/>
  <c r="M374" i="1"/>
  <c r="I375" i="1"/>
  <c r="J375" i="1"/>
  <c r="K375" i="1"/>
  <c r="L375" i="1"/>
  <c r="R375" i="1" s="1"/>
  <c r="M375" i="1"/>
  <c r="I376" i="1"/>
  <c r="J376" i="1"/>
  <c r="K376" i="1"/>
  <c r="L376" i="1"/>
  <c r="M376" i="1"/>
  <c r="R376" i="1"/>
  <c r="I377" i="1"/>
  <c r="J377" i="1"/>
  <c r="K377" i="1"/>
  <c r="L377" i="1"/>
  <c r="M377" i="1"/>
  <c r="R377" i="1"/>
  <c r="I378" i="1"/>
  <c r="J378" i="1"/>
  <c r="K378" i="1"/>
  <c r="L378" i="1"/>
  <c r="M378" i="1"/>
  <c r="R378" i="1"/>
  <c r="I379" i="1"/>
  <c r="J379" i="1"/>
  <c r="K379" i="1"/>
  <c r="L379" i="1"/>
  <c r="R379" i="1" s="1"/>
  <c r="M379" i="1"/>
  <c r="I380" i="1"/>
  <c r="J380" i="1"/>
  <c r="K380" i="1"/>
  <c r="L380" i="1"/>
  <c r="M380" i="1"/>
  <c r="R380" i="1"/>
  <c r="I381" i="1"/>
  <c r="J381" i="1"/>
  <c r="K381" i="1"/>
  <c r="L381" i="1"/>
  <c r="M381" i="1"/>
  <c r="R381" i="1"/>
  <c r="I382" i="1"/>
  <c r="J382" i="1"/>
  <c r="K382" i="1"/>
  <c r="L382" i="1"/>
  <c r="R382" i="1" s="1"/>
  <c r="M382" i="1"/>
  <c r="I383" i="1"/>
  <c r="J383" i="1"/>
  <c r="K383" i="1"/>
  <c r="L383" i="1"/>
  <c r="R383" i="1" s="1"/>
  <c r="M383" i="1"/>
  <c r="I384" i="1"/>
  <c r="J384" i="1"/>
  <c r="K384" i="1"/>
  <c r="L384" i="1"/>
  <c r="M384" i="1"/>
  <c r="R384" i="1"/>
  <c r="I385" i="1"/>
  <c r="J385" i="1"/>
  <c r="K385" i="1"/>
  <c r="L385" i="1"/>
  <c r="M385" i="1"/>
  <c r="R385" i="1"/>
  <c r="I386" i="1"/>
  <c r="J386" i="1"/>
  <c r="K386" i="1"/>
  <c r="L386" i="1"/>
  <c r="M386" i="1"/>
  <c r="R386" i="1"/>
  <c r="I387" i="1"/>
  <c r="J387" i="1"/>
  <c r="K387" i="1"/>
  <c r="L387" i="1"/>
  <c r="R387" i="1" s="1"/>
  <c r="M387" i="1"/>
  <c r="I388" i="1"/>
  <c r="J388" i="1"/>
  <c r="K388" i="1"/>
  <c r="L388" i="1"/>
  <c r="M388" i="1"/>
  <c r="R388" i="1"/>
  <c r="I389" i="1"/>
  <c r="J389" i="1"/>
  <c r="K389" i="1"/>
  <c r="L389" i="1"/>
  <c r="M389" i="1"/>
  <c r="R389" i="1"/>
  <c r="I390" i="1"/>
  <c r="J390" i="1"/>
  <c r="K390" i="1"/>
  <c r="L390" i="1"/>
  <c r="R390" i="1" s="1"/>
  <c r="M390" i="1"/>
  <c r="I391" i="1"/>
  <c r="J391" i="1"/>
  <c r="K391" i="1"/>
  <c r="L391" i="1"/>
  <c r="R391" i="1" s="1"/>
  <c r="M391" i="1"/>
  <c r="I392" i="1"/>
  <c r="J392" i="1"/>
  <c r="K392" i="1"/>
  <c r="L392" i="1"/>
  <c r="M392" i="1"/>
  <c r="R392" i="1"/>
  <c r="I393" i="1"/>
  <c r="J393" i="1"/>
  <c r="K393" i="1"/>
  <c r="L393" i="1"/>
  <c r="M393" i="1"/>
  <c r="R393" i="1"/>
  <c r="I394" i="1"/>
  <c r="J394" i="1"/>
  <c r="K394" i="1"/>
  <c r="L394" i="1"/>
  <c r="M394" i="1"/>
  <c r="R394" i="1"/>
  <c r="I395" i="1"/>
  <c r="J395" i="1"/>
  <c r="K395" i="1"/>
  <c r="L395" i="1"/>
  <c r="R395" i="1" s="1"/>
  <c r="M395" i="1"/>
  <c r="I396" i="1"/>
  <c r="J396" i="1"/>
  <c r="K396" i="1"/>
  <c r="L396" i="1"/>
  <c r="M396" i="1"/>
  <c r="R396" i="1"/>
  <c r="I397" i="1"/>
  <c r="J397" i="1"/>
  <c r="K397" i="1"/>
  <c r="L397" i="1"/>
  <c r="M397" i="1"/>
  <c r="R397" i="1"/>
  <c r="I398" i="1"/>
  <c r="J398" i="1"/>
  <c r="K398" i="1"/>
  <c r="L398" i="1"/>
  <c r="R398" i="1" s="1"/>
  <c r="M398" i="1"/>
  <c r="I399" i="1"/>
  <c r="J399" i="1"/>
  <c r="K399" i="1"/>
  <c r="L399" i="1"/>
  <c r="R399" i="1" s="1"/>
  <c r="M399" i="1"/>
  <c r="I400" i="1"/>
  <c r="J400" i="1"/>
  <c r="K400" i="1"/>
  <c r="L400" i="1"/>
  <c r="M400" i="1"/>
  <c r="R400" i="1"/>
  <c r="I401" i="1"/>
  <c r="J401" i="1"/>
  <c r="K401" i="1"/>
  <c r="L401" i="1"/>
  <c r="M401" i="1"/>
  <c r="R401" i="1"/>
  <c r="I402" i="1"/>
  <c r="J402" i="1"/>
  <c r="K402" i="1"/>
  <c r="L402" i="1"/>
  <c r="M402" i="1"/>
  <c r="R402" i="1"/>
  <c r="I403" i="1"/>
  <c r="J403" i="1"/>
  <c r="K403" i="1"/>
  <c r="L403" i="1"/>
  <c r="R403" i="1" s="1"/>
  <c r="M403" i="1"/>
  <c r="I404" i="1"/>
  <c r="J404" i="1"/>
  <c r="K404" i="1"/>
  <c r="L404" i="1"/>
  <c r="M404" i="1"/>
  <c r="R404" i="1"/>
  <c r="I405" i="1"/>
  <c r="J405" i="1"/>
  <c r="K405" i="1"/>
  <c r="L405" i="1"/>
  <c r="M405" i="1"/>
  <c r="R405" i="1"/>
  <c r="I406" i="1"/>
  <c r="J406" i="1"/>
  <c r="K406" i="1"/>
  <c r="L406" i="1"/>
  <c r="R406" i="1" s="1"/>
  <c r="M406" i="1"/>
  <c r="I407" i="1"/>
  <c r="J407" i="1"/>
  <c r="K407" i="1"/>
  <c r="L407" i="1"/>
  <c r="R407" i="1" s="1"/>
  <c r="M407" i="1"/>
  <c r="I408" i="1"/>
  <c r="J408" i="1"/>
  <c r="K408" i="1"/>
  <c r="L408" i="1"/>
  <c r="M408" i="1"/>
  <c r="R408" i="1"/>
  <c r="I409" i="1"/>
  <c r="J409" i="1"/>
  <c r="K409" i="1"/>
  <c r="L409" i="1"/>
  <c r="M409" i="1"/>
  <c r="R409" i="1"/>
  <c r="I410" i="1"/>
  <c r="J410" i="1"/>
  <c r="K410" i="1"/>
  <c r="L410" i="1"/>
  <c r="M410" i="1"/>
  <c r="R410" i="1"/>
  <c r="I411" i="1"/>
  <c r="J411" i="1"/>
  <c r="K411" i="1"/>
  <c r="L411" i="1"/>
  <c r="R411" i="1" s="1"/>
  <c r="M411" i="1"/>
  <c r="I412" i="1"/>
  <c r="J412" i="1"/>
  <c r="K412" i="1"/>
  <c r="L412" i="1"/>
  <c r="M412" i="1"/>
  <c r="R412" i="1"/>
  <c r="I413" i="1"/>
  <c r="J413" i="1"/>
  <c r="K413" i="1"/>
  <c r="L413" i="1"/>
  <c r="M413" i="1"/>
  <c r="R413" i="1"/>
  <c r="I414" i="1"/>
  <c r="J414" i="1"/>
  <c r="K414" i="1"/>
  <c r="L414" i="1"/>
  <c r="R414" i="1" s="1"/>
  <c r="M414" i="1"/>
  <c r="I415" i="1"/>
  <c r="J415" i="1"/>
  <c r="K415" i="1"/>
  <c r="L415" i="1"/>
  <c r="R415" i="1" s="1"/>
  <c r="M415" i="1"/>
  <c r="I416" i="1"/>
  <c r="J416" i="1"/>
  <c r="K416" i="1"/>
  <c r="L416" i="1"/>
  <c r="M416" i="1"/>
  <c r="R416" i="1"/>
  <c r="I417" i="1"/>
  <c r="J417" i="1"/>
  <c r="K417" i="1"/>
  <c r="L417" i="1"/>
  <c r="M417" i="1"/>
  <c r="R417" i="1"/>
  <c r="I418" i="1"/>
  <c r="J418" i="1"/>
  <c r="K418" i="1"/>
  <c r="L418" i="1"/>
  <c r="M418" i="1"/>
  <c r="R418" i="1"/>
  <c r="I419" i="1"/>
  <c r="J419" i="1"/>
  <c r="K419" i="1"/>
  <c r="L419" i="1"/>
  <c r="R419" i="1" s="1"/>
  <c r="M419" i="1"/>
  <c r="I420" i="1"/>
  <c r="J420" i="1"/>
  <c r="K420" i="1"/>
  <c r="L420" i="1"/>
  <c r="M420" i="1"/>
  <c r="R420" i="1"/>
  <c r="I421" i="1"/>
  <c r="J421" i="1"/>
  <c r="K421" i="1"/>
  <c r="L421" i="1"/>
  <c r="M421" i="1"/>
  <c r="R421" i="1"/>
  <c r="I422" i="1"/>
  <c r="J422" i="1"/>
  <c r="K422" i="1"/>
  <c r="L422" i="1"/>
  <c r="R422" i="1" s="1"/>
  <c r="M422" i="1"/>
  <c r="I423" i="1"/>
  <c r="J423" i="1"/>
  <c r="K423" i="1"/>
  <c r="L423" i="1"/>
  <c r="R423" i="1" s="1"/>
  <c r="M423" i="1"/>
  <c r="I424" i="1"/>
  <c r="J424" i="1"/>
  <c r="K424" i="1"/>
  <c r="L424" i="1"/>
  <c r="M424" i="1"/>
  <c r="R424" i="1"/>
  <c r="I425" i="1"/>
  <c r="J425" i="1"/>
  <c r="K425" i="1"/>
  <c r="L425" i="1"/>
  <c r="M425" i="1"/>
  <c r="R425" i="1"/>
  <c r="I426" i="1"/>
  <c r="J426" i="1"/>
  <c r="K426" i="1"/>
  <c r="L426" i="1"/>
  <c r="M426" i="1"/>
  <c r="R426" i="1"/>
  <c r="I427" i="1"/>
  <c r="J427" i="1"/>
  <c r="K427" i="1"/>
  <c r="L427" i="1"/>
  <c r="R427" i="1" s="1"/>
  <c r="M427" i="1"/>
  <c r="I428" i="1"/>
  <c r="J428" i="1"/>
  <c r="K428" i="1"/>
  <c r="L428" i="1"/>
  <c r="M428" i="1"/>
  <c r="R428" i="1"/>
  <c r="I429" i="1"/>
  <c r="J429" i="1"/>
  <c r="K429" i="1"/>
  <c r="L429" i="1"/>
  <c r="M429" i="1"/>
  <c r="R429" i="1"/>
  <c r="I430" i="1"/>
  <c r="J430" i="1"/>
  <c r="K430" i="1"/>
  <c r="L430" i="1"/>
  <c r="R430" i="1" s="1"/>
  <c r="M430" i="1"/>
  <c r="I431" i="1"/>
  <c r="J431" i="1"/>
  <c r="K431" i="1"/>
  <c r="L431" i="1"/>
  <c r="R431" i="1" s="1"/>
  <c r="M431" i="1"/>
  <c r="I432" i="1"/>
  <c r="J432" i="1"/>
  <c r="K432" i="1"/>
  <c r="L432" i="1"/>
  <c r="M432" i="1"/>
  <c r="R432" i="1"/>
  <c r="I433" i="1"/>
  <c r="J433" i="1"/>
  <c r="K433" i="1"/>
  <c r="L433" i="1"/>
  <c r="M433" i="1"/>
  <c r="R433" i="1"/>
  <c r="I434" i="1"/>
  <c r="J434" i="1"/>
  <c r="K434" i="1"/>
  <c r="L434" i="1"/>
  <c r="M434" i="1"/>
  <c r="R434" i="1"/>
  <c r="I435" i="1"/>
  <c r="J435" i="1"/>
  <c r="K435" i="1"/>
  <c r="L435" i="1"/>
  <c r="R435" i="1" s="1"/>
  <c r="M435" i="1"/>
  <c r="I436" i="1"/>
  <c r="J436" i="1"/>
  <c r="K436" i="1"/>
  <c r="L436" i="1"/>
  <c r="M436" i="1"/>
  <c r="R436" i="1"/>
  <c r="I437" i="1"/>
  <c r="J437" i="1"/>
  <c r="K437" i="1"/>
  <c r="L437" i="1"/>
  <c r="M437" i="1"/>
  <c r="R437" i="1"/>
  <c r="I438" i="1"/>
  <c r="J438" i="1"/>
  <c r="K438" i="1"/>
  <c r="L438" i="1"/>
  <c r="R438" i="1" s="1"/>
  <c r="M438" i="1"/>
  <c r="I439" i="1"/>
  <c r="J439" i="1"/>
  <c r="K439" i="1"/>
  <c r="L439" i="1"/>
  <c r="R439" i="1" s="1"/>
  <c r="M439" i="1"/>
  <c r="I440" i="1"/>
  <c r="J440" i="1"/>
  <c r="K440" i="1"/>
  <c r="L440" i="1"/>
  <c r="M440" i="1"/>
  <c r="R440" i="1"/>
  <c r="I441" i="1"/>
  <c r="J441" i="1"/>
  <c r="K441" i="1"/>
  <c r="L441" i="1"/>
  <c r="M441" i="1"/>
  <c r="R441" i="1"/>
  <c r="I442" i="1"/>
  <c r="J442" i="1"/>
  <c r="K442" i="1"/>
  <c r="L442" i="1"/>
  <c r="M442" i="1"/>
  <c r="R442" i="1"/>
  <c r="I443" i="1"/>
  <c r="J443" i="1"/>
  <c r="K443" i="1"/>
  <c r="L443" i="1"/>
  <c r="R443" i="1" s="1"/>
  <c r="M443" i="1"/>
  <c r="I444" i="1"/>
  <c r="J444" i="1"/>
  <c r="K444" i="1"/>
  <c r="L444" i="1"/>
  <c r="M444" i="1"/>
  <c r="R444" i="1"/>
  <c r="I445" i="1"/>
  <c r="J445" i="1"/>
  <c r="K445" i="1"/>
  <c r="L445" i="1"/>
  <c r="M445" i="1"/>
  <c r="R445" i="1"/>
  <c r="I446" i="1"/>
  <c r="J446" i="1"/>
  <c r="K446" i="1"/>
  <c r="L446" i="1"/>
  <c r="R446" i="1" s="1"/>
  <c r="M446" i="1"/>
  <c r="I447" i="1"/>
  <c r="J447" i="1"/>
  <c r="K447" i="1"/>
  <c r="L447" i="1"/>
  <c r="R447" i="1" s="1"/>
  <c r="M447" i="1"/>
  <c r="I448" i="1"/>
  <c r="J448" i="1"/>
  <c r="K448" i="1"/>
  <c r="L448" i="1"/>
  <c r="M448" i="1"/>
  <c r="R448" i="1"/>
  <c r="I449" i="1"/>
  <c r="J449" i="1"/>
  <c r="K449" i="1"/>
  <c r="L449" i="1"/>
  <c r="M449" i="1"/>
  <c r="R449" i="1"/>
  <c r="I450" i="1"/>
  <c r="J450" i="1"/>
  <c r="K450" i="1"/>
  <c r="L450" i="1"/>
  <c r="M450" i="1"/>
  <c r="R450" i="1"/>
  <c r="I451" i="1"/>
  <c r="J451" i="1"/>
  <c r="K451" i="1"/>
  <c r="L451" i="1"/>
  <c r="R451" i="1" s="1"/>
  <c r="M451" i="1"/>
  <c r="I452" i="1"/>
  <c r="J452" i="1"/>
  <c r="K452" i="1"/>
  <c r="L452" i="1"/>
  <c r="M452" i="1"/>
  <c r="R452" i="1"/>
  <c r="I453" i="1"/>
  <c r="J453" i="1"/>
  <c r="K453" i="1"/>
  <c r="L453" i="1"/>
  <c r="M453" i="1"/>
  <c r="R453" i="1"/>
  <c r="I454" i="1"/>
  <c r="J454" i="1"/>
  <c r="K454" i="1"/>
  <c r="L454" i="1"/>
  <c r="R454" i="1" s="1"/>
  <c r="M454" i="1"/>
  <c r="I455" i="1"/>
  <c r="J455" i="1"/>
  <c r="K455" i="1"/>
  <c r="L455" i="1"/>
  <c r="R455" i="1" s="1"/>
  <c r="M455" i="1"/>
  <c r="I456" i="1"/>
  <c r="J456" i="1"/>
  <c r="K456" i="1"/>
  <c r="L456" i="1"/>
  <c r="M456" i="1"/>
  <c r="R456" i="1"/>
  <c r="I457" i="1"/>
  <c r="J457" i="1"/>
  <c r="K457" i="1"/>
  <c r="L457" i="1"/>
  <c r="M457" i="1"/>
  <c r="R457" i="1"/>
  <c r="I458" i="1"/>
  <c r="J458" i="1"/>
  <c r="K458" i="1"/>
  <c r="L458" i="1"/>
  <c r="M458" i="1"/>
  <c r="R458" i="1"/>
  <c r="I459" i="1"/>
  <c r="J459" i="1"/>
  <c r="K459" i="1"/>
  <c r="L459" i="1"/>
  <c r="R459" i="1" s="1"/>
  <c r="M459" i="1"/>
  <c r="I460" i="1"/>
  <c r="J460" i="1"/>
  <c r="K460" i="1"/>
  <c r="L460" i="1"/>
  <c r="M460" i="1"/>
  <c r="R460" i="1"/>
  <c r="I461" i="1"/>
  <c r="J461" i="1"/>
  <c r="K461" i="1"/>
  <c r="L461" i="1"/>
  <c r="M461" i="1"/>
  <c r="R461" i="1"/>
  <c r="I462" i="1"/>
  <c r="J462" i="1"/>
  <c r="K462" i="1"/>
  <c r="L462" i="1"/>
  <c r="R462" i="1" s="1"/>
  <c r="M462" i="1"/>
  <c r="I463" i="1"/>
  <c r="J463" i="1"/>
  <c r="K463" i="1"/>
  <c r="L463" i="1"/>
  <c r="R463" i="1" s="1"/>
  <c r="M463" i="1"/>
  <c r="I464" i="1"/>
  <c r="J464" i="1"/>
  <c r="K464" i="1"/>
  <c r="L464" i="1"/>
  <c r="M464" i="1"/>
  <c r="R464" i="1"/>
  <c r="I465" i="1"/>
  <c r="J465" i="1"/>
  <c r="K465" i="1"/>
  <c r="L465" i="1"/>
  <c r="M465" i="1"/>
  <c r="R465" i="1"/>
  <c r="I466" i="1"/>
  <c r="J466" i="1"/>
  <c r="K466" i="1"/>
  <c r="L466" i="1"/>
  <c r="M466" i="1"/>
  <c r="R466" i="1"/>
  <c r="I467" i="1"/>
  <c r="J467" i="1"/>
  <c r="K467" i="1"/>
  <c r="L467" i="1"/>
  <c r="R467" i="1" s="1"/>
  <c r="M467" i="1"/>
  <c r="I468" i="1"/>
  <c r="J468" i="1"/>
  <c r="K468" i="1"/>
  <c r="L468" i="1"/>
  <c r="M468" i="1"/>
  <c r="R468" i="1"/>
  <c r="I469" i="1"/>
  <c r="J469" i="1"/>
  <c r="K469" i="1"/>
  <c r="L469" i="1"/>
  <c r="M469" i="1"/>
  <c r="R469" i="1"/>
  <c r="I470" i="1"/>
  <c r="J470" i="1"/>
  <c r="K470" i="1"/>
  <c r="L470" i="1"/>
  <c r="R470" i="1" s="1"/>
  <c r="M470" i="1"/>
  <c r="I471" i="1"/>
  <c r="J471" i="1"/>
  <c r="K471" i="1"/>
  <c r="L471" i="1"/>
  <c r="R471" i="1" s="1"/>
  <c r="M471" i="1"/>
  <c r="I472" i="1"/>
  <c r="J472" i="1"/>
  <c r="K472" i="1"/>
  <c r="L472" i="1"/>
  <c r="M472" i="1"/>
  <c r="R472" i="1"/>
  <c r="I473" i="1"/>
  <c r="J473" i="1"/>
  <c r="K473" i="1"/>
  <c r="L473" i="1"/>
  <c r="M473" i="1"/>
  <c r="R473" i="1"/>
  <c r="I474" i="1"/>
  <c r="J474" i="1"/>
  <c r="K474" i="1"/>
  <c r="L474" i="1"/>
  <c r="M474" i="1"/>
  <c r="R474" i="1"/>
  <c r="I475" i="1"/>
  <c r="J475" i="1"/>
  <c r="K475" i="1"/>
  <c r="L475" i="1"/>
  <c r="R475" i="1" s="1"/>
  <c r="M475" i="1"/>
  <c r="I476" i="1"/>
  <c r="J476" i="1"/>
  <c r="K476" i="1"/>
  <c r="L476" i="1"/>
  <c r="M476" i="1"/>
  <c r="R476" i="1"/>
  <c r="I477" i="1"/>
  <c r="J477" i="1"/>
  <c r="K477" i="1"/>
  <c r="L477" i="1"/>
  <c r="M477" i="1"/>
  <c r="R477" i="1"/>
  <c r="I478" i="1"/>
  <c r="J478" i="1"/>
  <c r="K478" i="1"/>
  <c r="L478" i="1"/>
  <c r="R478" i="1" s="1"/>
  <c r="M478" i="1"/>
  <c r="I479" i="1"/>
  <c r="J479" i="1"/>
  <c r="K479" i="1"/>
  <c r="L479" i="1"/>
  <c r="R479" i="1" s="1"/>
  <c r="M479" i="1"/>
  <c r="I480" i="1"/>
  <c r="J480" i="1"/>
  <c r="K480" i="1"/>
  <c r="L480" i="1"/>
  <c r="M480" i="1"/>
  <c r="R480" i="1"/>
  <c r="I481" i="1"/>
  <c r="J481" i="1"/>
  <c r="K481" i="1"/>
  <c r="L481" i="1"/>
  <c r="M481" i="1"/>
  <c r="R481" i="1"/>
  <c r="I482" i="1"/>
  <c r="J482" i="1"/>
  <c r="K482" i="1"/>
  <c r="L482" i="1"/>
  <c r="M482" i="1"/>
  <c r="R482" i="1"/>
  <c r="I483" i="1"/>
  <c r="J483" i="1"/>
  <c r="K483" i="1"/>
  <c r="L483" i="1"/>
  <c r="R483" i="1" s="1"/>
  <c r="M483" i="1"/>
  <c r="I484" i="1"/>
  <c r="J484" i="1"/>
  <c r="K484" i="1"/>
  <c r="L484" i="1"/>
  <c r="M484" i="1"/>
  <c r="R484" i="1"/>
  <c r="I485" i="1"/>
  <c r="J485" i="1"/>
  <c r="K485" i="1"/>
  <c r="L485" i="1"/>
  <c r="M485" i="1"/>
  <c r="R485" i="1"/>
  <c r="I490" i="1"/>
  <c r="J490" i="1"/>
  <c r="K490" i="1"/>
  <c r="L490" i="1"/>
  <c r="M490" i="1"/>
  <c r="R490" i="1"/>
  <c r="I491" i="1"/>
  <c r="J491" i="1"/>
  <c r="K491" i="1"/>
  <c r="L491" i="1"/>
  <c r="R491" i="1" s="1"/>
  <c r="M491" i="1"/>
  <c r="I492" i="1"/>
  <c r="J492" i="1"/>
  <c r="K492" i="1"/>
  <c r="L492" i="1"/>
  <c r="M492" i="1"/>
  <c r="R492" i="1"/>
  <c r="I493" i="1"/>
  <c r="J493" i="1"/>
  <c r="K493" i="1"/>
  <c r="L493" i="1"/>
  <c r="M493" i="1"/>
  <c r="R493" i="1"/>
  <c r="I494" i="1"/>
  <c r="J494" i="1"/>
  <c r="K494" i="1"/>
  <c r="L494" i="1"/>
  <c r="R494" i="1" s="1"/>
  <c r="M494" i="1"/>
  <c r="I495" i="1"/>
  <c r="J495" i="1"/>
  <c r="K495" i="1"/>
  <c r="L495" i="1"/>
  <c r="R495" i="1" s="1"/>
  <c r="M495" i="1"/>
  <c r="I496" i="1"/>
  <c r="J496" i="1"/>
  <c r="K496" i="1"/>
  <c r="L496" i="1"/>
  <c r="R496" i="1" s="1"/>
  <c r="M496" i="1"/>
  <c r="I497" i="1"/>
  <c r="J497" i="1"/>
  <c r="K497" i="1"/>
  <c r="L497" i="1"/>
  <c r="M497" i="1"/>
  <c r="R497" i="1"/>
  <c r="I498" i="1"/>
  <c r="J498" i="1"/>
  <c r="K498" i="1"/>
  <c r="L498" i="1"/>
  <c r="M498" i="1"/>
  <c r="R498" i="1"/>
  <c r="I499" i="1"/>
  <c r="J499" i="1"/>
  <c r="K499" i="1"/>
  <c r="L499" i="1"/>
  <c r="R499" i="1" s="1"/>
  <c r="M499" i="1"/>
  <c r="I500" i="1"/>
  <c r="J500" i="1"/>
  <c r="K500" i="1"/>
  <c r="L500" i="1"/>
  <c r="M500" i="1"/>
  <c r="R500" i="1"/>
  <c r="I501" i="1"/>
  <c r="J501" i="1"/>
  <c r="K501" i="1"/>
  <c r="L501" i="1"/>
  <c r="M501" i="1"/>
  <c r="R501" i="1"/>
  <c r="I502" i="1"/>
  <c r="J502" i="1"/>
  <c r="K502" i="1"/>
  <c r="L502" i="1"/>
  <c r="R502" i="1" s="1"/>
  <c r="M502" i="1"/>
  <c r="I503" i="1"/>
  <c r="J503" i="1"/>
  <c r="K503" i="1"/>
  <c r="L503" i="1"/>
  <c r="R503" i="1" s="1"/>
  <c r="M503" i="1"/>
  <c r="I504" i="1"/>
  <c r="J504" i="1"/>
  <c r="K504" i="1"/>
  <c r="L504" i="1"/>
  <c r="R504" i="1" s="1"/>
  <c r="M504" i="1"/>
  <c r="I505" i="1"/>
  <c r="J505" i="1"/>
  <c r="K505" i="1"/>
  <c r="L505" i="1"/>
  <c r="M505" i="1"/>
  <c r="R505" i="1"/>
  <c r="I506" i="1"/>
  <c r="J506" i="1"/>
  <c r="K506" i="1"/>
  <c r="L506" i="1"/>
  <c r="M506" i="1"/>
  <c r="R506" i="1"/>
  <c r="I507" i="1"/>
  <c r="J507" i="1"/>
  <c r="K507" i="1"/>
  <c r="L507" i="1"/>
  <c r="R507" i="1" s="1"/>
  <c r="M507" i="1"/>
  <c r="I508" i="1"/>
  <c r="J508" i="1"/>
  <c r="K508" i="1"/>
  <c r="L508" i="1"/>
  <c r="M508" i="1"/>
  <c r="R508" i="1"/>
  <c r="I509" i="1"/>
  <c r="J509" i="1"/>
  <c r="K509" i="1"/>
  <c r="L509" i="1"/>
  <c r="M509" i="1"/>
  <c r="R509" i="1"/>
  <c r="I510" i="1"/>
  <c r="J510" i="1"/>
  <c r="K510" i="1"/>
  <c r="L510" i="1"/>
  <c r="R510" i="1" s="1"/>
  <c r="M510" i="1"/>
  <c r="I511" i="1"/>
  <c r="J511" i="1"/>
  <c r="K511" i="1"/>
  <c r="L511" i="1"/>
  <c r="R511" i="1" s="1"/>
  <c r="M511" i="1"/>
  <c r="I512" i="1"/>
  <c r="J512" i="1"/>
  <c r="K512" i="1"/>
  <c r="L512" i="1"/>
  <c r="M512" i="1"/>
  <c r="R512" i="1"/>
  <c r="I513" i="1"/>
  <c r="J513" i="1"/>
  <c r="K513" i="1"/>
  <c r="L513" i="1"/>
  <c r="M513" i="1"/>
  <c r="R513" i="1"/>
  <c r="I514" i="1"/>
  <c r="J514" i="1"/>
  <c r="K514" i="1"/>
  <c r="L514" i="1"/>
  <c r="M514" i="1"/>
  <c r="R514" i="1"/>
  <c r="I515" i="1"/>
  <c r="J515" i="1"/>
  <c r="K515" i="1"/>
  <c r="L515" i="1"/>
  <c r="R515" i="1" s="1"/>
  <c r="M515" i="1"/>
  <c r="I516" i="1"/>
  <c r="J516" i="1"/>
  <c r="K516" i="1"/>
  <c r="L516" i="1"/>
  <c r="M516" i="1"/>
  <c r="R516" i="1"/>
  <c r="I517" i="1"/>
  <c r="J517" i="1"/>
  <c r="K517" i="1"/>
  <c r="L517" i="1"/>
  <c r="M517" i="1"/>
  <c r="R517" i="1"/>
  <c r="I518" i="1"/>
  <c r="J518" i="1"/>
  <c r="K518" i="1"/>
  <c r="L518" i="1"/>
  <c r="R518" i="1" s="1"/>
  <c r="M518" i="1"/>
  <c r="I519" i="1"/>
  <c r="J519" i="1"/>
  <c r="K519" i="1"/>
  <c r="L519" i="1"/>
  <c r="R519" i="1" s="1"/>
  <c r="M519" i="1"/>
  <c r="I520" i="1"/>
  <c r="J520" i="1"/>
  <c r="K520" i="1"/>
  <c r="L520" i="1"/>
  <c r="R520" i="1" s="1"/>
  <c r="M520" i="1"/>
  <c r="I521" i="1"/>
  <c r="J521" i="1"/>
  <c r="K521" i="1"/>
  <c r="L521" i="1"/>
  <c r="M521" i="1"/>
  <c r="R521" i="1"/>
  <c r="I522" i="1"/>
  <c r="J522" i="1"/>
  <c r="K522" i="1"/>
  <c r="L522" i="1"/>
  <c r="M522" i="1"/>
  <c r="R522" i="1"/>
  <c r="I523" i="1"/>
  <c r="J523" i="1"/>
  <c r="K523" i="1"/>
  <c r="L523" i="1"/>
  <c r="R523" i="1" s="1"/>
  <c r="M523" i="1"/>
  <c r="I524" i="1"/>
  <c r="J524" i="1"/>
  <c r="K524" i="1"/>
  <c r="L524" i="1"/>
  <c r="M524" i="1"/>
  <c r="R524" i="1"/>
  <c r="I525" i="1"/>
  <c r="J525" i="1"/>
  <c r="K525" i="1"/>
  <c r="L525" i="1"/>
  <c r="M525" i="1"/>
  <c r="R525" i="1"/>
  <c r="I526" i="1"/>
  <c r="J526" i="1"/>
  <c r="K526" i="1"/>
  <c r="L526" i="1"/>
  <c r="R526" i="1" s="1"/>
  <c r="M526" i="1"/>
  <c r="I527" i="1"/>
  <c r="J527" i="1"/>
  <c r="K527" i="1"/>
  <c r="L527" i="1"/>
  <c r="R527" i="1" s="1"/>
  <c r="M527" i="1"/>
  <c r="I528" i="1"/>
  <c r="J528" i="1"/>
  <c r="K528" i="1"/>
  <c r="L528" i="1"/>
  <c r="R528" i="1" s="1"/>
  <c r="M528" i="1"/>
  <c r="I529" i="1"/>
  <c r="J529" i="1"/>
  <c r="K529" i="1"/>
  <c r="L529" i="1"/>
  <c r="M529" i="1"/>
  <c r="R529" i="1"/>
  <c r="I530" i="1"/>
  <c r="J530" i="1"/>
  <c r="K530" i="1"/>
  <c r="L530" i="1"/>
  <c r="M530" i="1"/>
  <c r="R530" i="1"/>
  <c r="I531" i="1"/>
  <c r="J531" i="1"/>
  <c r="K531" i="1"/>
  <c r="L531" i="1"/>
  <c r="R531" i="1" s="1"/>
  <c r="M531" i="1"/>
  <c r="I532" i="1"/>
  <c r="J532" i="1"/>
  <c r="K532" i="1"/>
  <c r="L532" i="1"/>
  <c r="M532" i="1"/>
  <c r="R532" i="1"/>
  <c r="I533" i="1"/>
  <c r="J533" i="1"/>
  <c r="K533" i="1"/>
  <c r="L533" i="1"/>
  <c r="M533" i="1"/>
  <c r="R533" i="1"/>
  <c r="I534" i="1"/>
  <c r="J534" i="1"/>
  <c r="K534" i="1"/>
  <c r="L534" i="1"/>
  <c r="R534" i="1" s="1"/>
  <c r="M534" i="1"/>
  <c r="I535" i="1"/>
  <c r="J535" i="1"/>
  <c r="K535" i="1"/>
  <c r="L535" i="1"/>
  <c r="R535" i="1" s="1"/>
  <c r="M535" i="1"/>
  <c r="I536" i="1"/>
  <c r="J536" i="1"/>
  <c r="K536" i="1"/>
  <c r="L536" i="1"/>
  <c r="R536" i="1" s="1"/>
  <c r="M536" i="1"/>
  <c r="I537" i="1"/>
  <c r="J537" i="1"/>
  <c r="K537" i="1"/>
  <c r="L537" i="1"/>
  <c r="M537" i="1"/>
  <c r="R537" i="1"/>
  <c r="I538" i="1"/>
  <c r="J538" i="1"/>
  <c r="K538" i="1"/>
  <c r="L538" i="1"/>
  <c r="M538" i="1"/>
  <c r="R538" i="1"/>
  <c r="I539" i="1"/>
  <c r="J539" i="1"/>
  <c r="K539" i="1"/>
  <c r="L539" i="1"/>
  <c r="R539" i="1" s="1"/>
  <c r="M539" i="1"/>
  <c r="I540" i="1"/>
  <c r="J540" i="1"/>
  <c r="K540" i="1"/>
  <c r="L540" i="1"/>
  <c r="M540" i="1"/>
  <c r="R540" i="1"/>
  <c r="I541" i="1"/>
  <c r="J541" i="1"/>
  <c r="K541" i="1"/>
  <c r="L541" i="1"/>
  <c r="M541" i="1"/>
  <c r="R541" i="1"/>
  <c r="I542" i="1"/>
  <c r="J542" i="1"/>
  <c r="K542" i="1"/>
  <c r="L542" i="1"/>
  <c r="R542" i="1" s="1"/>
  <c r="M542" i="1"/>
  <c r="I543" i="1"/>
  <c r="J543" i="1"/>
  <c r="K543" i="1"/>
  <c r="L543" i="1"/>
  <c r="M543" i="1"/>
  <c r="R543" i="1"/>
  <c r="I544" i="1"/>
  <c r="J544" i="1"/>
  <c r="K544" i="1"/>
  <c r="L544" i="1"/>
  <c r="M544" i="1"/>
  <c r="R544" i="1"/>
  <c r="I545" i="1"/>
  <c r="J545" i="1"/>
  <c r="K545" i="1"/>
  <c r="L545" i="1"/>
  <c r="M545" i="1"/>
  <c r="R545" i="1"/>
  <c r="I546" i="1"/>
  <c r="J546" i="1"/>
  <c r="K546" i="1"/>
  <c r="L546" i="1"/>
  <c r="R546" i="1" s="1"/>
  <c r="M546" i="1"/>
  <c r="I547" i="1"/>
  <c r="J547" i="1"/>
  <c r="K547" i="1"/>
  <c r="L547" i="1"/>
  <c r="R547" i="1" s="1"/>
  <c r="M547" i="1"/>
  <c r="I548" i="1"/>
  <c r="J548" i="1"/>
  <c r="K548" i="1"/>
  <c r="L548" i="1"/>
  <c r="M548" i="1"/>
  <c r="R548" i="1"/>
  <c r="I549" i="1"/>
  <c r="J549" i="1"/>
  <c r="K549" i="1"/>
  <c r="L549" i="1"/>
  <c r="R549" i="1" s="1"/>
  <c r="M549" i="1"/>
  <c r="I550" i="1"/>
  <c r="J550" i="1"/>
  <c r="K550" i="1"/>
  <c r="L550" i="1"/>
  <c r="R550" i="1" s="1"/>
  <c r="M550" i="1"/>
  <c r="I551" i="1"/>
  <c r="J551" i="1"/>
  <c r="K551" i="1"/>
  <c r="L551" i="1"/>
  <c r="M551" i="1"/>
  <c r="R551" i="1"/>
  <c r="I552" i="1"/>
  <c r="J552" i="1"/>
  <c r="K552" i="1"/>
  <c r="L552" i="1"/>
  <c r="M552" i="1"/>
  <c r="R552" i="1"/>
  <c r="I553" i="1"/>
  <c r="J553" i="1"/>
  <c r="K553" i="1"/>
  <c r="L553" i="1"/>
  <c r="M553" i="1"/>
  <c r="R553" i="1"/>
  <c r="I554" i="1"/>
  <c r="J554" i="1"/>
  <c r="K554" i="1"/>
  <c r="L554" i="1"/>
  <c r="R554" i="1" s="1"/>
  <c r="M554" i="1"/>
  <c r="I555" i="1"/>
  <c r="J555" i="1"/>
  <c r="K555" i="1"/>
  <c r="L555" i="1"/>
  <c r="R555" i="1" s="1"/>
  <c r="M555" i="1"/>
  <c r="I556" i="1"/>
  <c r="J556" i="1"/>
  <c r="K556" i="1"/>
  <c r="L556" i="1"/>
  <c r="M556" i="1"/>
  <c r="R556" i="1"/>
  <c r="I557" i="1"/>
  <c r="J557" i="1"/>
  <c r="K557" i="1"/>
  <c r="L557" i="1"/>
  <c r="R557" i="1" s="1"/>
  <c r="M557" i="1"/>
  <c r="I558" i="1"/>
  <c r="J558" i="1"/>
  <c r="K558" i="1"/>
  <c r="L558" i="1"/>
  <c r="R558" i="1" s="1"/>
  <c r="M558" i="1"/>
  <c r="I559" i="1"/>
  <c r="J559" i="1"/>
  <c r="K559" i="1"/>
  <c r="L559" i="1"/>
  <c r="M559" i="1"/>
  <c r="R559" i="1"/>
  <c r="I560" i="1"/>
  <c r="J560" i="1"/>
  <c r="K560" i="1"/>
  <c r="L560" i="1"/>
  <c r="M560" i="1"/>
  <c r="R560" i="1"/>
  <c r="I561" i="1"/>
  <c r="J561" i="1"/>
  <c r="K561" i="1"/>
  <c r="L561" i="1"/>
  <c r="M561" i="1"/>
  <c r="R561" i="1"/>
  <c r="I562" i="1"/>
  <c r="J562" i="1"/>
  <c r="K562" i="1"/>
  <c r="L562" i="1"/>
  <c r="R562" i="1" s="1"/>
  <c r="M562" i="1"/>
  <c r="I563" i="1"/>
  <c r="J563" i="1"/>
  <c r="K563" i="1"/>
  <c r="L563" i="1"/>
  <c r="R563" i="1" s="1"/>
  <c r="M563" i="1"/>
  <c r="I564" i="1"/>
  <c r="J564" i="1"/>
  <c r="K564" i="1"/>
  <c r="L564" i="1"/>
  <c r="M564" i="1"/>
  <c r="R564" i="1"/>
  <c r="I565" i="1"/>
  <c r="J565" i="1"/>
  <c r="K565" i="1"/>
  <c r="L565" i="1"/>
  <c r="R565" i="1" s="1"/>
  <c r="M565" i="1"/>
  <c r="I566" i="1"/>
  <c r="J566" i="1"/>
  <c r="K566" i="1"/>
  <c r="L566" i="1"/>
  <c r="R566" i="1" s="1"/>
  <c r="M566" i="1"/>
  <c r="I567" i="1"/>
  <c r="J567" i="1"/>
  <c r="K567" i="1"/>
  <c r="L567" i="1"/>
  <c r="M567" i="1"/>
  <c r="R567" i="1"/>
  <c r="I568" i="1"/>
  <c r="J568" i="1"/>
  <c r="K568" i="1"/>
  <c r="L568" i="1"/>
  <c r="M568" i="1"/>
  <c r="R568" i="1"/>
  <c r="I569" i="1"/>
  <c r="J569" i="1"/>
  <c r="K569" i="1"/>
  <c r="L569" i="1"/>
  <c r="M569" i="1"/>
  <c r="R569" i="1"/>
  <c r="I570" i="1"/>
  <c r="J570" i="1"/>
  <c r="K570" i="1"/>
  <c r="L570" i="1"/>
  <c r="R570" i="1" s="1"/>
  <c r="M570" i="1"/>
  <c r="I571" i="1"/>
  <c r="J571" i="1"/>
  <c r="K571" i="1"/>
  <c r="L571" i="1"/>
  <c r="R571" i="1" s="1"/>
  <c r="M571" i="1"/>
  <c r="I572" i="1"/>
  <c r="J572" i="1"/>
  <c r="K572" i="1"/>
  <c r="L572" i="1"/>
  <c r="M572" i="1"/>
  <c r="R572" i="1"/>
  <c r="I573" i="1"/>
  <c r="J573" i="1"/>
  <c r="K573" i="1"/>
  <c r="L573" i="1"/>
  <c r="R573" i="1" s="1"/>
  <c r="M573" i="1"/>
  <c r="I574" i="1"/>
  <c r="J574" i="1"/>
  <c r="K574" i="1"/>
  <c r="L574" i="1"/>
  <c r="R574" i="1" s="1"/>
  <c r="M574" i="1"/>
  <c r="I575" i="1"/>
  <c r="J575" i="1"/>
  <c r="K575" i="1"/>
  <c r="L575" i="1"/>
  <c r="M575" i="1"/>
  <c r="R575" i="1"/>
  <c r="I576" i="1"/>
  <c r="J576" i="1"/>
  <c r="K576" i="1"/>
  <c r="L576" i="1"/>
  <c r="M576" i="1"/>
  <c r="R576" i="1"/>
  <c r="I577" i="1"/>
  <c r="J577" i="1"/>
  <c r="K577" i="1"/>
  <c r="L577" i="1"/>
  <c r="M577" i="1"/>
  <c r="R577" i="1"/>
  <c r="I578" i="1"/>
  <c r="J578" i="1"/>
  <c r="K578" i="1"/>
  <c r="L578" i="1"/>
  <c r="R578" i="1" s="1"/>
  <c r="M578" i="1"/>
  <c r="I587" i="1"/>
  <c r="J587" i="1"/>
  <c r="K587" i="1"/>
  <c r="L587" i="1"/>
  <c r="R587" i="1" s="1"/>
  <c r="M587" i="1"/>
  <c r="I588" i="1"/>
  <c r="J588" i="1"/>
  <c r="K588" i="1"/>
  <c r="L588" i="1"/>
  <c r="M588" i="1"/>
  <c r="R588" i="1"/>
  <c r="I589" i="1"/>
  <c r="J589" i="1"/>
  <c r="K589" i="1"/>
  <c r="L589" i="1"/>
  <c r="R589" i="1" s="1"/>
  <c r="M589" i="1"/>
  <c r="I590" i="1"/>
  <c r="J590" i="1"/>
  <c r="K590" i="1"/>
  <c r="L590" i="1"/>
  <c r="R590" i="1" s="1"/>
  <c r="M590" i="1"/>
  <c r="I591" i="1"/>
  <c r="J591" i="1"/>
  <c r="K591" i="1"/>
  <c r="L591" i="1"/>
  <c r="M591" i="1"/>
  <c r="R591" i="1"/>
  <c r="I592" i="1"/>
  <c r="J592" i="1"/>
  <c r="K592" i="1"/>
  <c r="L592" i="1"/>
  <c r="M592" i="1"/>
  <c r="R592" i="1"/>
  <c r="I593" i="1"/>
  <c r="J593" i="1"/>
  <c r="K593" i="1"/>
  <c r="L593" i="1"/>
  <c r="M593" i="1"/>
  <c r="R593" i="1"/>
  <c r="I594" i="1"/>
  <c r="J594" i="1"/>
  <c r="K594" i="1"/>
  <c r="L594" i="1"/>
  <c r="R594" i="1" s="1"/>
  <c r="M594" i="1"/>
  <c r="I595" i="1"/>
  <c r="J595" i="1"/>
  <c r="K595" i="1"/>
  <c r="L595" i="1"/>
  <c r="R595" i="1" s="1"/>
  <c r="M595" i="1"/>
  <c r="I596" i="1"/>
  <c r="J596" i="1"/>
  <c r="K596" i="1"/>
  <c r="L596" i="1"/>
  <c r="M596" i="1"/>
  <c r="R596" i="1"/>
  <c r="I597" i="1"/>
  <c r="J597" i="1"/>
  <c r="K597" i="1"/>
  <c r="L597" i="1"/>
  <c r="R597" i="1" s="1"/>
  <c r="M597" i="1"/>
  <c r="I598" i="1"/>
  <c r="J598" i="1"/>
  <c r="K598" i="1"/>
  <c r="L598" i="1"/>
  <c r="R598" i="1" s="1"/>
  <c r="M598" i="1"/>
  <c r="I599" i="1"/>
  <c r="J599" i="1"/>
  <c r="K599" i="1"/>
  <c r="L599" i="1"/>
  <c r="M599" i="1"/>
  <c r="R599" i="1"/>
  <c r="I600" i="1"/>
  <c r="J600" i="1"/>
  <c r="K600" i="1"/>
  <c r="L600" i="1"/>
  <c r="M600" i="1"/>
  <c r="R600" i="1"/>
  <c r="I601" i="1"/>
  <c r="J601" i="1"/>
  <c r="K601" i="1"/>
  <c r="L601" i="1"/>
  <c r="M601" i="1"/>
  <c r="R601" i="1"/>
  <c r="I602" i="1"/>
  <c r="J602" i="1"/>
  <c r="K602" i="1"/>
  <c r="L602" i="1"/>
  <c r="R602" i="1" s="1"/>
  <c r="M602" i="1"/>
  <c r="I603" i="1"/>
  <c r="J603" i="1"/>
  <c r="K603" i="1"/>
  <c r="L603" i="1"/>
  <c r="R603" i="1" s="1"/>
  <c r="M603" i="1"/>
  <c r="I604" i="1"/>
  <c r="J604" i="1"/>
  <c r="K604" i="1"/>
  <c r="L604" i="1"/>
  <c r="M604" i="1"/>
  <c r="R604" i="1"/>
  <c r="I605" i="1"/>
  <c r="J605" i="1"/>
  <c r="K605" i="1"/>
  <c r="L605" i="1"/>
  <c r="R605" i="1" s="1"/>
  <c r="M605" i="1"/>
  <c r="I606" i="1"/>
  <c r="J606" i="1"/>
  <c r="K606" i="1"/>
  <c r="L606" i="1"/>
  <c r="R606" i="1" s="1"/>
  <c r="M606" i="1"/>
  <c r="I607" i="1"/>
  <c r="J607" i="1"/>
  <c r="K607" i="1"/>
  <c r="L607" i="1"/>
  <c r="M607" i="1"/>
  <c r="R607" i="1"/>
  <c r="I608" i="1"/>
  <c r="J608" i="1"/>
  <c r="K608" i="1"/>
  <c r="L608" i="1"/>
  <c r="M608" i="1"/>
  <c r="R608" i="1"/>
  <c r="I609" i="1"/>
  <c r="J609" i="1"/>
  <c r="K609" i="1"/>
  <c r="L609" i="1"/>
  <c r="M609" i="1"/>
  <c r="R609" i="1"/>
  <c r="I610" i="1"/>
  <c r="J610" i="1"/>
  <c r="K610" i="1"/>
  <c r="L610" i="1"/>
  <c r="R610" i="1" s="1"/>
  <c r="M610" i="1"/>
  <c r="I611" i="1"/>
  <c r="J611" i="1"/>
  <c r="K611" i="1"/>
  <c r="L611" i="1"/>
  <c r="R611" i="1" s="1"/>
  <c r="M611" i="1"/>
  <c r="I612" i="1"/>
  <c r="J612" i="1"/>
  <c r="K612" i="1"/>
  <c r="L612" i="1"/>
  <c r="M612" i="1"/>
  <c r="R612" i="1"/>
  <c r="I613" i="1"/>
  <c r="J613" i="1"/>
  <c r="K613" i="1"/>
  <c r="L613" i="1"/>
  <c r="R613" i="1" s="1"/>
  <c r="M613" i="1"/>
  <c r="I614" i="1"/>
  <c r="J614" i="1"/>
  <c r="K614" i="1"/>
  <c r="L614" i="1"/>
  <c r="R614" i="1" s="1"/>
  <c r="M614" i="1"/>
  <c r="I615" i="1"/>
  <c r="J615" i="1"/>
  <c r="K615" i="1"/>
  <c r="L615" i="1"/>
  <c r="M615" i="1"/>
  <c r="R615" i="1"/>
  <c r="I616" i="1"/>
  <c r="J616" i="1"/>
  <c r="K616" i="1"/>
  <c r="L616" i="1"/>
  <c r="M616" i="1"/>
  <c r="R616" i="1"/>
  <c r="I617" i="1"/>
  <c r="J617" i="1"/>
  <c r="K617" i="1"/>
  <c r="L617" i="1"/>
  <c r="M617" i="1"/>
  <c r="R617" i="1"/>
  <c r="I618" i="1"/>
  <c r="J618" i="1"/>
  <c r="K618" i="1"/>
  <c r="L618" i="1"/>
  <c r="R618" i="1" s="1"/>
  <c r="M618" i="1"/>
  <c r="I619" i="1"/>
  <c r="J619" i="1"/>
  <c r="K619" i="1"/>
  <c r="L619" i="1"/>
  <c r="R619" i="1" s="1"/>
  <c r="M619" i="1"/>
  <c r="I620" i="1"/>
  <c r="J620" i="1"/>
  <c r="K620" i="1"/>
  <c r="L620" i="1"/>
  <c r="M620" i="1"/>
  <c r="R620" i="1"/>
  <c r="I621" i="1"/>
  <c r="J621" i="1"/>
  <c r="K621" i="1"/>
  <c r="L621" i="1"/>
  <c r="R621" i="1" s="1"/>
  <c r="M621" i="1"/>
  <c r="I622" i="1"/>
  <c r="J622" i="1"/>
  <c r="K622" i="1"/>
  <c r="L622" i="1"/>
  <c r="R622" i="1" s="1"/>
  <c r="M622" i="1"/>
  <c r="I623" i="1"/>
  <c r="J623" i="1"/>
  <c r="K623" i="1"/>
  <c r="L623" i="1"/>
  <c r="M623" i="1"/>
  <c r="R623" i="1"/>
  <c r="I624" i="1"/>
  <c r="J624" i="1"/>
  <c r="K624" i="1"/>
  <c r="L624" i="1"/>
  <c r="M624" i="1"/>
  <c r="R624" i="1"/>
  <c r="I625" i="1"/>
  <c r="J625" i="1"/>
  <c r="K625" i="1"/>
  <c r="L625" i="1"/>
  <c r="M625" i="1"/>
  <c r="R625" i="1"/>
  <c r="I626" i="1"/>
  <c r="J626" i="1"/>
  <c r="K626" i="1"/>
  <c r="L626" i="1"/>
  <c r="R626" i="1" s="1"/>
  <c r="M626" i="1"/>
  <c r="I627" i="1"/>
  <c r="J627" i="1"/>
  <c r="K627" i="1"/>
  <c r="L627" i="1"/>
  <c r="R627" i="1" s="1"/>
  <c r="M627" i="1"/>
  <c r="I628" i="1"/>
  <c r="J628" i="1"/>
  <c r="K628" i="1"/>
  <c r="L628" i="1"/>
  <c r="M628" i="1"/>
  <c r="R628" i="1"/>
  <c r="I629" i="1"/>
  <c r="J629" i="1"/>
  <c r="K629" i="1"/>
  <c r="L629" i="1"/>
  <c r="R629" i="1" s="1"/>
  <c r="M629" i="1"/>
  <c r="I630" i="1"/>
  <c r="J630" i="1"/>
  <c r="K630" i="1"/>
  <c r="L630" i="1"/>
  <c r="R630" i="1" s="1"/>
  <c r="M630" i="1"/>
  <c r="I631" i="1"/>
  <c r="J631" i="1"/>
  <c r="K631" i="1"/>
  <c r="L631" i="1"/>
  <c r="M631" i="1"/>
  <c r="R631" i="1"/>
  <c r="I632" i="1"/>
  <c r="J632" i="1"/>
  <c r="K632" i="1"/>
  <c r="L632" i="1"/>
  <c r="M632" i="1"/>
  <c r="R632" i="1"/>
  <c r="I633" i="1"/>
  <c r="J633" i="1"/>
  <c r="K633" i="1"/>
  <c r="L633" i="1"/>
  <c r="M633" i="1"/>
  <c r="R633" i="1"/>
  <c r="I634" i="1"/>
  <c r="J634" i="1"/>
  <c r="K634" i="1"/>
  <c r="L634" i="1"/>
  <c r="R634" i="1" s="1"/>
  <c r="M634" i="1"/>
  <c r="I635" i="1"/>
  <c r="J635" i="1"/>
  <c r="K635" i="1"/>
  <c r="L635" i="1"/>
  <c r="R635" i="1" s="1"/>
  <c r="M635" i="1"/>
  <c r="I636" i="1"/>
  <c r="J636" i="1"/>
  <c r="K636" i="1"/>
  <c r="L636" i="1"/>
  <c r="M636" i="1"/>
  <c r="R636" i="1"/>
  <c r="I637" i="1"/>
  <c r="J637" i="1"/>
  <c r="K637" i="1"/>
  <c r="L637" i="1"/>
  <c r="R637" i="1" s="1"/>
  <c r="M637" i="1"/>
  <c r="I638" i="1"/>
  <c r="J638" i="1"/>
  <c r="K638" i="1"/>
  <c r="L638" i="1"/>
  <c r="R638" i="1" s="1"/>
  <c r="M638" i="1"/>
  <c r="I639" i="1"/>
  <c r="J639" i="1"/>
  <c r="K639" i="1"/>
  <c r="L639" i="1"/>
  <c r="M639" i="1"/>
  <c r="R639" i="1"/>
  <c r="I640" i="1"/>
  <c r="J640" i="1"/>
  <c r="K640" i="1"/>
  <c r="L640" i="1"/>
  <c r="M640" i="1"/>
  <c r="R640" i="1"/>
  <c r="I641" i="1"/>
  <c r="J641" i="1"/>
  <c r="K641" i="1"/>
  <c r="L641" i="1"/>
  <c r="M641" i="1"/>
  <c r="R641" i="1"/>
  <c r="I642" i="1"/>
  <c r="J642" i="1"/>
  <c r="K642" i="1"/>
  <c r="L642" i="1"/>
  <c r="R642" i="1" s="1"/>
  <c r="M642" i="1"/>
  <c r="I643" i="1"/>
  <c r="J643" i="1"/>
  <c r="K643" i="1"/>
  <c r="L643" i="1"/>
  <c r="R643" i="1" s="1"/>
  <c r="M643" i="1"/>
  <c r="I644" i="1"/>
  <c r="J644" i="1"/>
  <c r="K644" i="1"/>
  <c r="L644" i="1"/>
  <c r="M644" i="1"/>
  <c r="R644" i="1"/>
  <c r="I645" i="1"/>
  <c r="J645" i="1"/>
  <c r="K645" i="1"/>
  <c r="L645" i="1"/>
  <c r="R645" i="1" s="1"/>
  <c r="M645" i="1"/>
  <c r="I646" i="1"/>
  <c r="J646" i="1"/>
  <c r="K646" i="1"/>
  <c r="L646" i="1"/>
  <c r="R646" i="1" s="1"/>
  <c r="M646" i="1"/>
  <c r="I647" i="1"/>
  <c r="J647" i="1"/>
  <c r="K647" i="1"/>
  <c r="L647" i="1"/>
  <c r="M647" i="1"/>
  <c r="R647" i="1"/>
  <c r="I648" i="1"/>
  <c r="J648" i="1"/>
  <c r="K648" i="1"/>
  <c r="L648" i="1"/>
  <c r="M648" i="1"/>
  <c r="R648" i="1"/>
  <c r="I649" i="1"/>
  <c r="J649" i="1"/>
  <c r="K649" i="1"/>
  <c r="L649" i="1"/>
  <c r="M649" i="1"/>
  <c r="R649" i="1"/>
  <c r="I650" i="1"/>
  <c r="J650" i="1"/>
  <c r="K650" i="1"/>
  <c r="L650" i="1"/>
  <c r="R650" i="1" s="1"/>
  <c r="M650" i="1"/>
  <c r="I651" i="1"/>
  <c r="J651" i="1"/>
  <c r="K651" i="1"/>
  <c r="L651" i="1"/>
  <c r="R651" i="1" s="1"/>
  <c r="M651" i="1"/>
  <c r="I652" i="1"/>
  <c r="J652" i="1"/>
  <c r="K652" i="1"/>
  <c r="L652" i="1"/>
  <c r="M652" i="1"/>
  <c r="R652" i="1"/>
  <c r="I653" i="1"/>
  <c r="J653" i="1"/>
  <c r="K653" i="1"/>
  <c r="L653" i="1"/>
  <c r="R653" i="1" s="1"/>
  <c r="M653" i="1"/>
  <c r="I654" i="1"/>
  <c r="J654" i="1"/>
  <c r="K654" i="1"/>
  <c r="L654" i="1"/>
  <c r="R654" i="1" s="1"/>
  <c r="M654" i="1"/>
  <c r="I655" i="1"/>
  <c r="J655" i="1"/>
  <c r="K655" i="1"/>
  <c r="L655" i="1"/>
  <c r="M655" i="1"/>
  <c r="R655" i="1"/>
  <c r="I656" i="1"/>
  <c r="J656" i="1"/>
  <c r="K656" i="1"/>
  <c r="L656" i="1"/>
  <c r="M656" i="1"/>
  <c r="R656" i="1"/>
  <c r="I657" i="1"/>
  <c r="J657" i="1"/>
  <c r="K657" i="1"/>
  <c r="L657" i="1"/>
  <c r="M657" i="1"/>
  <c r="R657" i="1"/>
  <c r="I658" i="1"/>
  <c r="J658" i="1"/>
  <c r="K658" i="1"/>
  <c r="L658" i="1"/>
  <c r="R658" i="1" s="1"/>
  <c r="M658" i="1"/>
  <c r="I659" i="1"/>
  <c r="J659" i="1"/>
  <c r="K659" i="1"/>
  <c r="L659" i="1"/>
  <c r="R659" i="1" s="1"/>
  <c r="M659" i="1"/>
  <c r="I660" i="1"/>
  <c r="J660" i="1"/>
  <c r="K660" i="1"/>
  <c r="L660" i="1"/>
  <c r="M660" i="1"/>
  <c r="R660" i="1"/>
  <c r="I661" i="1"/>
  <c r="J661" i="1"/>
  <c r="K661" i="1"/>
  <c r="L661" i="1"/>
  <c r="R661" i="1" s="1"/>
  <c r="M661" i="1"/>
  <c r="I662" i="1"/>
  <c r="J662" i="1"/>
  <c r="K662" i="1"/>
  <c r="L662" i="1"/>
  <c r="R662" i="1" s="1"/>
  <c r="M662" i="1"/>
  <c r="I663" i="1"/>
  <c r="J663" i="1"/>
  <c r="K663" i="1"/>
  <c r="L663" i="1"/>
  <c r="M663" i="1"/>
  <c r="R663" i="1"/>
  <c r="I664" i="1"/>
  <c r="J664" i="1"/>
  <c r="K664" i="1"/>
  <c r="L664" i="1"/>
  <c r="M664" i="1"/>
  <c r="R664" i="1"/>
  <c r="I665" i="1"/>
  <c r="J665" i="1"/>
  <c r="K665" i="1"/>
  <c r="L665" i="1"/>
  <c r="M665" i="1"/>
  <c r="R665" i="1"/>
  <c r="I666" i="1"/>
  <c r="J666" i="1"/>
  <c r="K666" i="1"/>
  <c r="L666" i="1"/>
  <c r="R666" i="1" s="1"/>
  <c r="M666" i="1"/>
  <c r="I667" i="1"/>
  <c r="J667" i="1"/>
  <c r="K667" i="1"/>
  <c r="L667" i="1"/>
  <c r="R667" i="1" s="1"/>
  <c r="M667" i="1"/>
  <c r="I668" i="1"/>
  <c r="J668" i="1"/>
  <c r="K668" i="1"/>
  <c r="L668" i="1"/>
  <c r="M668" i="1"/>
  <c r="R668" i="1"/>
  <c r="I669" i="1"/>
  <c r="J669" i="1"/>
  <c r="K669" i="1"/>
  <c r="L669" i="1"/>
  <c r="R669" i="1" s="1"/>
  <c r="M669" i="1"/>
  <c r="I670" i="1"/>
  <c r="J670" i="1"/>
  <c r="K670" i="1"/>
  <c r="L670" i="1"/>
  <c r="R670" i="1" s="1"/>
  <c r="M670" i="1"/>
  <c r="I671" i="1"/>
  <c r="J671" i="1"/>
  <c r="K671" i="1"/>
  <c r="L671" i="1"/>
  <c r="M671" i="1"/>
  <c r="R671" i="1"/>
  <c r="I672" i="1"/>
  <c r="J672" i="1"/>
  <c r="K672" i="1"/>
  <c r="L672" i="1"/>
  <c r="M672" i="1"/>
  <c r="R672" i="1"/>
  <c r="I673" i="1"/>
  <c r="J673" i="1"/>
  <c r="K673" i="1"/>
  <c r="L673" i="1"/>
  <c r="M673" i="1"/>
  <c r="R673" i="1"/>
  <c r="I674" i="1"/>
  <c r="J674" i="1"/>
  <c r="K674" i="1"/>
  <c r="L674" i="1"/>
  <c r="R674" i="1" s="1"/>
  <c r="M674" i="1"/>
  <c r="I675" i="1"/>
  <c r="J675" i="1"/>
  <c r="K675" i="1"/>
  <c r="L675" i="1"/>
  <c r="R675" i="1" s="1"/>
  <c r="M675" i="1"/>
  <c r="I676" i="1"/>
  <c r="J676" i="1"/>
  <c r="K676" i="1"/>
  <c r="L676" i="1"/>
  <c r="M676" i="1"/>
  <c r="R676" i="1"/>
  <c r="I677" i="1"/>
  <c r="J677" i="1"/>
  <c r="K677" i="1"/>
  <c r="L677" i="1"/>
  <c r="R677" i="1" s="1"/>
  <c r="M677" i="1"/>
  <c r="I678" i="1"/>
  <c r="J678" i="1"/>
  <c r="K678" i="1"/>
  <c r="L678" i="1"/>
  <c r="M678" i="1"/>
  <c r="I679" i="1"/>
  <c r="J679" i="1"/>
  <c r="K679" i="1"/>
  <c r="L679" i="1"/>
  <c r="M679" i="1"/>
  <c r="I680" i="1"/>
  <c r="J680" i="1"/>
  <c r="K680" i="1"/>
  <c r="L680" i="1"/>
  <c r="R680" i="1" s="1"/>
  <c r="M680" i="1"/>
  <c r="I681" i="1"/>
  <c r="J681" i="1"/>
  <c r="K681" i="1"/>
  <c r="L681" i="1"/>
  <c r="R681" i="1" s="1"/>
  <c r="M681" i="1"/>
  <c r="I682" i="1"/>
  <c r="J682" i="1"/>
  <c r="K682" i="1"/>
  <c r="L682" i="1"/>
  <c r="M682" i="1"/>
  <c r="R682" i="1"/>
  <c r="I683" i="1"/>
  <c r="J683" i="1"/>
  <c r="K683" i="1"/>
  <c r="L683" i="1"/>
  <c r="R683" i="1" s="1"/>
  <c r="M683" i="1"/>
  <c r="I684" i="1"/>
  <c r="J684" i="1"/>
  <c r="K684" i="1"/>
  <c r="L684" i="1"/>
  <c r="R684" i="1" s="1"/>
  <c r="M684" i="1"/>
  <c r="I685" i="1"/>
  <c r="J685" i="1"/>
  <c r="K685" i="1"/>
  <c r="L685" i="1"/>
  <c r="M685" i="1"/>
  <c r="R685" i="1"/>
  <c r="I686" i="1"/>
  <c r="J686" i="1"/>
  <c r="K686" i="1"/>
  <c r="L686" i="1"/>
  <c r="M686" i="1"/>
  <c r="R686" i="1"/>
  <c r="I687" i="1"/>
  <c r="J687" i="1"/>
  <c r="K687" i="1"/>
  <c r="L687" i="1"/>
  <c r="M687" i="1"/>
  <c r="R687" i="1"/>
  <c r="I688" i="1"/>
  <c r="J688" i="1"/>
  <c r="K688" i="1"/>
  <c r="L688" i="1"/>
  <c r="R688" i="1" s="1"/>
  <c r="M688" i="1"/>
  <c r="I689" i="1"/>
  <c r="J689" i="1"/>
  <c r="K689" i="1"/>
  <c r="L689" i="1"/>
  <c r="R689" i="1" s="1"/>
  <c r="M689" i="1"/>
  <c r="I690" i="1"/>
  <c r="J690" i="1"/>
  <c r="K690" i="1"/>
  <c r="L690" i="1"/>
  <c r="M690" i="1"/>
  <c r="R690" i="1"/>
  <c r="I691" i="1"/>
  <c r="J691" i="1"/>
  <c r="K691" i="1"/>
  <c r="L691" i="1"/>
  <c r="R691" i="1" s="1"/>
  <c r="M691" i="1"/>
  <c r="I692" i="1"/>
  <c r="J692" i="1"/>
  <c r="K692" i="1"/>
  <c r="L692" i="1"/>
  <c r="R692" i="1" s="1"/>
  <c r="M692" i="1"/>
  <c r="I693" i="1"/>
  <c r="J693" i="1"/>
  <c r="K693" i="1"/>
  <c r="L693" i="1"/>
  <c r="M693" i="1"/>
  <c r="R693" i="1"/>
  <c r="I694" i="1"/>
  <c r="J694" i="1"/>
  <c r="K694" i="1"/>
  <c r="L694" i="1"/>
  <c r="M694" i="1"/>
  <c r="R694" i="1"/>
  <c r="I695" i="1"/>
  <c r="J695" i="1"/>
  <c r="K695" i="1"/>
  <c r="L695" i="1"/>
  <c r="M695" i="1"/>
  <c r="R695" i="1"/>
  <c r="I696" i="1"/>
  <c r="J696" i="1"/>
  <c r="K696" i="1"/>
  <c r="L696" i="1"/>
  <c r="R696" i="1" s="1"/>
  <c r="M696" i="1"/>
  <c r="I697" i="1"/>
  <c r="J697" i="1"/>
  <c r="K697" i="1"/>
  <c r="L697" i="1"/>
  <c r="R697" i="1" s="1"/>
  <c r="M697" i="1"/>
  <c r="I698" i="1"/>
  <c r="J698" i="1"/>
  <c r="K698" i="1"/>
  <c r="L698" i="1"/>
  <c r="M698" i="1"/>
  <c r="R698" i="1"/>
  <c r="I699" i="1"/>
  <c r="J699" i="1"/>
  <c r="K699" i="1"/>
  <c r="L699" i="1"/>
  <c r="R699" i="1" s="1"/>
  <c r="M699" i="1"/>
  <c r="I700" i="1"/>
  <c r="J700" i="1"/>
  <c r="K700" i="1"/>
  <c r="L700" i="1"/>
  <c r="R700" i="1" s="1"/>
  <c r="M700" i="1"/>
  <c r="I701" i="1"/>
  <c r="J701" i="1"/>
  <c r="K701" i="1"/>
  <c r="L701" i="1"/>
  <c r="M701" i="1"/>
  <c r="R701" i="1"/>
  <c r="I702" i="1"/>
  <c r="J702" i="1"/>
  <c r="K702" i="1"/>
  <c r="L702" i="1"/>
  <c r="M702" i="1"/>
  <c r="R702" i="1"/>
  <c r="I703" i="1"/>
  <c r="J703" i="1"/>
  <c r="K703" i="1"/>
  <c r="L703" i="1"/>
  <c r="M703" i="1"/>
  <c r="R703" i="1"/>
  <c r="I704" i="1"/>
  <c r="J704" i="1"/>
  <c r="K704" i="1"/>
  <c r="L704" i="1"/>
  <c r="R704" i="1" s="1"/>
  <c r="M704" i="1"/>
  <c r="I705" i="1"/>
  <c r="J705" i="1"/>
  <c r="K705" i="1"/>
  <c r="L705" i="1"/>
  <c r="R705" i="1" s="1"/>
  <c r="M705" i="1"/>
  <c r="I706" i="1"/>
  <c r="J706" i="1"/>
  <c r="K706" i="1"/>
  <c r="L706" i="1"/>
  <c r="M706" i="1"/>
  <c r="R706" i="1"/>
  <c r="I707" i="1"/>
  <c r="J707" i="1"/>
  <c r="K707" i="1"/>
  <c r="L707" i="1"/>
  <c r="R707" i="1" s="1"/>
  <c r="M707" i="1"/>
  <c r="I708" i="1"/>
  <c r="J708" i="1"/>
  <c r="K708" i="1"/>
  <c r="L708" i="1"/>
  <c r="R708" i="1" s="1"/>
  <c r="M708" i="1"/>
  <c r="I709" i="1"/>
  <c r="J709" i="1"/>
  <c r="K709" i="1"/>
  <c r="L709" i="1"/>
  <c r="M709" i="1"/>
  <c r="R709" i="1"/>
  <c r="I710" i="1"/>
  <c r="J710" i="1"/>
  <c r="K710" i="1"/>
  <c r="L710" i="1"/>
  <c r="M710" i="1"/>
  <c r="R710" i="1"/>
  <c r="I711" i="1"/>
  <c r="J711" i="1"/>
  <c r="K711" i="1"/>
  <c r="L711" i="1"/>
  <c r="M711" i="1"/>
  <c r="R711" i="1"/>
  <c r="I712" i="1"/>
  <c r="J712" i="1"/>
  <c r="K712" i="1"/>
  <c r="L712" i="1"/>
  <c r="R712" i="1" s="1"/>
  <c r="M712" i="1"/>
  <c r="I713" i="1"/>
  <c r="J713" i="1"/>
  <c r="K713" i="1"/>
  <c r="L713" i="1"/>
  <c r="R713" i="1" s="1"/>
  <c r="M713" i="1"/>
  <c r="I714" i="1"/>
  <c r="J714" i="1"/>
  <c r="K714" i="1"/>
  <c r="L714" i="1"/>
  <c r="M714" i="1"/>
  <c r="R714" i="1"/>
  <c r="I715" i="1"/>
  <c r="J715" i="1"/>
  <c r="K715" i="1"/>
  <c r="L715" i="1"/>
  <c r="R715" i="1" s="1"/>
  <c r="M715" i="1"/>
  <c r="I716" i="1"/>
  <c r="J716" i="1"/>
  <c r="K716" i="1"/>
  <c r="L716" i="1"/>
  <c r="R716" i="1" s="1"/>
  <c r="M716" i="1"/>
  <c r="I717" i="1"/>
  <c r="J717" i="1"/>
  <c r="K717" i="1"/>
  <c r="L717" i="1"/>
  <c r="M717" i="1"/>
  <c r="R717" i="1"/>
  <c r="I718" i="1"/>
  <c r="J718" i="1"/>
  <c r="K718" i="1"/>
  <c r="L718" i="1"/>
  <c r="M718" i="1"/>
  <c r="R718" i="1"/>
  <c r="I719" i="1"/>
  <c r="J719" i="1"/>
  <c r="K719" i="1"/>
  <c r="L719" i="1"/>
  <c r="M719" i="1"/>
  <c r="R719" i="1"/>
  <c r="I720" i="1"/>
  <c r="J720" i="1"/>
  <c r="K720" i="1"/>
  <c r="L720" i="1"/>
  <c r="R720" i="1" s="1"/>
  <c r="M720" i="1"/>
  <c r="I721" i="1"/>
  <c r="J721" i="1"/>
  <c r="K721" i="1"/>
  <c r="L721" i="1"/>
  <c r="R721" i="1" s="1"/>
  <c r="M721" i="1"/>
  <c r="I722" i="1"/>
  <c r="J722" i="1"/>
  <c r="K722" i="1"/>
  <c r="L722" i="1"/>
  <c r="M722" i="1"/>
  <c r="R722" i="1"/>
  <c r="I723" i="1"/>
  <c r="J723" i="1"/>
  <c r="K723" i="1"/>
  <c r="L723" i="1"/>
  <c r="R723" i="1" s="1"/>
  <c r="M723" i="1"/>
  <c r="I726" i="1"/>
  <c r="J726" i="1"/>
  <c r="K726" i="1"/>
  <c r="L726" i="1"/>
  <c r="M726" i="1"/>
  <c r="R726" i="1"/>
  <c r="I727" i="1"/>
  <c r="J727" i="1"/>
  <c r="K727" i="1"/>
  <c r="L727" i="1"/>
  <c r="R727" i="1" s="1"/>
  <c r="M727" i="1"/>
  <c r="I728" i="1"/>
  <c r="J728" i="1"/>
  <c r="K728" i="1"/>
  <c r="L728" i="1"/>
  <c r="R728" i="1" s="1"/>
  <c r="M728" i="1"/>
  <c r="I729" i="1"/>
  <c r="J729" i="1"/>
  <c r="K729" i="1"/>
  <c r="L729" i="1"/>
  <c r="M729" i="1"/>
  <c r="R729" i="1"/>
  <c r="I730" i="1"/>
  <c r="J730" i="1"/>
  <c r="K730" i="1"/>
  <c r="L730" i="1"/>
  <c r="M730" i="1"/>
  <c r="R730" i="1"/>
  <c r="H731" i="1"/>
  <c r="H732" i="1" s="1"/>
  <c r="H733" i="1" s="1"/>
  <c r="H734" i="1" s="1"/>
  <c r="H735" i="1" s="1"/>
  <c r="H736" i="1" s="1"/>
  <c r="H737" i="1" s="1"/>
  <c r="I731" i="1"/>
  <c r="J731" i="1"/>
  <c r="K731" i="1"/>
  <c r="L731" i="1"/>
  <c r="R731" i="1" s="1"/>
  <c r="M731" i="1"/>
  <c r="I732" i="1"/>
  <c r="J732" i="1"/>
  <c r="K732" i="1"/>
  <c r="L732" i="1"/>
  <c r="R732" i="1" s="1"/>
  <c r="M732" i="1"/>
  <c r="I733" i="1"/>
  <c r="J733" i="1"/>
  <c r="K733" i="1"/>
  <c r="L733" i="1"/>
  <c r="M733" i="1"/>
  <c r="R733" i="1"/>
  <c r="I734" i="1"/>
  <c r="J734" i="1"/>
  <c r="K734" i="1"/>
  <c r="L734" i="1"/>
  <c r="R734" i="1" s="1"/>
  <c r="M734" i="1"/>
  <c r="I735" i="1"/>
  <c r="J735" i="1"/>
  <c r="K735" i="1"/>
  <c r="L735" i="1"/>
  <c r="R735" i="1" s="1"/>
  <c r="M735" i="1"/>
  <c r="I736" i="1"/>
  <c r="J736" i="1"/>
  <c r="K736" i="1"/>
  <c r="L736" i="1"/>
  <c r="M736" i="1"/>
  <c r="R736" i="1"/>
  <c r="I737" i="1"/>
  <c r="J737" i="1"/>
  <c r="K737" i="1"/>
  <c r="L737" i="1"/>
  <c r="M737" i="1"/>
  <c r="R737" i="1"/>
  <c r="H738" i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I738" i="1"/>
  <c r="J738" i="1"/>
  <c r="K738" i="1"/>
  <c r="L738" i="1"/>
  <c r="M738" i="1"/>
  <c r="R738" i="1"/>
  <c r="I739" i="1"/>
  <c r="J739" i="1"/>
  <c r="K739" i="1"/>
  <c r="L739" i="1"/>
  <c r="R739" i="1" s="1"/>
  <c r="M739" i="1"/>
  <c r="I740" i="1"/>
  <c r="J740" i="1"/>
  <c r="K740" i="1"/>
  <c r="L740" i="1"/>
  <c r="R740" i="1" s="1"/>
  <c r="M740" i="1"/>
  <c r="I741" i="1"/>
  <c r="J741" i="1"/>
  <c r="K741" i="1"/>
  <c r="L741" i="1"/>
  <c r="M741" i="1"/>
  <c r="R741" i="1"/>
  <c r="I742" i="1"/>
  <c r="J742" i="1"/>
  <c r="K742" i="1"/>
  <c r="L742" i="1"/>
  <c r="R742" i="1" s="1"/>
  <c r="M742" i="1"/>
  <c r="I743" i="1"/>
  <c r="J743" i="1"/>
  <c r="K743" i="1"/>
  <c r="L743" i="1"/>
  <c r="R743" i="1" s="1"/>
  <c r="M743" i="1"/>
  <c r="I744" i="1"/>
  <c r="J744" i="1"/>
  <c r="K744" i="1"/>
  <c r="L744" i="1"/>
  <c r="M744" i="1"/>
  <c r="R744" i="1"/>
  <c r="I745" i="1"/>
  <c r="J745" i="1"/>
  <c r="K745" i="1"/>
  <c r="L745" i="1"/>
  <c r="M745" i="1"/>
  <c r="R745" i="1"/>
  <c r="I746" i="1"/>
  <c r="J746" i="1"/>
  <c r="K746" i="1"/>
  <c r="L746" i="1"/>
  <c r="M746" i="1"/>
  <c r="R746" i="1"/>
  <c r="I747" i="1"/>
  <c r="J747" i="1"/>
  <c r="K747" i="1"/>
  <c r="L747" i="1"/>
  <c r="R747" i="1" s="1"/>
  <c r="M747" i="1"/>
  <c r="I748" i="1"/>
  <c r="J748" i="1"/>
  <c r="K748" i="1"/>
  <c r="L748" i="1"/>
  <c r="R748" i="1" s="1"/>
  <c r="M748" i="1"/>
  <c r="I749" i="1"/>
  <c r="J749" i="1"/>
  <c r="K749" i="1"/>
  <c r="L749" i="1"/>
  <c r="M749" i="1"/>
  <c r="R749" i="1"/>
  <c r="I750" i="1"/>
  <c r="J750" i="1"/>
  <c r="K750" i="1"/>
  <c r="L750" i="1"/>
  <c r="R750" i="1" s="1"/>
  <c r="M750" i="1"/>
  <c r="I751" i="1"/>
  <c r="J751" i="1"/>
  <c r="K751" i="1"/>
  <c r="L751" i="1"/>
  <c r="R751" i="1" s="1"/>
  <c r="M751" i="1"/>
  <c r="I752" i="1"/>
  <c r="J752" i="1"/>
  <c r="K752" i="1"/>
  <c r="L752" i="1"/>
  <c r="M752" i="1"/>
  <c r="R752" i="1"/>
  <c r="I753" i="1"/>
  <c r="J753" i="1"/>
  <c r="K753" i="1"/>
  <c r="L753" i="1"/>
  <c r="M753" i="1"/>
  <c r="R753" i="1"/>
  <c r="I754" i="1"/>
  <c r="J754" i="1"/>
  <c r="K754" i="1"/>
  <c r="L754" i="1"/>
  <c r="M754" i="1"/>
  <c r="R754" i="1"/>
  <c r="I755" i="1"/>
  <c r="J755" i="1"/>
  <c r="K755" i="1"/>
  <c r="L755" i="1"/>
  <c r="R755" i="1" s="1"/>
  <c r="M755" i="1"/>
  <c r="I756" i="1"/>
  <c r="J756" i="1"/>
  <c r="K756" i="1"/>
  <c r="L756" i="1"/>
  <c r="R756" i="1" s="1"/>
  <c r="M756" i="1"/>
  <c r="I757" i="1"/>
  <c r="J757" i="1"/>
  <c r="K757" i="1"/>
  <c r="L757" i="1"/>
  <c r="M757" i="1"/>
  <c r="R757" i="1"/>
  <c r="I758" i="1"/>
  <c r="J758" i="1"/>
  <c r="K758" i="1"/>
  <c r="L758" i="1"/>
  <c r="R758" i="1" s="1"/>
  <c r="M758" i="1"/>
  <c r="I759" i="1"/>
  <c r="J759" i="1"/>
  <c r="K759" i="1"/>
  <c r="L759" i="1"/>
  <c r="R759" i="1" s="1"/>
  <c r="M759" i="1"/>
  <c r="I760" i="1"/>
  <c r="J760" i="1"/>
  <c r="K760" i="1"/>
  <c r="L760" i="1"/>
  <c r="M760" i="1"/>
  <c r="R760" i="1"/>
  <c r="I761" i="1"/>
  <c r="J761" i="1"/>
  <c r="K761" i="1"/>
  <c r="L761" i="1"/>
  <c r="M761" i="1"/>
  <c r="R761" i="1"/>
  <c r="I762" i="1"/>
  <c r="J762" i="1"/>
  <c r="K762" i="1"/>
  <c r="L762" i="1"/>
  <c r="M762" i="1"/>
  <c r="R762" i="1"/>
  <c r="I763" i="1"/>
  <c r="J763" i="1"/>
  <c r="K763" i="1"/>
  <c r="L763" i="1"/>
  <c r="R763" i="1" s="1"/>
  <c r="M763" i="1"/>
  <c r="I764" i="1"/>
  <c r="J764" i="1"/>
  <c r="K764" i="1"/>
  <c r="L764" i="1"/>
  <c r="R764" i="1" s="1"/>
  <c r="M764" i="1"/>
  <c r="I765" i="1"/>
  <c r="J765" i="1"/>
  <c r="K765" i="1"/>
  <c r="L765" i="1"/>
  <c r="M765" i="1"/>
  <c r="R765" i="1"/>
  <c r="I766" i="1"/>
  <c r="J766" i="1"/>
  <c r="K766" i="1"/>
  <c r="L766" i="1"/>
  <c r="R766" i="1" s="1"/>
  <c r="M766" i="1"/>
  <c r="H767" i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I767" i="1"/>
  <c r="J767" i="1"/>
  <c r="K767" i="1"/>
  <c r="L767" i="1"/>
  <c r="R767" i="1" s="1"/>
  <c r="M767" i="1"/>
  <c r="I768" i="1"/>
  <c r="J768" i="1"/>
  <c r="K768" i="1"/>
  <c r="L768" i="1"/>
  <c r="M768" i="1"/>
  <c r="R768" i="1"/>
  <c r="I769" i="1"/>
  <c r="J769" i="1"/>
  <c r="K769" i="1"/>
  <c r="L769" i="1"/>
  <c r="M769" i="1"/>
  <c r="R769" i="1"/>
  <c r="I770" i="1"/>
  <c r="J770" i="1"/>
  <c r="K770" i="1"/>
  <c r="L770" i="1"/>
  <c r="M770" i="1"/>
  <c r="R770" i="1"/>
  <c r="I771" i="1"/>
  <c r="J771" i="1"/>
  <c r="K771" i="1"/>
  <c r="L771" i="1"/>
  <c r="R771" i="1" s="1"/>
  <c r="M771" i="1"/>
  <c r="I772" i="1"/>
  <c r="J772" i="1"/>
  <c r="K772" i="1"/>
  <c r="L772" i="1"/>
  <c r="R772" i="1" s="1"/>
  <c r="M772" i="1"/>
  <c r="I773" i="1"/>
  <c r="J773" i="1"/>
  <c r="K773" i="1"/>
  <c r="L773" i="1"/>
  <c r="M773" i="1"/>
  <c r="R773" i="1"/>
  <c r="I774" i="1"/>
  <c r="J774" i="1"/>
  <c r="K774" i="1"/>
  <c r="L774" i="1"/>
  <c r="R774" i="1" s="1"/>
  <c r="M774" i="1"/>
  <c r="I775" i="1"/>
  <c r="J775" i="1"/>
  <c r="K775" i="1"/>
  <c r="L775" i="1"/>
  <c r="R775" i="1" s="1"/>
  <c r="M775" i="1"/>
  <c r="I776" i="1"/>
  <c r="J776" i="1"/>
  <c r="K776" i="1"/>
  <c r="L776" i="1"/>
  <c r="M776" i="1"/>
  <c r="R776" i="1"/>
  <c r="I777" i="1"/>
  <c r="J777" i="1"/>
  <c r="K777" i="1"/>
  <c r="L777" i="1"/>
  <c r="M777" i="1"/>
  <c r="R777" i="1"/>
  <c r="I778" i="1"/>
  <c r="J778" i="1"/>
  <c r="K778" i="1"/>
  <c r="L778" i="1"/>
  <c r="M778" i="1"/>
  <c r="R778" i="1"/>
  <c r="H779" i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H1270" i="1" s="1"/>
  <c r="H1271" i="1" s="1"/>
  <c r="H1272" i="1" s="1"/>
  <c r="H1273" i="1" s="1"/>
  <c r="H1274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I779" i="1"/>
  <c r="J779" i="1"/>
  <c r="K779" i="1"/>
  <c r="L779" i="1"/>
  <c r="R779" i="1" s="1"/>
  <c r="M779" i="1"/>
  <c r="I780" i="1"/>
  <c r="J780" i="1"/>
  <c r="K780" i="1"/>
  <c r="L780" i="1"/>
  <c r="R780" i="1" s="1"/>
  <c r="M780" i="1"/>
  <c r="I781" i="1"/>
  <c r="J781" i="1"/>
  <c r="K781" i="1"/>
  <c r="L781" i="1"/>
  <c r="M781" i="1"/>
  <c r="R781" i="1"/>
  <c r="I782" i="1"/>
  <c r="J782" i="1"/>
  <c r="K782" i="1"/>
  <c r="L782" i="1"/>
  <c r="R782" i="1" s="1"/>
  <c r="M782" i="1"/>
  <c r="I783" i="1"/>
  <c r="J783" i="1"/>
  <c r="K783" i="1"/>
  <c r="L783" i="1"/>
  <c r="R783" i="1" s="1"/>
  <c r="M783" i="1"/>
  <c r="I784" i="1"/>
  <c r="J784" i="1"/>
  <c r="K784" i="1"/>
  <c r="L784" i="1"/>
  <c r="M784" i="1"/>
  <c r="R784" i="1"/>
  <c r="I785" i="1"/>
  <c r="J785" i="1"/>
  <c r="K785" i="1"/>
  <c r="L785" i="1"/>
  <c r="M785" i="1"/>
  <c r="R785" i="1"/>
  <c r="R786" i="1"/>
  <c r="I787" i="1"/>
  <c r="J787" i="1"/>
  <c r="K787" i="1"/>
  <c r="L787" i="1"/>
  <c r="M787" i="1"/>
  <c r="R787" i="1"/>
  <c r="I788" i="1"/>
  <c r="J788" i="1"/>
  <c r="K788" i="1"/>
  <c r="L788" i="1"/>
  <c r="M788" i="1"/>
  <c r="R788" i="1"/>
  <c r="I789" i="1"/>
  <c r="J789" i="1"/>
  <c r="K789" i="1"/>
  <c r="L789" i="1"/>
  <c r="M789" i="1"/>
  <c r="R789" i="1"/>
  <c r="I790" i="1"/>
  <c r="J790" i="1"/>
  <c r="K790" i="1"/>
  <c r="L790" i="1"/>
  <c r="R790" i="1" s="1"/>
  <c r="M790" i="1"/>
  <c r="I791" i="1"/>
  <c r="J791" i="1"/>
  <c r="K791" i="1"/>
  <c r="L791" i="1"/>
  <c r="R791" i="1" s="1"/>
  <c r="M791" i="1"/>
  <c r="I792" i="1"/>
  <c r="J792" i="1"/>
  <c r="K792" i="1"/>
  <c r="L792" i="1"/>
  <c r="M792" i="1"/>
  <c r="R792" i="1"/>
  <c r="I793" i="1"/>
  <c r="J793" i="1"/>
  <c r="K793" i="1"/>
  <c r="L793" i="1"/>
  <c r="R793" i="1" s="1"/>
  <c r="M793" i="1"/>
  <c r="I794" i="1"/>
  <c r="J794" i="1"/>
  <c r="K794" i="1"/>
  <c r="L794" i="1"/>
  <c r="R794" i="1" s="1"/>
  <c r="M794" i="1"/>
  <c r="I795" i="1"/>
  <c r="J795" i="1"/>
  <c r="K795" i="1"/>
  <c r="L795" i="1"/>
  <c r="M795" i="1"/>
  <c r="R795" i="1"/>
  <c r="I796" i="1"/>
  <c r="J796" i="1"/>
  <c r="K796" i="1"/>
  <c r="L796" i="1"/>
  <c r="M796" i="1"/>
  <c r="R796" i="1"/>
  <c r="I797" i="1"/>
  <c r="J797" i="1"/>
  <c r="K797" i="1"/>
  <c r="L797" i="1"/>
  <c r="M797" i="1"/>
  <c r="R797" i="1"/>
  <c r="I798" i="1"/>
  <c r="J798" i="1"/>
  <c r="K798" i="1"/>
  <c r="L798" i="1"/>
  <c r="R798" i="1" s="1"/>
  <c r="M798" i="1"/>
  <c r="I799" i="1"/>
  <c r="J799" i="1"/>
  <c r="K799" i="1"/>
  <c r="L799" i="1"/>
  <c r="R799" i="1" s="1"/>
  <c r="M799" i="1"/>
  <c r="I800" i="1"/>
  <c r="J800" i="1"/>
  <c r="K800" i="1"/>
  <c r="L800" i="1"/>
  <c r="M800" i="1"/>
  <c r="R800" i="1"/>
  <c r="I801" i="1"/>
  <c r="J801" i="1"/>
  <c r="K801" i="1"/>
  <c r="L801" i="1"/>
  <c r="R801" i="1" s="1"/>
  <c r="M801" i="1"/>
  <c r="I802" i="1"/>
  <c r="J802" i="1"/>
  <c r="K802" i="1"/>
  <c r="L802" i="1"/>
  <c r="R802" i="1" s="1"/>
  <c r="M802" i="1"/>
  <c r="I803" i="1"/>
  <c r="J803" i="1"/>
  <c r="K803" i="1"/>
  <c r="L803" i="1"/>
  <c r="M803" i="1"/>
  <c r="R803" i="1"/>
  <c r="I804" i="1"/>
  <c r="J804" i="1"/>
  <c r="K804" i="1"/>
  <c r="L804" i="1"/>
  <c r="M804" i="1"/>
  <c r="R804" i="1"/>
  <c r="I805" i="1"/>
  <c r="J805" i="1"/>
  <c r="K805" i="1"/>
  <c r="L805" i="1"/>
  <c r="M805" i="1"/>
  <c r="R805" i="1"/>
  <c r="I806" i="1"/>
  <c r="J806" i="1"/>
  <c r="K806" i="1"/>
  <c r="L806" i="1"/>
  <c r="R806" i="1" s="1"/>
  <c r="M806" i="1"/>
  <c r="I807" i="1"/>
  <c r="J807" i="1"/>
  <c r="K807" i="1"/>
  <c r="L807" i="1"/>
  <c r="R807" i="1" s="1"/>
  <c r="M807" i="1"/>
  <c r="I808" i="1"/>
  <c r="J808" i="1"/>
  <c r="K808" i="1"/>
  <c r="L808" i="1"/>
  <c r="M808" i="1"/>
  <c r="R808" i="1"/>
  <c r="I809" i="1"/>
  <c r="J809" i="1"/>
  <c r="K809" i="1"/>
  <c r="L809" i="1"/>
  <c r="R809" i="1" s="1"/>
  <c r="M809" i="1"/>
  <c r="I810" i="1"/>
  <c r="J810" i="1"/>
  <c r="K810" i="1"/>
  <c r="L810" i="1"/>
  <c r="R810" i="1" s="1"/>
  <c r="M810" i="1"/>
  <c r="I811" i="1"/>
  <c r="J811" i="1"/>
  <c r="K811" i="1"/>
  <c r="L811" i="1"/>
  <c r="M811" i="1"/>
  <c r="R811" i="1"/>
  <c r="I812" i="1"/>
  <c r="J812" i="1"/>
  <c r="K812" i="1"/>
  <c r="L812" i="1"/>
  <c r="M812" i="1"/>
  <c r="R812" i="1"/>
  <c r="I813" i="1"/>
  <c r="J813" i="1"/>
  <c r="K813" i="1"/>
  <c r="L813" i="1"/>
  <c r="M813" i="1"/>
  <c r="R813" i="1"/>
  <c r="I814" i="1"/>
  <c r="J814" i="1"/>
  <c r="K814" i="1"/>
  <c r="L814" i="1"/>
  <c r="R814" i="1" s="1"/>
  <c r="M814" i="1"/>
  <c r="I815" i="1"/>
  <c r="J815" i="1"/>
  <c r="K815" i="1"/>
  <c r="L815" i="1"/>
  <c r="R815" i="1" s="1"/>
  <c r="M815" i="1"/>
  <c r="I816" i="1"/>
  <c r="J816" i="1"/>
  <c r="K816" i="1"/>
  <c r="L816" i="1"/>
  <c r="M816" i="1"/>
  <c r="R816" i="1"/>
  <c r="I817" i="1"/>
  <c r="J817" i="1"/>
  <c r="K817" i="1"/>
  <c r="L817" i="1"/>
  <c r="R817" i="1" s="1"/>
  <c r="M817" i="1"/>
  <c r="I818" i="1"/>
  <c r="J818" i="1"/>
  <c r="K818" i="1"/>
  <c r="L818" i="1"/>
  <c r="R818" i="1" s="1"/>
  <c r="M818" i="1"/>
  <c r="I819" i="1"/>
  <c r="J819" i="1"/>
  <c r="K819" i="1"/>
  <c r="L819" i="1"/>
  <c r="M819" i="1"/>
  <c r="R819" i="1"/>
  <c r="I820" i="1"/>
  <c r="J820" i="1"/>
  <c r="K820" i="1"/>
  <c r="L820" i="1"/>
  <c r="M820" i="1"/>
  <c r="R820" i="1"/>
  <c r="I821" i="1"/>
  <c r="J821" i="1"/>
  <c r="K821" i="1"/>
  <c r="L821" i="1"/>
  <c r="M821" i="1"/>
  <c r="R821" i="1"/>
  <c r="I822" i="1"/>
  <c r="J822" i="1"/>
  <c r="K822" i="1"/>
  <c r="L822" i="1"/>
  <c r="R822" i="1" s="1"/>
  <c r="M822" i="1"/>
  <c r="I823" i="1"/>
  <c r="J823" i="1"/>
  <c r="K823" i="1"/>
  <c r="L823" i="1"/>
  <c r="R823" i="1" s="1"/>
  <c r="M823" i="1"/>
  <c r="I824" i="1"/>
  <c r="J824" i="1"/>
  <c r="K824" i="1"/>
  <c r="L824" i="1"/>
  <c r="M824" i="1"/>
  <c r="R824" i="1"/>
  <c r="I825" i="1"/>
  <c r="J825" i="1"/>
  <c r="K825" i="1"/>
  <c r="L825" i="1"/>
  <c r="R825" i="1" s="1"/>
  <c r="M825" i="1"/>
  <c r="I826" i="1"/>
  <c r="J826" i="1"/>
  <c r="K826" i="1"/>
  <c r="L826" i="1"/>
  <c r="R826" i="1" s="1"/>
  <c r="M826" i="1"/>
  <c r="I827" i="1"/>
  <c r="J827" i="1"/>
  <c r="K827" i="1"/>
  <c r="L827" i="1"/>
  <c r="R827" i="1" s="1"/>
  <c r="M827" i="1"/>
  <c r="I828" i="1"/>
  <c r="J828" i="1"/>
  <c r="K828" i="1"/>
  <c r="L828" i="1"/>
  <c r="M828" i="1"/>
  <c r="R828" i="1"/>
  <c r="I829" i="1"/>
  <c r="J829" i="1"/>
  <c r="K829" i="1"/>
  <c r="L829" i="1"/>
  <c r="M829" i="1"/>
  <c r="R829" i="1"/>
  <c r="I830" i="1"/>
  <c r="J830" i="1"/>
  <c r="K830" i="1"/>
  <c r="L830" i="1"/>
  <c r="M830" i="1"/>
  <c r="R830" i="1"/>
  <c r="I831" i="1"/>
  <c r="J831" i="1"/>
  <c r="K831" i="1"/>
  <c r="L831" i="1"/>
  <c r="R831" i="1" s="1"/>
  <c r="M831" i="1"/>
  <c r="I832" i="1"/>
  <c r="J832" i="1"/>
  <c r="K832" i="1"/>
  <c r="L832" i="1"/>
  <c r="M832" i="1"/>
  <c r="R832" i="1"/>
  <c r="I833" i="1"/>
  <c r="J833" i="1"/>
  <c r="K833" i="1"/>
  <c r="L833" i="1"/>
  <c r="R833" i="1" s="1"/>
  <c r="M833" i="1"/>
  <c r="I834" i="1"/>
  <c r="J834" i="1"/>
  <c r="K834" i="1"/>
  <c r="L834" i="1"/>
  <c r="R834" i="1" s="1"/>
  <c r="M834" i="1"/>
  <c r="I835" i="1"/>
  <c r="J835" i="1"/>
  <c r="K835" i="1"/>
  <c r="L835" i="1"/>
  <c r="M835" i="1"/>
  <c r="R835" i="1"/>
  <c r="I836" i="1"/>
  <c r="J836" i="1"/>
  <c r="K836" i="1"/>
  <c r="L836" i="1"/>
  <c r="R836" i="1" s="1"/>
  <c r="M836" i="1"/>
  <c r="I837" i="1"/>
  <c r="J837" i="1"/>
  <c r="K837" i="1"/>
  <c r="L837" i="1"/>
  <c r="M837" i="1"/>
  <c r="R837" i="1"/>
  <c r="I838" i="1"/>
  <c r="J838" i="1"/>
  <c r="K838" i="1"/>
  <c r="L838" i="1"/>
  <c r="R838" i="1" s="1"/>
  <c r="M838" i="1"/>
  <c r="I839" i="1"/>
  <c r="J839" i="1"/>
  <c r="K839" i="1"/>
  <c r="L839" i="1"/>
  <c r="R839" i="1" s="1"/>
  <c r="M839" i="1"/>
  <c r="I840" i="1"/>
  <c r="J840" i="1"/>
  <c r="K840" i="1"/>
  <c r="L840" i="1"/>
  <c r="M840" i="1"/>
  <c r="R840" i="1"/>
  <c r="I841" i="1"/>
  <c r="J841" i="1"/>
  <c r="K841" i="1"/>
  <c r="L841" i="1"/>
  <c r="R841" i="1" s="1"/>
  <c r="M841" i="1"/>
  <c r="I842" i="1"/>
  <c r="J842" i="1"/>
  <c r="K842" i="1"/>
  <c r="L842" i="1"/>
  <c r="R842" i="1" s="1"/>
  <c r="M842" i="1"/>
  <c r="I843" i="1"/>
  <c r="J843" i="1"/>
  <c r="K843" i="1"/>
  <c r="L843" i="1"/>
  <c r="R843" i="1" s="1"/>
  <c r="M843" i="1"/>
  <c r="I844" i="1"/>
  <c r="J844" i="1"/>
  <c r="K844" i="1"/>
  <c r="L844" i="1"/>
  <c r="M844" i="1"/>
  <c r="R844" i="1"/>
  <c r="I845" i="1"/>
  <c r="J845" i="1"/>
  <c r="K845" i="1"/>
  <c r="L845" i="1"/>
  <c r="M845" i="1"/>
  <c r="R845" i="1"/>
  <c r="I846" i="1"/>
  <c r="J846" i="1"/>
  <c r="K846" i="1"/>
  <c r="L846" i="1"/>
  <c r="M846" i="1"/>
  <c r="R846" i="1"/>
  <c r="I847" i="1"/>
  <c r="J847" i="1"/>
  <c r="K847" i="1"/>
  <c r="L847" i="1"/>
  <c r="R847" i="1" s="1"/>
  <c r="M847" i="1"/>
  <c r="I848" i="1"/>
  <c r="J848" i="1"/>
  <c r="K848" i="1"/>
  <c r="L848" i="1"/>
  <c r="M848" i="1"/>
  <c r="R848" i="1"/>
  <c r="I849" i="1"/>
  <c r="J849" i="1"/>
  <c r="K849" i="1"/>
  <c r="L849" i="1"/>
  <c r="R849" i="1" s="1"/>
  <c r="M849" i="1"/>
  <c r="I850" i="1"/>
  <c r="J850" i="1"/>
  <c r="K850" i="1"/>
  <c r="L850" i="1"/>
  <c r="R850" i="1" s="1"/>
  <c r="M850" i="1"/>
  <c r="I851" i="1"/>
  <c r="J851" i="1"/>
  <c r="K851" i="1"/>
  <c r="L851" i="1"/>
  <c r="M851" i="1"/>
  <c r="R851" i="1"/>
  <c r="I852" i="1"/>
  <c r="J852" i="1"/>
  <c r="K852" i="1"/>
  <c r="L852" i="1"/>
  <c r="R852" i="1" s="1"/>
  <c r="M852" i="1"/>
  <c r="I853" i="1"/>
  <c r="J853" i="1"/>
  <c r="K853" i="1"/>
  <c r="L853" i="1"/>
  <c r="M853" i="1"/>
  <c r="R853" i="1"/>
  <c r="I854" i="1"/>
  <c r="J854" i="1"/>
  <c r="K854" i="1"/>
  <c r="L854" i="1"/>
  <c r="R854" i="1" s="1"/>
  <c r="M854" i="1"/>
  <c r="I855" i="1"/>
  <c r="J855" i="1"/>
  <c r="K855" i="1"/>
  <c r="L855" i="1"/>
  <c r="R855" i="1" s="1"/>
  <c r="M855" i="1"/>
  <c r="I856" i="1"/>
  <c r="J856" i="1"/>
  <c r="K856" i="1"/>
  <c r="L856" i="1"/>
  <c r="M856" i="1"/>
  <c r="R856" i="1"/>
  <c r="I857" i="1"/>
  <c r="J857" i="1"/>
  <c r="K857" i="1"/>
  <c r="L857" i="1"/>
  <c r="M857" i="1"/>
  <c r="R857" i="1"/>
  <c r="I858" i="1"/>
  <c r="J858" i="1"/>
  <c r="K858" i="1"/>
  <c r="L858" i="1"/>
  <c r="R858" i="1" s="1"/>
  <c r="M858" i="1"/>
  <c r="I859" i="1"/>
  <c r="J859" i="1"/>
  <c r="K859" i="1"/>
  <c r="L859" i="1"/>
  <c r="M859" i="1"/>
  <c r="R859" i="1"/>
  <c r="I860" i="1"/>
  <c r="J860" i="1"/>
  <c r="K860" i="1"/>
  <c r="L860" i="1"/>
  <c r="R860" i="1" s="1"/>
  <c r="M860" i="1"/>
  <c r="I861" i="1"/>
  <c r="J861" i="1"/>
  <c r="K861" i="1"/>
  <c r="L861" i="1"/>
  <c r="M861" i="1"/>
  <c r="R861" i="1"/>
  <c r="I862" i="1"/>
  <c r="J862" i="1"/>
  <c r="K862" i="1"/>
  <c r="L862" i="1"/>
  <c r="M862" i="1"/>
  <c r="R862" i="1"/>
  <c r="I863" i="1"/>
  <c r="J863" i="1"/>
  <c r="K863" i="1"/>
  <c r="L863" i="1"/>
  <c r="M863" i="1"/>
  <c r="R863" i="1"/>
  <c r="I864" i="1"/>
  <c r="J864" i="1"/>
  <c r="K864" i="1"/>
  <c r="L864" i="1"/>
  <c r="M864" i="1"/>
  <c r="R864" i="1"/>
  <c r="I865" i="1"/>
  <c r="J865" i="1"/>
  <c r="K865" i="1"/>
  <c r="L865" i="1"/>
  <c r="R865" i="1" s="1"/>
  <c r="M865" i="1"/>
  <c r="I866" i="1"/>
  <c r="J866" i="1"/>
  <c r="K866" i="1"/>
  <c r="L866" i="1"/>
  <c r="R866" i="1" s="1"/>
  <c r="M866" i="1"/>
  <c r="I867" i="1"/>
  <c r="J867" i="1"/>
  <c r="K867" i="1"/>
  <c r="L867" i="1"/>
  <c r="R867" i="1" s="1"/>
  <c r="M867" i="1"/>
  <c r="I868" i="1"/>
  <c r="J868" i="1"/>
  <c r="K868" i="1"/>
  <c r="L868" i="1"/>
  <c r="M868" i="1"/>
  <c r="R868" i="1"/>
  <c r="I869" i="1"/>
  <c r="J869" i="1"/>
  <c r="K869" i="1"/>
  <c r="L869" i="1"/>
  <c r="M869" i="1"/>
  <c r="R869" i="1"/>
  <c r="I870" i="1"/>
  <c r="J870" i="1"/>
  <c r="K870" i="1"/>
  <c r="L870" i="1"/>
  <c r="R870" i="1" s="1"/>
  <c r="M870" i="1"/>
  <c r="I871" i="1"/>
  <c r="J871" i="1"/>
  <c r="K871" i="1"/>
  <c r="L871" i="1"/>
  <c r="R871" i="1" s="1"/>
  <c r="M871" i="1"/>
  <c r="I872" i="1"/>
  <c r="J872" i="1"/>
  <c r="K872" i="1"/>
  <c r="L872" i="1"/>
  <c r="M872" i="1"/>
  <c r="R872" i="1"/>
  <c r="I873" i="1"/>
  <c r="J873" i="1"/>
  <c r="K873" i="1"/>
  <c r="L873" i="1"/>
  <c r="R873" i="1" s="1"/>
  <c r="M873" i="1"/>
  <c r="I874" i="1"/>
  <c r="J874" i="1"/>
  <c r="K874" i="1"/>
  <c r="L874" i="1"/>
  <c r="R874" i="1" s="1"/>
  <c r="M874" i="1"/>
  <c r="I875" i="1"/>
  <c r="J875" i="1"/>
  <c r="K875" i="1"/>
  <c r="L875" i="1"/>
  <c r="M875" i="1"/>
  <c r="R875" i="1"/>
  <c r="I876" i="1"/>
  <c r="J876" i="1"/>
  <c r="K876" i="1"/>
  <c r="L876" i="1"/>
  <c r="R876" i="1" s="1"/>
  <c r="M876" i="1"/>
  <c r="I877" i="1"/>
  <c r="J877" i="1"/>
  <c r="K877" i="1"/>
  <c r="L877" i="1"/>
  <c r="R877" i="1" s="1"/>
  <c r="M877" i="1"/>
  <c r="I878" i="1"/>
  <c r="J878" i="1"/>
  <c r="K878" i="1"/>
  <c r="L878" i="1"/>
  <c r="M878" i="1"/>
  <c r="R878" i="1"/>
  <c r="I879" i="1"/>
  <c r="J879" i="1"/>
  <c r="K879" i="1"/>
  <c r="L879" i="1"/>
  <c r="R879" i="1" s="1"/>
  <c r="M879" i="1"/>
  <c r="I880" i="1"/>
  <c r="J880" i="1"/>
  <c r="K880" i="1"/>
  <c r="L880" i="1"/>
  <c r="M880" i="1"/>
  <c r="R880" i="1"/>
  <c r="I881" i="1"/>
  <c r="J881" i="1"/>
  <c r="K881" i="1"/>
  <c r="L881" i="1"/>
  <c r="M881" i="1"/>
  <c r="R881" i="1"/>
  <c r="I882" i="1"/>
  <c r="J882" i="1"/>
  <c r="K882" i="1"/>
  <c r="L882" i="1"/>
  <c r="M882" i="1"/>
  <c r="R882" i="1"/>
  <c r="I883" i="1"/>
  <c r="J883" i="1"/>
  <c r="K883" i="1"/>
  <c r="L883" i="1"/>
  <c r="M883" i="1"/>
  <c r="R883" i="1"/>
  <c r="I884" i="1"/>
  <c r="J884" i="1"/>
  <c r="K884" i="1"/>
  <c r="L884" i="1"/>
  <c r="R884" i="1" s="1"/>
  <c r="M884" i="1"/>
  <c r="I885" i="1"/>
  <c r="J885" i="1"/>
  <c r="K885" i="1"/>
  <c r="L885" i="1"/>
  <c r="R885" i="1" s="1"/>
  <c r="M885" i="1"/>
  <c r="I886" i="1"/>
  <c r="J886" i="1"/>
  <c r="K886" i="1"/>
  <c r="L886" i="1"/>
  <c r="M886" i="1"/>
  <c r="R886" i="1"/>
  <c r="I887" i="1"/>
  <c r="J887" i="1"/>
  <c r="K887" i="1"/>
  <c r="L887" i="1"/>
  <c r="R887" i="1" s="1"/>
  <c r="M887" i="1"/>
  <c r="I888" i="1"/>
  <c r="J888" i="1"/>
  <c r="K888" i="1"/>
  <c r="L888" i="1"/>
  <c r="R888" i="1" s="1"/>
  <c r="M888" i="1"/>
  <c r="I889" i="1"/>
  <c r="J889" i="1"/>
  <c r="K889" i="1"/>
  <c r="L889" i="1"/>
  <c r="M889" i="1"/>
  <c r="R889" i="1"/>
  <c r="I890" i="1"/>
  <c r="J890" i="1"/>
  <c r="K890" i="1"/>
  <c r="L890" i="1"/>
  <c r="M890" i="1"/>
  <c r="R890" i="1"/>
  <c r="I891" i="1"/>
  <c r="J891" i="1"/>
  <c r="K891" i="1"/>
  <c r="L891" i="1"/>
  <c r="M891" i="1"/>
  <c r="R891" i="1"/>
  <c r="I892" i="1"/>
  <c r="J892" i="1"/>
  <c r="K892" i="1"/>
  <c r="L892" i="1"/>
  <c r="R892" i="1" s="1"/>
  <c r="M892" i="1"/>
  <c r="I893" i="1"/>
  <c r="J893" i="1"/>
  <c r="K893" i="1"/>
  <c r="L893" i="1"/>
  <c r="R893" i="1" s="1"/>
  <c r="M893" i="1"/>
  <c r="I894" i="1"/>
  <c r="J894" i="1"/>
  <c r="K894" i="1"/>
  <c r="L894" i="1"/>
  <c r="M894" i="1"/>
  <c r="R894" i="1"/>
  <c r="I895" i="1"/>
  <c r="J895" i="1"/>
  <c r="K895" i="1"/>
  <c r="L895" i="1"/>
  <c r="R895" i="1" s="1"/>
  <c r="M895" i="1"/>
  <c r="I896" i="1"/>
  <c r="J896" i="1"/>
  <c r="K896" i="1"/>
  <c r="L896" i="1"/>
  <c r="R896" i="1" s="1"/>
  <c r="M896" i="1"/>
  <c r="I897" i="1"/>
  <c r="J897" i="1"/>
  <c r="K897" i="1"/>
  <c r="L897" i="1"/>
  <c r="M897" i="1"/>
  <c r="R897" i="1"/>
  <c r="I898" i="1"/>
  <c r="J898" i="1"/>
  <c r="K898" i="1"/>
  <c r="L898" i="1"/>
  <c r="M898" i="1"/>
  <c r="R898" i="1"/>
  <c r="I899" i="1"/>
  <c r="J899" i="1"/>
  <c r="K899" i="1"/>
  <c r="L899" i="1"/>
  <c r="M899" i="1"/>
  <c r="R899" i="1"/>
  <c r="I900" i="1"/>
  <c r="J900" i="1"/>
  <c r="K900" i="1"/>
  <c r="L900" i="1"/>
  <c r="R900" i="1" s="1"/>
  <c r="M900" i="1"/>
  <c r="I901" i="1"/>
  <c r="J901" i="1"/>
  <c r="K901" i="1"/>
  <c r="L901" i="1"/>
  <c r="R901" i="1" s="1"/>
  <c r="M901" i="1"/>
  <c r="I902" i="1"/>
  <c r="J902" i="1"/>
  <c r="K902" i="1"/>
  <c r="L902" i="1"/>
  <c r="M902" i="1"/>
  <c r="R902" i="1"/>
  <c r="I903" i="1"/>
  <c r="J903" i="1"/>
  <c r="K903" i="1"/>
  <c r="L903" i="1"/>
  <c r="R903" i="1" s="1"/>
  <c r="M903" i="1"/>
  <c r="I904" i="1"/>
  <c r="J904" i="1"/>
  <c r="K904" i="1"/>
  <c r="L904" i="1"/>
  <c r="R904" i="1" s="1"/>
  <c r="M904" i="1"/>
  <c r="I905" i="1"/>
  <c r="J905" i="1"/>
  <c r="K905" i="1"/>
  <c r="L905" i="1"/>
  <c r="M905" i="1"/>
  <c r="R905" i="1"/>
  <c r="I906" i="1"/>
  <c r="J906" i="1"/>
  <c r="K906" i="1"/>
  <c r="L906" i="1"/>
  <c r="M906" i="1"/>
  <c r="R906" i="1"/>
  <c r="I907" i="1"/>
  <c r="J907" i="1"/>
  <c r="K907" i="1"/>
  <c r="L907" i="1"/>
  <c r="M907" i="1"/>
  <c r="R907" i="1"/>
  <c r="I908" i="1"/>
  <c r="J908" i="1"/>
  <c r="K908" i="1"/>
  <c r="L908" i="1"/>
  <c r="R908" i="1" s="1"/>
  <c r="M908" i="1"/>
  <c r="I909" i="1"/>
  <c r="J909" i="1"/>
  <c r="K909" i="1"/>
  <c r="L909" i="1"/>
  <c r="R909" i="1" s="1"/>
  <c r="M909" i="1"/>
  <c r="I910" i="1"/>
  <c r="J910" i="1"/>
  <c r="K910" i="1"/>
  <c r="L910" i="1"/>
  <c r="M910" i="1"/>
  <c r="R910" i="1"/>
  <c r="I911" i="1"/>
  <c r="J911" i="1"/>
  <c r="K911" i="1"/>
  <c r="L911" i="1"/>
  <c r="R911" i="1" s="1"/>
  <c r="M911" i="1"/>
  <c r="I912" i="1"/>
  <c r="J912" i="1"/>
  <c r="K912" i="1"/>
  <c r="L912" i="1"/>
  <c r="R912" i="1" s="1"/>
  <c r="M912" i="1"/>
  <c r="I913" i="1"/>
  <c r="J913" i="1"/>
  <c r="K913" i="1"/>
  <c r="L913" i="1"/>
  <c r="M913" i="1"/>
  <c r="R913" i="1"/>
  <c r="I914" i="1"/>
  <c r="J914" i="1"/>
  <c r="K914" i="1"/>
  <c r="L914" i="1"/>
  <c r="M914" i="1"/>
  <c r="R914" i="1"/>
  <c r="I915" i="1"/>
  <c r="J915" i="1"/>
  <c r="K915" i="1"/>
  <c r="L915" i="1"/>
  <c r="M915" i="1"/>
  <c r="R915" i="1"/>
  <c r="I916" i="1"/>
  <c r="J916" i="1"/>
  <c r="K916" i="1"/>
  <c r="L916" i="1"/>
  <c r="R916" i="1" s="1"/>
  <c r="M916" i="1"/>
  <c r="I917" i="1"/>
  <c r="J917" i="1"/>
  <c r="K917" i="1"/>
  <c r="L917" i="1"/>
  <c r="R917" i="1" s="1"/>
  <c r="M917" i="1"/>
  <c r="I918" i="1"/>
  <c r="J918" i="1"/>
  <c r="K918" i="1"/>
  <c r="L918" i="1"/>
  <c r="M918" i="1"/>
  <c r="R918" i="1"/>
  <c r="I919" i="1"/>
  <c r="J919" i="1"/>
  <c r="K919" i="1"/>
  <c r="L919" i="1"/>
  <c r="R919" i="1" s="1"/>
  <c r="M919" i="1"/>
  <c r="I920" i="1"/>
  <c r="J920" i="1"/>
  <c r="K920" i="1"/>
  <c r="L920" i="1"/>
  <c r="R920" i="1" s="1"/>
  <c r="M920" i="1"/>
  <c r="I921" i="1"/>
  <c r="J921" i="1"/>
  <c r="K921" i="1"/>
  <c r="L921" i="1"/>
  <c r="M921" i="1"/>
  <c r="R921" i="1"/>
  <c r="I922" i="1"/>
  <c r="J922" i="1"/>
  <c r="K922" i="1"/>
  <c r="L922" i="1"/>
  <c r="M922" i="1"/>
  <c r="R922" i="1"/>
  <c r="I923" i="1"/>
  <c r="J923" i="1"/>
  <c r="K923" i="1"/>
  <c r="L923" i="1"/>
  <c r="M923" i="1"/>
  <c r="R923" i="1"/>
  <c r="I924" i="1"/>
  <c r="J924" i="1"/>
  <c r="K924" i="1"/>
  <c r="L924" i="1"/>
  <c r="R924" i="1" s="1"/>
  <c r="M924" i="1"/>
  <c r="I925" i="1"/>
  <c r="J925" i="1"/>
  <c r="K925" i="1"/>
  <c r="L925" i="1"/>
  <c r="R925" i="1" s="1"/>
  <c r="M925" i="1"/>
  <c r="I926" i="1"/>
  <c r="J926" i="1"/>
  <c r="K926" i="1"/>
  <c r="L926" i="1"/>
  <c r="M926" i="1"/>
  <c r="R926" i="1"/>
  <c r="I927" i="1"/>
  <c r="J927" i="1"/>
  <c r="K927" i="1"/>
  <c r="L927" i="1"/>
  <c r="R927" i="1" s="1"/>
  <c r="M927" i="1"/>
  <c r="I928" i="1"/>
  <c r="J928" i="1"/>
  <c r="K928" i="1"/>
  <c r="L928" i="1"/>
  <c r="R928" i="1" s="1"/>
  <c r="M928" i="1"/>
  <c r="I929" i="1"/>
  <c r="J929" i="1"/>
  <c r="K929" i="1"/>
  <c r="L929" i="1"/>
  <c r="M929" i="1"/>
  <c r="R929" i="1"/>
  <c r="I930" i="1"/>
  <c r="J930" i="1"/>
  <c r="K930" i="1"/>
  <c r="L930" i="1"/>
  <c r="M930" i="1"/>
  <c r="R930" i="1"/>
  <c r="I931" i="1"/>
  <c r="J931" i="1"/>
  <c r="K931" i="1"/>
  <c r="L931" i="1"/>
  <c r="M931" i="1"/>
  <c r="R931" i="1"/>
  <c r="I932" i="1"/>
  <c r="J932" i="1"/>
  <c r="K932" i="1"/>
  <c r="L932" i="1"/>
  <c r="R932" i="1" s="1"/>
  <c r="M932" i="1"/>
  <c r="I933" i="1"/>
  <c r="J933" i="1"/>
  <c r="K933" i="1"/>
  <c r="L933" i="1"/>
  <c r="R933" i="1" s="1"/>
  <c r="M933" i="1"/>
  <c r="I934" i="1"/>
  <c r="J934" i="1"/>
  <c r="K934" i="1"/>
  <c r="L934" i="1"/>
  <c r="M934" i="1"/>
  <c r="R934" i="1"/>
  <c r="I935" i="1"/>
  <c r="J935" i="1"/>
  <c r="K935" i="1"/>
  <c r="L935" i="1"/>
  <c r="R935" i="1" s="1"/>
  <c r="M935" i="1"/>
  <c r="I936" i="1"/>
  <c r="J936" i="1"/>
  <c r="K936" i="1"/>
  <c r="L936" i="1"/>
  <c r="R936" i="1" s="1"/>
  <c r="M936" i="1"/>
  <c r="I937" i="1"/>
  <c r="J937" i="1"/>
  <c r="K937" i="1"/>
  <c r="L937" i="1"/>
  <c r="M937" i="1"/>
  <c r="R937" i="1"/>
  <c r="I938" i="1"/>
  <c r="J938" i="1"/>
  <c r="K938" i="1"/>
  <c r="L938" i="1"/>
  <c r="M938" i="1"/>
  <c r="R938" i="1"/>
  <c r="I939" i="1"/>
  <c r="J939" i="1"/>
  <c r="K939" i="1"/>
  <c r="L939" i="1"/>
  <c r="M939" i="1"/>
  <c r="R939" i="1"/>
  <c r="I940" i="1"/>
  <c r="J940" i="1"/>
  <c r="K940" i="1"/>
  <c r="L940" i="1"/>
  <c r="R940" i="1" s="1"/>
  <c r="M940" i="1"/>
  <c r="I941" i="1"/>
  <c r="J941" i="1"/>
  <c r="K941" i="1"/>
  <c r="L941" i="1"/>
  <c r="R941" i="1" s="1"/>
  <c r="M941" i="1"/>
  <c r="I942" i="1"/>
  <c r="J942" i="1"/>
  <c r="K942" i="1"/>
  <c r="L942" i="1"/>
  <c r="M942" i="1"/>
  <c r="R942" i="1"/>
  <c r="I943" i="1"/>
  <c r="J943" i="1"/>
  <c r="K943" i="1"/>
  <c r="L943" i="1"/>
  <c r="R943" i="1" s="1"/>
  <c r="M943" i="1"/>
  <c r="I944" i="1"/>
  <c r="J944" i="1"/>
  <c r="K944" i="1"/>
  <c r="L944" i="1"/>
  <c r="R944" i="1" s="1"/>
  <c r="M944" i="1"/>
  <c r="I945" i="1"/>
  <c r="J945" i="1"/>
  <c r="K945" i="1"/>
  <c r="L945" i="1"/>
  <c r="M945" i="1"/>
  <c r="R945" i="1"/>
  <c r="I946" i="1"/>
  <c r="J946" i="1"/>
  <c r="K946" i="1"/>
  <c r="L946" i="1"/>
  <c r="M946" i="1"/>
  <c r="I947" i="1"/>
  <c r="J947" i="1"/>
  <c r="K947" i="1"/>
  <c r="L947" i="1"/>
  <c r="R947" i="1" s="1"/>
  <c r="M947" i="1"/>
  <c r="I948" i="1"/>
  <c r="J948" i="1"/>
  <c r="K948" i="1"/>
  <c r="L948" i="1"/>
  <c r="R948" i="1" s="1"/>
  <c r="M948" i="1"/>
  <c r="I949" i="1"/>
  <c r="J949" i="1"/>
  <c r="K949" i="1"/>
  <c r="L949" i="1"/>
  <c r="M949" i="1"/>
  <c r="R949" i="1"/>
  <c r="I950" i="1"/>
  <c r="J950" i="1"/>
  <c r="K950" i="1"/>
  <c r="L950" i="1"/>
  <c r="R950" i="1" s="1"/>
  <c r="M950" i="1"/>
  <c r="I951" i="1"/>
  <c r="J951" i="1"/>
  <c r="K951" i="1"/>
  <c r="L951" i="1"/>
  <c r="R951" i="1" s="1"/>
  <c r="M951" i="1"/>
  <c r="I952" i="1"/>
  <c r="J952" i="1"/>
  <c r="K952" i="1"/>
  <c r="L952" i="1"/>
  <c r="M952" i="1"/>
  <c r="R952" i="1"/>
  <c r="I953" i="1"/>
  <c r="J953" i="1"/>
  <c r="K953" i="1"/>
  <c r="L953" i="1"/>
  <c r="M953" i="1"/>
  <c r="R953" i="1"/>
  <c r="I954" i="1"/>
  <c r="J954" i="1"/>
  <c r="K954" i="1"/>
  <c r="L954" i="1"/>
  <c r="M954" i="1"/>
  <c r="R954" i="1"/>
  <c r="I955" i="1"/>
  <c r="J955" i="1"/>
  <c r="K955" i="1"/>
  <c r="L955" i="1"/>
  <c r="R955" i="1" s="1"/>
  <c r="M955" i="1"/>
  <c r="I956" i="1"/>
  <c r="J956" i="1"/>
  <c r="K956" i="1"/>
  <c r="L956" i="1"/>
  <c r="R956" i="1" s="1"/>
  <c r="M956" i="1"/>
  <c r="I957" i="1"/>
  <c r="J957" i="1"/>
  <c r="K957" i="1"/>
  <c r="L957" i="1"/>
  <c r="M957" i="1"/>
  <c r="R957" i="1"/>
  <c r="I958" i="1"/>
  <c r="J958" i="1"/>
  <c r="K958" i="1"/>
  <c r="L958" i="1"/>
  <c r="R958" i="1" s="1"/>
  <c r="M958" i="1"/>
  <c r="I959" i="1"/>
  <c r="J959" i="1"/>
  <c r="K959" i="1"/>
  <c r="L959" i="1"/>
  <c r="R959" i="1" s="1"/>
  <c r="M959" i="1"/>
  <c r="I960" i="1"/>
  <c r="J960" i="1"/>
  <c r="K960" i="1"/>
  <c r="L960" i="1"/>
  <c r="M960" i="1"/>
  <c r="R960" i="1"/>
  <c r="I961" i="1"/>
  <c r="J961" i="1"/>
  <c r="K961" i="1"/>
  <c r="L961" i="1"/>
  <c r="M961" i="1"/>
  <c r="R961" i="1"/>
  <c r="I962" i="1"/>
  <c r="J962" i="1"/>
  <c r="K962" i="1"/>
  <c r="L962" i="1"/>
  <c r="M962" i="1"/>
  <c r="R962" i="1"/>
  <c r="I963" i="1"/>
  <c r="J963" i="1"/>
  <c r="K963" i="1"/>
  <c r="L963" i="1"/>
  <c r="R963" i="1" s="1"/>
  <c r="M963" i="1"/>
  <c r="I964" i="1"/>
  <c r="J964" i="1"/>
  <c r="K964" i="1"/>
  <c r="L964" i="1"/>
  <c r="R964" i="1" s="1"/>
  <c r="M964" i="1"/>
  <c r="I965" i="1"/>
  <c r="J965" i="1"/>
  <c r="K965" i="1"/>
  <c r="L965" i="1"/>
  <c r="M965" i="1"/>
  <c r="R965" i="1"/>
  <c r="I966" i="1"/>
  <c r="J966" i="1"/>
  <c r="K966" i="1"/>
  <c r="L966" i="1"/>
  <c r="R966" i="1" s="1"/>
  <c r="M966" i="1"/>
  <c r="I967" i="1"/>
  <c r="J967" i="1"/>
  <c r="K967" i="1"/>
  <c r="L967" i="1"/>
  <c r="R967" i="1" s="1"/>
  <c r="M967" i="1"/>
  <c r="I968" i="1"/>
  <c r="J968" i="1"/>
  <c r="K968" i="1"/>
  <c r="L968" i="1"/>
  <c r="M968" i="1"/>
  <c r="R968" i="1"/>
  <c r="I978" i="1"/>
  <c r="J978" i="1"/>
  <c r="K978" i="1"/>
  <c r="L978" i="1"/>
  <c r="M978" i="1"/>
  <c r="R978" i="1"/>
  <c r="I979" i="1"/>
  <c r="J979" i="1"/>
  <c r="K979" i="1"/>
  <c r="L979" i="1"/>
  <c r="M979" i="1"/>
  <c r="R979" i="1"/>
  <c r="I980" i="1"/>
  <c r="J980" i="1"/>
  <c r="K980" i="1"/>
  <c r="L980" i="1"/>
  <c r="M980" i="1"/>
  <c r="R980" i="1"/>
  <c r="I981" i="1"/>
  <c r="J981" i="1"/>
  <c r="K981" i="1"/>
  <c r="L981" i="1"/>
  <c r="R981" i="1" s="1"/>
  <c r="M981" i="1"/>
  <c r="I982" i="1"/>
  <c r="J982" i="1"/>
  <c r="K982" i="1"/>
  <c r="L982" i="1"/>
  <c r="R982" i="1" s="1"/>
  <c r="M982" i="1"/>
  <c r="I983" i="1"/>
  <c r="J983" i="1"/>
  <c r="K983" i="1"/>
  <c r="L983" i="1"/>
  <c r="M983" i="1"/>
  <c r="R983" i="1"/>
  <c r="I984" i="1"/>
  <c r="J984" i="1"/>
  <c r="K984" i="1"/>
  <c r="L984" i="1"/>
  <c r="R984" i="1" s="1"/>
  <c r="M984" i="1"/>
  <c r="I985" i="1"/>
  <c r="J985" i="1"/>
  <c r="K985" i="1"/>
  <c r="L985" i="1"/>
  <c r="M985" i="1"/>
  <c r="R985" i="1"/>
  <c r="I986" i="1"/>
  <c r="J986" i="1"/>
  <c r="K986" i="1"/>
  <c r="L986" i="1"/>
  <c r="M986" i="1"/>
  <c r="R986" i="1"/>
  <c r="I987" i="1"/>
  <c r="J987" i="1"/>
  <c r="K987" i="1"/>
  <c r="L987" i="1"/>
  <c r="M987" i="1"/>
  <c r="R987" i="1"/>
  <c r="I988" i="1"/>
  <c r="J988" i="1"/>
  <c r="K988" i="1"/>
  <c r="L988" i="1"/>
  <c r="M988" i="1"/>
  <c r="R988" i="1"/>
  <c r="I989" i="1"/>
  <c r="J989" i="1"/>
  <c r="K989" i="1"/>
  <c r="L989" i="1"/>
  <c r="R989" i="1" s="1"/>
  <c r="M989" i="1"/>
  <c r="I990" i="1"/>
  <c r="J990" i="1"/>
  <c r="K990" i="1"/>
  <c r="L990" i="1"/>
  <c r="R990" i="1" s="1"/>
  <c r="M990" i="1"/>
  <c r="I991" i="1"/>
  <c r="J991" i="1"/>
  <c r="K991" i="1"/>
  <c r="L991" i="1"/>
  <c r="M991" i="1"/>
  <c r="R991" i="1"/>
  <c r="I992" i="1"/>
  <c r="J992" i="1"/>
  <c r="K992" i="1"/>
  <c r="L992" i="1"/>
  <c r="R992" i="1" s="1"/>
  <c r="M992" i="1"/>
  <c r="I993" i="1"/>
  <c r="J993" i="1"/>
  <c r="K993" i="1"/>
  <c r="L993" i="1"/>
  <c r="M993" i="1"/>
  <c r="R993" i="1"/>
  <c r="I994" i="1"/>
  <c r="J994" i="1"/>
  <c r="K994" i="1"/>
  <c r="L994" i="1"/>
  <c r="M994" i="1"/>
  <c r="R994" i="1"/>
  <c r="I995" i="1"/>
  <c r="J995" i="1"/>
  <c r="K995" i="1"/>
  <c r="L995" i="1"/>
  <c r="M995" i="1"/>
  <c r="R995" i="1"/>
  <c r="I996" i="1"/>
  <c r="J996" i="1"/>
  <c r="K996" i="1"/>
  <c r="L996" i="1"/>
  <c r="M996" i="1"/>
  <c r="R996" i="1"/>
  <c r="I997" i="1"/>
  <c r="J997" i="1"/>
  <c r="K997" i="1"/>
  <c r="L997" i="1"/>
  <c r="R997" i="1" s="1"/>
  <c r="M997" i="1"/>
  <c r="I998" i="1"/>
  <c r="J998" i="1"/>
  <c r="K998" i="1"/>
  <c r="L998" i="1"/>
  <c r="R998" i="1" s="1"/>
  <c r="M998" i="1"/>
  <c r="I999" i="1"/>
  <c r="J999" i="1"/>
  <c r="K999" i="1"/>
  <c r="L999" i="1"/>
  <c r="M999" i="1"/>
  <c r="R999" i="1"/>
  <c r="I1000" i="1"/>
  <c r="J1000" i="1"/>
  <c r="K1000" i="1"/>
  <c r="L1000" i="1"/>
  <c r="R1000" i="1" s="1"/>
  <c r="M1000" i="1"/>
  <c r="I1001" i="1"/>
  <c r="J1001" i="1"/>
  <c r="K1001" i="1"/>
  <c r="L1001" i="1"/>
  <c r="M1001" i="1"/>
  <c r="R1001" i="1"/>
  <c r="I1002" i="1"/>
  <c r="J1002" i="1"/>
  <c r="K1002" i="1"/>
  <c r="L1002" i="1"/>
  <c r="M1002" i="1"/>
  <c r="R1002" i="1"/>
  <c r="I1003" i="1"/>
  <c r="J1003" i="1"/>
  <c r="K1003" i="1"/>
  <c r="L1003" i="1"/>
  <c r="M1003" i="1"/>
  <c r="R1003" i="1"/>
  <c r="I1004" i="1"/>
  <c r="J1004" i="1"/>
  <c r="K1004" i="1"/>
  <c r="L1004" i="1"/>
  <c r="M1004" i="1"/>
  <c r="R1004" i="1"/>
  <c r="I1005" i="1"/>
  <c r="J1005" i="1"/>
  <c r="K1005" i="1"/>
  <c r="L1005" i="1"/>
  <c r="R1005" i="1" s="1"/>
  <c r="M1005" i="1"/>
  <c r="I1006" i="1"/>
  <c r="J1006" i="1"/>
  <c r="K1006" i="1"/>
  <c r="L1006" i="1"/>
  <c r="R1006" i="1" s="1"/>
  <c r="M1006" i="1"/>
  <c r="I1007" i="1"/>
  <c r="J1007" i="1"/>
  <c r="K1007" i="1"/>
  <c r="L1007" i="1"/>
  <c r="M1007" i="1"/>
  <c r="R1007" i="1"/>
  <c r="I1008" i="1"/>
  <c r="J1008" i="1"/>
  <c r="K1008" i="1"/>
  <c r="L1008" i="1"/>
  <c r="R1008" i="1" s="1"/>
  <c r="M1008" i="1"/>
  <c r="I1009" i="1"/>
  <c r="J1009" i="1"/>
  <c r="K1009" i="1"/>
  <c r="L1009" i="1"/>
  <c r="M1009" i="1"/>
  <c r="R1009" i="1"/>
  <c r="I1010" i="1"/>
  <c r="J1010" i="1"/>
  <c r="K1010" i="1"/>
  <c r="L1010" i="1"/>
  <c r="M1010" i="1"/>
  <c r="R1010" i="1"/>
  <c r="I1011" i="1"/>
  <c r="J1011" i="1"/>
  <c r="K1011" i="1"/>
  <c r="L1011" i="1"/>
  <c r="M1011" i="1"/>
  <c r="R1011" i="1"/>
  <c r="I1012" i="1"/>
  <c r="J1012" i="1"/>
  <c r="K1012" i="1"/>
  <c r="L1012" i="1"/>
  <c r="M1012" i="1"/>
  <c r="R1012" i="1"/>
  <c r="I1013" i="1"/>
  <c r="J1013" i="1"/>
  <c r="K1013" i="1"/>
  <c r="L1013" i="1"/>
  <c r="R1013" i="1" s="1"/>
  <c r="M1013" i="1"/>
  <c r="I1014" i="1"/>
  <c r="J1014" i="1"/>
  <c r="K1014" i="1"/>
  <c r="L1014" i="1"/>
  <c r="R1014" i="1" s="1"/>
  <c r="M1014" i="1"/>
  <c r="I1015" i="1"/>
  <c r="J1015" i="1"/>
  <c r="K1015" i="1"/>
  <c r="L1015" i="1"/>
  <c r="M1015" i="1"/>
  <c r="R1015" i="1"/>
  <c r="I1016" i="1"/>
  <c r="J1016" i="1"/>
  <c r="K1016" i="1"/>
  <c r="L1016" i="1"/>
  <c r="R1016" i="1" s="1"/>
  <c r="M1016" i="1"/>
  <c r="I1017" i="1"/>
  <c r="J1017" i="1"/>
  <c r="K1017" i="1"/>
  <c r="L1017" i="1"/>
  <c r="M1017" i="1"/>
  <c r="R1017" i="1"/>
  <c r="I1018" i="1"/>
  <c r="J1018" i="1"/>
  <c r="K1018" i="1"/>
  <c r="L1018" i="1"/>
  <c r="M1018" i="1"/>
  <c r="R1018" i="1"/>
  <c r="I1019" i="1"/>
  <c r="J1019" i="1"/>
  <c r="K1019" i="1"/>
  <c r="L1019" i="1"/>
  <c r="M1019" i="1"/>
  <c r="R1019" i="1"/>
  <c r="I1020" i="1"/>
  <c r="J1020" i="1"/>
  <c r="K1020" i="1"/>
  <c r="L1020" i="1"/>
  <c r="M1020" i="1"/>
  <c r="R1020" i="1"/>
  <c r="I1021" i="1"/>
  <c r="J1021" i="1"/>
  <c r="K1021" i="1"/>
  <c r="L1021" i="1"/>
  <c r="R1021" i="1" s="1"/>
  <c r="M1021" i="1"/>
  <c r="I1022" i="1"/>
  <c r="J1022" i="1"/>
  <c r="K1022" i="1"/>
  <c r="L1022" i="1"/>
  <c r="R1022" i="1" s="1"/>
  <c r="M1022" i="1"/>
  <c r="I1023" i="1"/>
  <c r="J1023" i="1"/>
  <c r="K1023" i="1"/>
  <c r="L1023" i="1"/>
  <c r="M1023" i="1"/>
  <c r="R1023" i="1"/>
  <c r="I1024" i="1"/>
  <c r="J1024" i="1"/>
  <c r="K1024" i="1"/>
  <c r="L1024" i="1"/>
  <c r="R1024" i="1" s="1"/>
  <c r="M1024" i="1"/>
  <c r="I1025" i="1"/>
  <c r="J1025" i="1"/>
  <c r="K1025" i="1"/>
  <c r="L1025" i="1"/>
  <c r="M1025" i="1"/>
  <c r="R1025" i="1"/>
  <c r="I1026" i="1"/>
  <c r="J1026" i="1"/>
  <c r="K1026" i="1"/>
  <c r="L1026" i="1"/>
  <c r="M1026" i="1"/>
  <c r="R1026" i="1"/>
  <c r="I1027" i="1"/>
  <c r="J1027" i="1"/>
  <c r="K1027" i="1"/>
  <c r="L1027" i="1"/>
  <c r="M1027" i="1"/>
  <c r="R1027" i="1"/>
  <c r="I1028" i="1"/>
  <c r="J1028" i="1"/>
  <c r="K1028" i="1"/>
  <c r="L1028" i="1"/>
  <c r="M1028" i="1"/>
  <c r="R1028" i="1"/>
  <c r="I1029" i="1"/>
  <c r="J1029" i="1"/>
  <c r="K1029" i="1"/>
  <c r="L1029" i="1"/>
  <c r="R1029" i="1" s="1"/>
  <c r="M1029" i="1"/>
  <c r="I1030" i="1"/>
  <c r="J1030" i="1"/>
  <c r="K1030" i="1"/>
  <c r="L1030" i="1"/>
  <c r="R1030" i="1" s="1"/>
  <c r="M1030" i="1"/>
  <c r="I1031" i="1"/>
  <c r="J1031" i="1"/>
  <c r="K1031" i="1"/>
  <c r="L1031" i="1"/>
  <c r="M1031" i="1"/>
  <c r="R1031" i="1"/>
  <c r="I1032" i="1"/>
  <c r="J1032" i="1"/>
  <c r="K1032" i="1"/>
  <c r="L1032" i="1"/>
  <c r="R1032" i="1" s="1"/>
  <c r="M1032" i="1"/>
  <c r="I1033" i="1"/>
  <c r="J1033" i="1"/>
  <c r="K1033" i="1"/>
  <c r="L1033" i="1"/>
  <c r="M1033" i="1"/>
  <c r="R1033" i="1"/>
  <c r="I1034" i="1"/>
  <c r="J1034" i="1"/>
  <c r="K1034" i="1"/>
  <c r="L1034" i="1"/>
  <c r="M1034" i="1"/>
  <c r="R1034" i="1"/>
  <c r="I1035" i="1"/>
  <c r="J1035" i="1"/>
  <c r="K1035" i="1"/>
  <c r="L1035" i="1"/>
  <c r="M1035" i="1"/>
  <c r="R1035" i="1"/>
  <c r="I1036" i="1"/>
  <c r="J1036" i="1"/>
  <c r="K1036" i="1"/>
  <c r="L1036" i="1"/>
  <c r="M1036" i="1"/>
  <c r="R1036" i="1"/>
  <c r="I1037" i="1"/>
  <c r="J1037" i="1"/>
  <c r="K1037" i="1"/>
  <c r="L1037" i="1"/>
  <c r="R1037" i="1" s="1"/>
  <c r="M1037" i="1"/>
  <c r="I1038" i="1"/>
  <c r="J1038" i="1"/>
  <c r="K1038" i="1"/>
  <c r="L1038" i="1"/>
  <c r="R1038" i="1" s="1"/>
  <c r="M1038" i="1"/>
  <c r="I1039" i="1"/>
  <c r="J1039" i="1"/>
  <c r="K1039" i="1"/>
  <c r="L1039" i="1"/>
  <c r="M1039" i="1"/>
  <c r="R1039" i="1"/>
  <c r="I1040" i="1"/>
  <c r="J1040" i="1"/>
  <c r="K1040" i="1"/>
  <c r="L1040" i="1"/>
  <c r="R1040" i="1" s="1"/>
  <c r="M1040" i="1"/>
  <c r="I1041" i="1"/>
  <c r="J1041" i="1"/>
  <c r="K1041" i="1"/>
  <c r="L1041" i="1"/>
  <c r="M1041" i="1"/>
  <c r="R1041" i="1"/>
  <c r="I1042" i="1"/>
  <c r="J1042" i="1"/>
  <c r="K1042" i="1"/>
  <c r="L1042" i="1"/>
  <c r="M1042" i="1"/>
  <c r="R1042" i="1"/>
  <c r="I1043" i="1"/>
  <c r="J1043" i="1"/>
  <c r="K1043" i="1"/>
  <c r="L1043" i="1"/>
  <c r="M1043" i="1"/>
  <c r="R1043" i="1"/>
  <c r="I1044" i="1"/>
  <c r="J1044" i="1"/>
  <c r="K1044" i="1"/>
  <c r="L1044" i="1"/>
  <c r="M1044" i="1"/>
  <c r="R1044" i="1"/>
  <c r="I1045" i="1"/>
  <c r="J1045" i="1"/>
  <c r="K1045" i="1"/>
  <c r="L1045" i="1"/>
  <c r="R1045" i="1" s="1"/>
  <c r="M1045" i="1"/>
  <c r="I1046" i="1"/>
  <c r="J1046" i="1"/>
  <c r="K1046" i="1"/>
  <c r="L1046" i="1"/>
  <c r="M1046" i="1"/>
  <c r="R1046" i="1"/>
  <c r="I1047" i="1"/>
  <c r="J1047" i="1"/>
  <c r="K1047" i="1"/>
  <c r="L1047" i="1"/>
  <c r="M1047" i="1"/>
  <c r="R1047" i="1"/>
  <c r="I1048" i="1"/>
  <c r="J1048" i="1"/>
  <c r="K1048" i="1"/>
  <c r="L1048" i="1"/>
  <c r="R1048" i="1" s="1"/>
  <c r="M1048" i="1"/>
  <c r="I1049" i="1"/>
  <c r="J1049" i="1"/>
  <c r="K1049" i="1"/>
  <c r="L1049" i="1"/>
  <c r="M1049" i="1"/>
  <c r="R1049" i="1"/>
  <c r="I1050" i="1"/>
  <c r="J1050" i="1"/>
  <c r="K1050" i="1"/>
  <c r="L1050" i="1"/>
  <c r="M1050" i="1"/>
  <c r="R1050" i="1"/>
  <c r="I1051" i="1"/>
  <c r="J1051" i="1"/>
  <c r="K1051" i="1"/>
  <c r="L1051" i="1"/>
  <c r="M1051" i="1"/>
  <c r="R1051" i="1"/>
  <c r="I1052" i="1"/>
  <c r="J1052" i="1"/>
  <c r="K1052" i="1"/>
  <c r="L1052" i="1"/>
  <c r="M1052" i="1"/>
  <c r="R1052" i="1"/>
  <c r="I1053" i="1"/>
  <c r="J1053" i="1"/>
  <c r="K1053" i="1"/>
  <c r="L1053" i="1"/>
  <c r="R1053" i="1" s="1"/>
  <c r="M1053" i="1"/>
  <c r="I1054" i="1"/>
  <c r="J1054" i="1"/>
  <c r="K1054" i="1"/>
  <c r="L1054" i="1"/>
  <c r="M1054" i="1"/>
  <c r="R1054" i="1"/>
  <c r="I1055" i="1"/>
  <c r="J1055" i="1"/>
  <c r="K1055" i="1"/>
  <c r="L1055" i="1"/>
  <c r="M1055" i="1"/>
  <c r="R1055" i="1"/>
  <c r="I1056" i="1"/>
  <c r="J1056" i="1"/>
  <c r="K1056" i="1"/>
  <c r="L1056" i="1"/>
  <c r="R1056" i="1" s="1"/>
  <c r="M1056" i="1"/>
  <c r="I1057" i="1"/>
  <c r="J1057" i="1"/>
  <c r="K1057" i="1"/>
  <c r="L1057" i="1"/>
  <c r="M1057" i="1"/>
  <c r="R1057" i="1"/>
  <c r="I1058" i="1"/>
  <c r="J1058" i="1"/>
  <c r="K1058" i="1"/>
  <c r="L1058" i="1"/>
  <c r="M1058" i="1"/>
  <c r="R1058" i="1"/>
  <c r="I1059" i="1"/>
  <c r="J1059" i="1"/>
  <c r="K1059" i="1"/>
  <c r="L1059" i="1"/>
  <c r="M1059" i="1"/>
  <c r="R1059" i="1"/>
  <c r="I1060" i="1"/>
  <c r="J1060" i="1"/>
  <c r="K1060" i="1"/>
  <c r="L1060" i="1"/>
  <c r="M1060" i="1"/>
  <c r="R1060" i="1"/>
  <c r="I1061" i="1"/>
  <c r="J1061" i="1"/>
  <c r="K1061" i="1"/>
  <c r="L1061" i="1"/>
  <c r="R1061" i="1" s="1"/>
  <c r="M1061" i="1"/>
  <c r="I1062" i="1"/>
  <c r="J1062" i="1"/>
  <c r="K1062" i="1"/>
  <c r="L1062" i="1"/>
  <c r="M1062" i="1"/>
  <c r="R1062" i="1"/>
  <c r="I1063" i="1"/>
  <c r="J1063" i="1"/>
  <c r="K1063" i="1"/>
  <c r="L1063" i="1"/>
  <c r="M1063" i="1"/>
  <c r="R1063" i="1"/>
  <c r="I1064" i="1"/>
  <c r="J1064" i="1"/>
  <c r="K1064" i="1"/>
  <c r="L1064" i="1"/>
  <c r="R1064" i="1" s="1"/>
  <c r="M1064" i="1"/>
  <c r="I1065" i="1"/>
  <c r="J1065" i="1"/>
  <c r="K1065" i="1"/>
  <c r="L1065" i="1"/>
  <c r="M1065" i="1"/>
  <c r="R1065" i="1"/>
  <c r="I1066" i="1"/>
  <c r="J1066" i="1"/>
  <c r="K1066" i="1"/>
  <c r="L1066" i="1"/>
  <c r="M1066" i="1"/>
  <c r="R1066" i="1"/>
  <c r="I1067" i="1"/>
  <c r="J1067" i="1"/>
  <c r="K1067" i="1"/>
  <c r="L1067" i="1"/>
  <c r="M1067" i="1"/>
  <c r="R1067" i="1"/>
  <c r="I1068" i="1"/>
  <c r="J1068" i="1"/>
  <c r="K1068" i="1"/>
  <c r="L1068" i="1"/>
  <c r="M1068" i="1"/>
  <c r="R1068" i="1"/>
  <c r="I1069" i="1"/>
  <c r="J1069" i="1"/>
  <c r="K1069" i="1"/>
  <c r="L1069" i="1"/>
  <c r="R1069" i="1" s="1"/>
  <c r="M1069" i="1"/>
  <c r="I1070" i="1"/>
  <c r="J1070" i="1"/>
  <c r="K1070" i="1"/>
  <c r="L1070" i="1"/>
  <c r="M1070" i="1"/>
  <c r="R1070" i="1"/>
  <c r="I1071" i="1"/>
  <c r="J1071" i="1"/>
  <c r="K1071" i="1"/>
  <c r="L1071" i="1"/>
  <c r="M1071" i="1"/>
  <c r="R1071" i="1"/>
  <c r="I1072" i="1"/>
  <c r="J1072" i="1"/>
  <c r="K1072" i="1"/>
  <c r="L1072" i="1"/>
  <c r="R1072" i="1" s="1"/>
  <c r="M1072" i="1"/>
  <c r="I1073" i="1"/>
  <c r="J1073" i="1"/>
  <c r="K1073" i="1"/>
  <c r="L1073" i="1"/>
  <c r="M1073" i="1"/>
  <c r="R1073" i="1"/>
  <c r="I1074" i="1"/>
  <c r="J1074" i="1"/>
  <c r="K1074" i="1"/>
  <c r="L1074" i="1"/>
  <c r="M1074" i="1"/>
  <c r="R1074" i="1"/>
  <c r="I1075" i="1"/>
  <c r="J1075" i="1"/>
  <c r="K1075" i="1"/>
  <c r="L1075" i="1"/>
  <c r="M1075" i="1"/>
  <c r="R1075" i="1"/>
  <c r="I1076" i="1"/>
  <c r="J1076" i="1"/>
  <c r="K1076" i="1"/>
  <c r="L1076" i="1"/>
  <c r="M1076" i="1"/>
  <c r="R1076" i="1"/>
  <c r="I1077" i="1"/>
  <c r="J1077" i="1"/>
  <c r="K1077" i="1"/>
  <c r="L1077" i="1"/>
  <c r="R1077" i="1" s="1"/>
  <c r="M1077" i="1"/>
  <c r="I1078" i="1"/>
  <c r="J1078" i="1"/>
  <c r="K1078" i="1"/>
  <c r="L1078" i="1"/>
  <c r="M1078" i="1"/>
  <c r="R1078" i="1"/>
  <c r="I1079" i="1"/>
  <c r="J1079" i="1"/>
  <c r="K1079" i="1"/>
  <c r="L1079" i="1"/>
  <c r="M1079" i="1"/>
  <c r="R1079" i="1"/>
  <c r="I1080" i="1"/>
  <c r="J1080" i="1"/>
  <c r="K1080" i="1"/>
  <c r="L1080" i="1"/>
  <c r="R1080" i="1" s="1"/>
  <c r="M1080" i="1"/>
  <c r="I1081" i="1"/>
  <c r="J1081" i="1"/>
  <c r="K1081" i="1"/>
  <c r="L1081" i="1"/>
  <c r="M1081" i="1"/>
  <c r="R1081" i="1"/>
  <c r="I1082" i="1"/>
  <c r="J1082" i="1"/>
  <c r="K1082" i="1"/>
  <c r="L1082" i="1"/>
  <c r="M1082" i="1"/>
  <c r="R1082" i="1"/>
  <c r="I1083" i="1"/>
  <c r="J1083" i="1"/>
  <c r="K1083" i="1"/>
  <c r="L1083" i="1"/>
  <c r="M1083" i="1"/>
  <c r="R1083" i="1"/>
  <c r="I1084" i="1"/>
  <c r="J1084" i="1"/>
  <c r="K1084" i="1"/>
  <c r="L1084" i="1"/>
  <c r="M1084" i="1"/>
  <c r="R1084" i="1"/>
  <c r="I1085" i="1"/>
  <c r="J1085" i="1"/>
  <c r="K1085" i="1"/>
  <c r="L1085" i="1"/>
  <c r="R1085" i="1" s="1"/>
  <c r="M1085" i="1"/>
  <c r="I1086" i="1"/>
  <c r="J1086" i="1"/>
  <c r="K1086" i="1"/>
  <c r="L1086" i="1"/>
  <c r="M1086" i="1"/>
  <c r="R1086" i="1"/>
  <c r="I1087" i="1"/>
  <c r="J1087" i="1"/>
  <c r="K1087" i="1"/>
  <c r="L1087" i="1"/>
  <c r="M1087" i="1"/>
  <c r="R1087" i="1"/>
  <c r="I1088" i="1"/>
  <c r="J1088" i="1"/>
  <c r="K1088" i="1"/>
  <c r="L1088" i="1"/>
  <c r="R1088" i="1" s="1"/>
  <c r="M1088" i="1"/>
  <c r="I1089" i="1"/>
  <c r="J1089" i="1"/>
  <c r="K1089" i="1"/>
  <c r="L1089" i="1"/>
  <c r="M1089" i="1"/>
  <c r="R1089" i="1"/>
  <c r="I1090" i="1"/>
  <c r="J1090" i="1"/>
  <c r="K1090" i="1"/>
  <c r="L1090" i="1"/>
  <c r="M1090" i="1"/>
  <c r="R1090" i="1"/>
  <c r="I1091" i="1"/>
  <c r="J1091" i="1"/>
  <c r="K1091" i="1"/>
  <c r="L1091" i="1"/>
  <c r="M1091" i="1"/>
  <c r="R1091" i="1"/>
  <c r="I1092" i="1"/>
  <c r="J1092" i="1"/>
  <c r="K1092" i="1"/>
  <c r="L1092" i="1"/>
  <c r="M1092" i="1"/>
  <c r="R1092" i="1"/>
  <c r="I1093" i="1"/>
  <c r="J1093" i="1"/>
  <c r="K1093" i="1"/>
  <c r="L1093" i="1"/>
  <c r="R1093" i="1" s="1"/>
  <c r="M1093" i="1"/>
  <c r="I1094" i="1"/>
  <c r="J1094" i="1"/>
  <c r="K1094" i="1"/>
  <c r="L1094" i="1"/>
  <c r="M1094" i="1"/>
  <c r="R1094" i="1"/>
  <c r="I1095" i="1"/>
  <c r="J1095" i="1"/>
  <c r="K1095" i="1"/>
  <c r="L1095" i="1"/>
  <c r="M1095" i="1"/>
  <c r="R1095" i="1"/>
  <c r="I1096" i="1"/>
  <c r="J1096" i="1"/>
  <c r="K1096" i="1"/>
  <c r="L1096" i="1"/>
  <c r="R1096" i="1" s="1"/>
  <c r="M1096" i="1"/>
  <c r="I1097" i="1"/>
  <c r="J1097" i="1"/>
  <c r="K1097" i="1"/>
  <c r="L1097" i="1"/>
  <c r="M1097" i="1"/>
  <c r="R1097" i="1"/>
  <c r="I1098" i="1"/>
  <c r="J1098" i="1"/>
  <c r="K1098" i="1"/>
  <c r="L1098" i="1"/>
  <c r="M1098" i="1"/>
  <c r="R1098" i="1"/>
  <c r="I1099" i="1"/>
  <c r="J1099" i="1"/>
  <c r="K1099" i="1"/>
  <c r="L1099" i="1"/>
  <c r="M1099" i="1"/>
  <c r="R1099" i="1"/>
  <c r="I1100" i="1"/>
  <c r="J1100" i="1"/>
  <c r="K1100" i="1"/>
  <c r="L1100" i="1"/>
  <c r="M1100" i="1"/>
  <c r="R1100" i="1"/>
  <c r="I1101" i="1"/>
  <c r="J1101" i="1"/>
  <c r="K1101" i="1"/>
  <c r="L1101" i="1"/>
  <c r="R1101" i="1" s="1"/>
  <c r="M1101" i="1"/>
  <c r="I1102" i="1"/>
  <c r="J1102" i="1"/>
  <c r="K1102" i="1"/>
  <c r="L1102" i="1"/>
  <c r="M1102" i="1"/>
  <c r="R1102" i="1"/>
  <c r="I1103" i="1"/>
  <c r="J1103" i="1"/>
  <c r="K1103" i="1"/>
  <c r="L1103" i="1"/>
  <c r="M1103" i="1"/>
  <c r="R1103" i="1"/>
  <c r="I1104" i="1"/>
  <c r="J1104" i="1"/>
  <c r="K1104" i="1"/>
  <c r="L1104" i="1"/>
  <c r="R1104" i="1" s="1"/>
  <c r="M1104" i="1"/>
  <c r="I1105" i="1"/>
  <c r="J1105" i="1"/>
  <c r="K1105" i="1"/>
  <c r="L1105" i="1"/>
  <c r="M1105" i="1"/>
  <c r="R1105" i="1"/>
  <c r="I1106" i="1"/>
  <c r="J1106" i="1"/>
  <c r="K1106" i="1"/>
  <c r="L1106" i="1"/>
  <c r="M1106" i="1"/>
  <c r="R1106" i="1"/>
  <c r="I1107" i="1"/>
  <c r="J1107" i="1"/>
  <c r="K1107" i="1"/>
  <c r="L1107" i="1"/>
  <c r="M1107" i="1"/>
  <c r="R1107" i="1"/>
  <c r="I1108" i="1"/>
  <c r="J1108" i="1"/>
  <c r="K1108" i="1"/>
  <c r="L1108" i="1"/>
  <c r="M1108" i="1"/>
  <c r="R1108" i="1"/>
  <c r="I1109" i="1"/>
  <c r="J1109" i="1"/>
  <c r="K1109" i="1"/>
  <c r="L1109" i="1"/>
  <c r="R1109" i="1" s="1"/>
  <c r="M1109" i="1"/>
  <c r="I1110" i="1"/>
  <c r="J1110" i="1"/>
  <c r="K1110" i="1"/>
  <c r="L1110" i="1"/>
  <c r="M1110" i="1"/>
  <c r="R1110" i="1"/>
  <c r="I1111" i="1"/>
  <c r="J1111" i="1"/>
  <c r="K1111" i="1"/>
  <c r="L1111" i="1"/>
  <c r="M1111" i="1"/>
  <c r="R1111" i="1"/>
  <c r="I1112" i="1"/>
  <c r="J1112" i="1"/>
  <c r="K1112" i="1"/>
  <c r="L1112" i="1"/>
  <c r="R1112" i="1" s="1"/>
  <c r="M1112" i="1"/>
  <c r="I1113" i="1"/>
  <c r="J1113" i="1"/>
  <c r="K1113" i="1"/>
  <c r="L1113" i="1"/>
  <c r="M1113" i="1"/>
  <c r="R1113" i="1"/>
  <c r="I1114" i="1"/>
  <c r="J1114" i="1"/>
  <c r="K1114" i="1"/>
  <c r="L1114" i="1"/>
  <c r="M1114" i="1"/>
  <c r="R1114" i="1"/>
  <c r="I1115" i="1"/>
  <c r="J1115" i="1"/>
  <c r="K1115" i="1"/>
  <c r="L1115" i="1"/>
  <c r="M1115" i="1"/>
  <c r="R1115" i="1"/>
  <c r="I1116" i="1"/>
  <c r="J1116" i="1"/>
  <c r="K1116" i="1"/>
  <c r="L1116" i="1"/>
  <c r="M1116" i="1"/>
  <c r="R1116" i="1"/>
  <c r="I1117" i="1"/>
  <c r="J1117" i="1"/>
  <c r="K1117" i="1"/>
  <c r="L1117" i="1"/>
  <c r="R1117" i="1" s="1"/>
  <c r="M1117" i="1"/>
  <c r="I1118" i="1"/>
  <c r="J1118" i="1"/>
  <c r="K1118" i="1"/>
  <c r="L1118" i="1"/>
  <c r="M1118" i="1"/>
  <c r="R1118" i="1"/>
  <c r="I1119" i="1"/>
  <c r="J1119" i="1"/>
  <c r="K1119" i="1"/>
  <c r="L1119" i="1"/>
  <c r="M1119" i="1"/>
  <c r="R1119" i="1"/>
  <c r="I1120" i="1"/>
  <c r="J1120" i="1"/>
  <c r="K1120" i="1"/>
  <c r="L1120" i="1"/>
  <c r="R1120" i="1" s="1"/>
  <c r="M1120" i="1"/>
  <c r="I1121" i="1"/>
  <c r="J1121" i="1"/>
  <c r="K1121" i="1"/>
  <c r="L1121" i="1"/>
  <c r="M1121" i="1"/>
  <c r="R1121" i="1"/>
  <c r="I1122" i="1"/>
  <c r="J1122" i="1"/>
  <c r="K1122" i="1"/>
  <c r="L1122" i="1"/>
  <c r="M1122" i="1"/>
  <c r="R1122" i="1"/>
  <c r="I1123" i="1"/>
  <c r="J1123" i="1"/>
  <c r="K1123" i="1"/>
  <c r="L1123" i="1"/>
  <c r="M1123" i="1"/>
  <c r="R1123" i="1"/>
  <c r="I1124" i="1"/>
  <c r="J1124" i="1"/>
  <c r="K1124" i="1"/>
  <c r="L1124" i="1"/>
  <c r="M1124" i="1"/>
  <c r="R1124" i="1"/>
  <c r="I1125" i="1"/>
  <c r="J1125" i="1"/>
  <c r="K1125" i="1"/>
  <c r="L1125" i="1"/>
  <c r="R1125" i="1" s="1"/>
  <c r="M1125" i="1"/>
  <c r="I1126" i="1"/>
  <c r="J1126" i="1"/>
  <c r="K1126" i="1"/>
  <c r="L1126" i="1"/>
  <c r="M1126" i="1"/>
  <c r="R1126" i="1"/>
  <c r="I1127" i="1"/>
  <c r="J1127" i="1"/>
  <c r="K1127" i="1"/>
  <c r="L1127" i="1"/>
  <c r="M1127" i="1"/>
  <c r="R1127" i="1"/>
  <c r="I1128" i="1"/>
  <c r="J1128" i="1"/>
  <c r="K1128" i="1"/>
  <c r="L1128" i="1"/>
  <c r="R1128" i="1" s="1"/>
  <c r="M1128" i="1"/>
  <c r="I1129" i="1"/>
  <c r="J1129" i="1"/>
  <c r="K1129" i="1"/>
  <c r="L1129" i="1"/>
  <c r="M1129" i="1"/>
  <c r="R1129" i="1"/>
  <c r="I1130" i="1"/>
  <c r="J1130" i="1"/>
  <c r="K1130" i="1"/>
  <c r="L1130" i="1"/>
  <c r="M1130" i="1"/>
  <c r="R1130" i="1"/>
  <c r="I1131" i="1"/>
  <c r="J1131" i="1"/>
  <c r="K1131" i="1"/>
  <c r="L1131" i="1"/>
  <c r="M1131" i="1"/>
  <c r="R1131" i="1"/>
  <c r="I1132" i="1"/>
  <c r="J1132" i="1"/>
  <c r="K1132" i="1"/>
  <c r="L1132" i="1"/>
  <c r="M1132" i="1"/>
  <c r="R1132" i="1"/>
  <c r="I1133" i="1"/>
  <c r="J1133" i="1"/>
  <c r="K1133" i="1"/>
  <c r="L1133" i="1"/>
  <c r="R1133" i="1" s="1"/>
  <c r="M1133" i="1"/>
  <c r="I1134" i="1"/>
  <c r="J1134" i="1"/>
  <c r="K1134" i="1"/>
  <c r="L1134" i="1"/>
  <c r="M1134" i="1"/>
  <c r="R1134" i="1"/>
  <c r="I1135" i="1"/>
  <c r="J1135" i="1"/>
  <c r="K1135" i="1"/>
  <c r="L1135" i="1"/>
  <c r="M1135" i="1"/>
  <c r="R1135" i="1"/>
  <c r="I1136" i="1"/>
  <c r="J1136" i="1"/>
  <c r="K1136" i="1"/>
  <c r="L1136" i="1"/>
  <c r="R1136" i="1" s="1"/>
  <c r="M1136" i="1"/>
  <c r="I1137" i="1"/>
  <c r="J1137" i="1"/>
  <c r="K1137" i="1"/>
  <c r="L1137" i="1"/>
  <c r="M1137" i="1"/>
  <c r="R1137" i="1"/>
  <c r="I1138" i="1"/>
  <c r="J1138" i="1"/>
  <c r="K1138" i="1"/>
  <c r="L1138" i="1"/>
  <c r="M1138" i="1"/>
  <c r="R1138" i="1"/>
  <c r="I1139" i="1"/>
  <c r="J1139" i="1"/>
  <c r="K1139" i="1"/>
  <c r="L1139" i="1"/>
  <c r="M1139" i="1"/>
  <c r="R1139" i="1"/>
  <c r="I1140" i="1"/>
  <c r="J1140" i="1"/>
  <c r="K1140" i="1"/>
  <c r="L1140" i="1"/>
  <c r="M1140" i="1"/>
  <c r="R1140" i="1"/>
  <c r="I1141" i="1"/>
  <c r="J1141" i="1"/>
  <c r="K1141" i="1"/>
  <c r="L1141" i="1"/>
  <c r="R1141" i="1" s="1"/>
  <c r="M1141" i="1"/>
  <c r="I1142" i="1"/>
  <c r="J1142" i="1"/>
  <c r="K1142" i="1"/>
  <c r="L1142" i="1"/>
  <c r="M1142" i="1"/>
  <c r="R1142" i="1"/>
  <c r="I1143" i="1"/>
  <c r="J1143" i="1"/>
  <c r="K1143" i="1"/>
  <c r="L1143" i="1"/>
  <c r="M1143" i="1"/>
  <c r="R1143" i="1"/>
  <c r="I1144" i="1"/>
  <c r="J1144" i="1"/>
  <c r="K1144" i="1"/>
  <c r="L1144" i="1"/>
  <c r="R1144" i="1" s="1"/>
  <c r="M1144" i="1"/>
  <c r="I1145" i="1"/>
  <c r="J1145" i="1"/>
  <c r="K1145" i="1"/>
  <c r="L1145" i="1"/>
  <c r="M1145" i="1"/>
  <c r="R1145" i="1"/>
  <c r="I1146" i="1"/>
  <c r="J1146" i="1"/>
  <c r="K1146" i="1"/>
  <c r="L1146" i="1"/>
  <c r="M1146" i="1"/>
  <c r="R1146" i="1"/>
  <c r="I1147" i="1"/>
  <c r="J1147" i="1"/>
  <c r="K1147" i="1"/>
  <c r="L1147" i="1"/>
  <c r="M1147" i="1"/>
  <c r="R1147" i="1"/>
  <c r="I1148" i="1"/>
  <c r="J1148" i="1"/>
  <c r="K1148" i="1"/>
  <c r="L1148" i="1"/>
  <c r="M1148" i="1"/>
  <c r="R1148" i="1"/>
  <c r="I1149" i="1"/>
  <c r="J1149" i="1"/>
  <c r="K1149" i="1"/>
  <c r="L1149" i="1"/>
  <c r="R1149" i="1" s="1"/>
  <c r="M1149" i="1"/>
  <c r="I1150" i="1"/>
  <c r="J1150" i="1"/>
  <c r="K1150" i="1"/>
  <c r="L1150" i="1"/>
  <c r="M1150" i="1"/>
  <c r="R1150" i="1"/>
  <c r="I1151" i="1"/>
  <c r="J1151" i="1"/>
  <c r="K1151" i="1"/>
  <c r="L1151" i="1"/>
  <c r="R1151" i="1" s="1"/>
  <c r="M1151" i="1"/>
  <c r="I1152" i="1"/>
  <c r="J1152" i="1"/>
  <c r="K1152" i="1"/>
  <c r="L1152" i="1"/>
  <c r="R1152" i="1" s="1"/>
  <c r="M1152" i="1"/>
  <c r="I1153" i="1"/>
  <c r="J1153" i="1"/>
  <c r="K1153" i="1"/>
  <c r="L1153" i="1"/>
  <c r="M1153" i="1"/>
  <c r="R1153" i="1"/>
  <c r="I1154" i="1"/>
  <c r="J1154" i="1"/>
  <c r="K1154" i="1"/>
  <c r="L1154" i="1"/>
  <c r="M1154" i="1"/>
  <c r="R1154" i="1"/>
  <c r="I1155" i="1"/>
  <c r="J1155" i="1"/>
  <c r="K1155" i="1"/>
  <c r="L1155" i="1"/>
  <c r="M1155" i="1"/>
  <c r="R1155" i="1"/>
  <c r="I1156" i="1"/>
  <c r="J1156" i="1"/>
  <c r="K1156" i="1"/>
  <c r="L1156" i="1"/>
  <c r="M1156" i="1"/>
  <c r="R1156" i="1"/>
  <c r="I1157" i="1"/>
  <c r="J1157" i="1"/>
  <c r="K1157" i="1"/>
  <c r="L1157" i="1"/>
  <c r="R1157" i="1" s="1"/>
  <c r="M1157" i="1"/>
  <c r="I1158" i="1"/>
  <c r="J1158" i="1"/>
  <c r="K1158" i="1"/>
  <c r="L1158" i="1"/>
  <c r="M1158" i="1"/>
  <c r="R1158" i="1"/>
  <c r="I1159" i="1"/>
  <c r="J1159" i="1"/>
  <c r="K1159" i="1"/>
  <c r="L1159" i="1"/>
  <c r="M1159" i="1"/>
  <c r="R1159" i="1"/>
  <c r="I1160" i="1"/>
  <c r="J1160" i="1"/>
  <c r="K1160" i="1"/>
  <c r="L1160" i="1"/>
  <c r="R1160" i="1" s="1"/>
  <c r="M1160" i="1"/>
  <c r="I1161" i="1"/>
  <c r="J1161" i="1"/>
  <c r="K1161" i="1"/>
  <c r="L1161" i="1"/>
  <c r="M1161" i="1"/>
  <c r="R1161" i="1"/>
  <c r="I1162" i="1"/>
  <c r="J1162" i="1"/>
  <c r="K1162" i="1"/>
  <c r="L1162" i="1"/>
  <c r="R1162" i="1" s="1"/>
  <c r="M1162" i="1"/>
  <c r="I1163" i="1"/>
  <c r="J1163" i="1"/>
  <c r="K1163" i="1"/>
  <c r="L1163" i="1"/>
  <c r="M1163" i="1"/>
  <c r="R1163" i="1"/>
  <c r="I1164" i="1"/>
  <c r="J1164" i="1"/>
  <c r="K1164" i="1"/>
  <c r="L1164" i="1"/>
  <c r="M1164" i="1"/>
  <c r="R1164" i="1"/>
  <c r="I1165" i="1"/>
  <c r="J1165" i="1"/>
  <c r="K1165" i="1"/>
  <c r="L1165" i="1"/>
  <c r="R1165" i="1" s="1"/>
  <c r="M1165" i="1"/>
  <c r="I1166" i="1"/>
  <c r="J1166" i="1"/>
  <c r="K1166" i="1"/>
  <c r="L1166" i="1"/>
  <c r="M1166" i="1"/>
  <c r="R1166" i="1"/>
  <c r="I1167" i="1"/>
  <c r="J1167" i="1"/>
  <c r="K1167" i="1"/>
  <c r="L1167" i="1"/>
  <c r="R1167" i="1" s="1"/>
  <c r="M1167" i="1"/>
  <c r="I1168" i="1"/>
  <c r="J1168" i="1"/>
  <c r="K1168" i="1"/>
  <c r="L1168" i="1"/>
  <c r="R1168" i="1" s="1"/>
  <c r="M1168" i="1"/>
  <c r="I1169" i="1"/>
  <c r="J1169" i="1"/>
  <c r="K1169" i="1"/>
  <c r="L1169" i="1"/>
  <c r="M1169" i="1"/>
  <c r="R1169" i="1"/>
  <c r="I1170" i="1"/>
  <c r="J1170" i="1"/>
  <c r="K1170" i="1"/>
  <c r="L1170" i="1"/>
  <c r="M1170" i="1"/>
  <c r="R1170" i="1"/>
  <c r="I1171" i="1"/>
  <c r="J1171" i="1"/>
  <c r="K1171" i="1"/>
  <c r="L1171" i="1"/>
  <c r="M1171" i="1"/>
  <c r="R1171" i="1"/>
  <c r="I1172" i="1"/>
  <c r="J1172" i="1"/>
  <c r="K1172" i="1"/>
  <c r="L1172" i="1"/>
  <c r="M1172" i="1"/>
  <c r="R1172" i="1"/>
  <c r="I1173" i="1"/>
  <c r="J1173" i="1"/>
  <c r="K1173" i="1"/>
  <c r="L1173" i="1"/>
  <c r="R1173" i="1" s="1"/>
  <c r="M1173" i="1"/>
  <c r="I1174" i="1"/>
  <c r="J1174" i="1"/>
  <c r="K1174" i="1"/>
  <c r="L1174" i="1"/>
  <c r="M1174" i="1"/>
  <c r="R1174" i="1"/>
  <c r="I1175" i="1"/>
  <c r="J1175" i="1"/>
  <c r="K1175" i="1"/>
  <c r="L1175" i="1"/>
  <c r="M1175" i="1"/>
  <c r="R1175" i="1"/>
  <c r="I1176" i="1"/>
  <c r="J1176" i="1"/>
  <c r="K1176" i="1"/>
  <c r="L1176" i="1"/>
  <c r="R1176" i="1" s="1"/>
  <c r="M1176" i="1"/>
  <c r="I1177" i="1"/>
  <c r="J1177" i="1"/>
  <c r="K1177" i="1"/>
  <c r="L1177" i="1"/>
  <c r="M1177" i="1"/>
  <c r="R1177" i="1"/>
  <c r="I1178" i="1"/>
  <c r="J1178" i="1"/>
  <c r="K1178" i="1"/>
  <c r="L1178" i="1"/>
  <c r="R1178" i="1" s="1"/>
  <c r="M1178" i="1"/>
  <c r="I1179" i="1"/>
  <c r="J1179" i="1"/>
  <c r="K1179" i="1"/>
  <c r="L1179" i="1"/>
  <c r="M1179" i="1"/>
  <c r="R1179" i="1"/>
  <c r="I1180" i="1"/>
  <c r="J1180" i="1"/>
  <c r="K1180" i="1"/>
  <c r="L1180" i="1"/>
  <c r="M1180" i="1"/>
  <c r="R1180" i="1"/>
  <c r="I1181" i="1"/>
  <c r="J1181" i="1"/>
  <c r="K1181" i="1"/>
  <c r="L1181" i="1"/>
  <c r="R1181" i="1" s="1"/>
  <c r="M1181" i="1"/>
  <c r="I1182" i="1"/>
  <c r="J1182" i="1"/>
  <c r="K1182" i="1"/>
  <c r="L1182" i="1"/>
  <c r="M1182" i="1"/>
  <c r="R1182" i="1"/>
  <c r="I1183" i="1"/>
  <c r="J1183" i="1"/>
  <c r="K1183" i="1"/>
  <c r="L1183" i="1"/>
  <c r="R1183" i="1" s="1"/>
  <c r="M1183" i="1"/>
  <c r="I1184" i="1"/>
  <c r="J1184" i="1"/>
  <c r="K1184" i="1"/>
  <c r="L1184" i="1"/>
  <c r="R1184" i="1" s="1"/>
  <c r="M1184" i="1"/>
  <c r="I1185" i="1"/>
  <c r="J1185" i="1"/>
  <c r="K1185" i="1"/>
  <c r="L1185" i="1"/>
  <c r="M1185" i="1"/>
  <c r="R1185" i="1"/>
  <c r="I1186" i="1"/>
  <c r="J1186" i="1"/>
  <c r="K1186" i="1"/>
  <c r="L1186" i="1"/>
  <c r="M1186" i="1"/>
  <c r="R1186" i="1"/>
  <c r="I1187" i="1"/>
  <c r="J1187" i="1"/>
  <c r="K1187" i="1"/>
  <c r="L1187" i="1"/>
  <c r="M1187" i="1"/>
  <c r="R1187" i="1"/>
  <c r="I1188" i="1"/>
  <c r="J1188" i="1"/>
  <c r="K1188" i="1"/>
  <c r="L1188" i="1"/>
  <c r="M1188" i="1"/>
  <c r="R1188" i="1"/>
  <c r="I1189" i="1"/>
  <c r="J1189" i="1"/>
  <c r="K1189" i="1"/>
  <c r="L1189" i="1"/>
  <c r="R1189" i="1" s="1"/>
  <c r="M1189" i="1"/>
  <c r="I1190" i="1"/>
  <c r="J1190" i="1"/>
  <c r="K1190" i="1"/>
  <c r="L1190" i="1"/>
  <c r="M1190" i="1"/>
  <c r="R1190" i="1"/>
  <c r="I1191" i="1"/>
  <c r="J1191" i="1"/>
  <c r="K1191" i="1"/>
  <c r="L1191" i="1"/>
  <c r="M1191" i="1"/>
  <c r="R1191" i="1"/>
  <c r="I1192" i="1"/>
  <c r="J1192" i="1"/>
  <c r="K1192" i="1"/>
  <c r="L1192" i="1"/>
  <c r="R1192" i="1" s="1"/>
  <c r="M1192" i="1"/>
  <c r="I1193" i="1"/>
  <c r="J1193" i="1"/>
  <c r="K1193" i="1"/>
  <c r="L1193" i="1"/>
  <c r="M1193" i="1"/>
  <c r="R1193" i="1"/>
  <c r="I1194" i="1"/>
  <c r="J1194" i="1"/>
  <c r="K1194" i="1"/>
  <c r="L1194" i="1"/>
  <c r="R1194" i="1" s="1"/>
  <c r="M1194" i="1"/>
  <c r="I1195" i="1"/>
  <c r="J1195" i="1"/>
  <c r="K1195" i="1"/>
  <c r="L1195" i="1"/>
  <c r="M1195" i="1"/>
  <c r="R1195" i="1"/>
  <c r="I1196" i="1"/>
  <c r="J1196" i="1"/>
  <c r="K1196" i="1"/>
  <c r="L1196" i="1"/>
  <c r="M1196" i="1"/>
  <c r="R1196" i="1"/>
  <c r="I1197" i="1"/>
  <c r="J1197" i="1"/>
  <c r="K1197" i="1"/>
  <c r="L1197" i="1"/>
  <c r="R1197" i="1" s="1"/>
  <c r="M1197" i="1"/>
  <c r="I1198" i="1"/>
  <c r="J1198" i="1"/>
  <c r="K1198" i="1"/>
  <c r="L1198" i="1"/>
  <c r="M1198" i="1"/>
  <c r="R1198" i="1"/>
  <c r="I1199" i="1"/>
  <c r="J1199" i="1"/>
  <c r="K1199" i="1"/>
  <c r="L1199" i="1"/>
  <c r="R1199" i="1" s="1"/>
  <c r="M1199" i="1"/>
  <c r="I1200" i="1"/>
  <c r="J1200" i="1"/>
  <c r="K1200" i="1"/>
  <c r="L1200" i="1"/>
  <c r="R1200" i="1" s="1"/>
  <c r="M1200" i="1"/>
  <c r="I1201" i="1"/>
  <c r="J1201" i="1"/>
  <c r="K1201" i="1"/>
  <c r="L1201" i="1"/>
  <c r="M1201" i="1"/>
  <c r="R1201" i="1"/>
  <c r="I1202" i="1"/>
  <c r="J1202" i="1"/>
  <c r="K1202" i="1"/>
  <c r="L1202" i="1"/>
  <c r="M1202" i="1"/>
  <c r="R1202" i="1"/>
  <c r="I1203" i="1"/>
  <c r="J1203" i="1"/>
  <c r="K1203" i="1"/>
  <c r="L1203" i="1"/>
  <c r="M1203" i="1"/>
  <c r="R1203" i="1"/>
  <c r="I1204" i="1"/>
  <c r="J1204" i="1"/>
  <c r="K1204" i="1"/>
  <c r="L1204" i="1"/>
  <c r="M1204" i="1"/>
  <c r="R1204" i="1"/>
  <c r="I1205" i="1"/>
  <c r="J1205" i="1"/>
  <c r="K1205" i="1"/>
  <c r="L1205" i="1"/>
  <c r="R1205" i="1" s="1"/>
  <c r="M1205" i="1"/>
  <c r="I1206" i="1"/>
  <c r="J1206" i="1"/>
  <c r="K1206" i="1"/>
  <c r="L1206" i="1"/>
  <c r="M1206" i="1"/>
  <c r="R1206" i="1"/>
  <c r="I1207" i="1"/>
  <c r="J1207" i="1"/>
  <c r="K1207" i="1"/>
  <c r="L1207" i="1"/>
  <c r="M1207" i="1"/>
  <c r="R1207" i="1"/>
  <c r="I1208" i="1"/>
  <c r="J1208" i="1"/>
  <c r="K1208" i="1"/>
  <c r="L1208" i="1"/>
  <c r="R1208" i="1" s="1"/>
  <c r="M1208" i="1"/>
  <c r="I1209" i="1"/>
  <c r="J1209" i="1"/>
  <c r="K1209" i="1"/>
  <c r="L1209" i="1"/>
  <c r="M1209" i="1"/>
  <c r="R1209" i="1"/>
  <c r="I1210" i="1"/>
  <c r="J1210" i="1"/>
  <c r="K1210" i="1"/>
  <c r="L1210" i="1"/>
  <c r="R1210" i="1" s="1"/>
  <c r="M1210" i="1"/>
  <c r="I1211" i="1"/>
  <c r="J1211" i="1"/>
  <c r="K1211" i="1"/>
  <c r="L1211" i="1"/>
  <c r="M1211" i="1"/>
  <c r="R1211" i="1"/>
  <c r="I1212" i="1"/>
  <c r="J1212" i="1"/>
  <c r="K1212" i="1"/>
  <c r="L1212" i="1"/>
  <c r="M1212" i="1"/>
  <c r="R1212" i="1"/>
  <c r="I1213" i="1"/>
  <c r="J1213" i="1"/>
  <c r="K1213" i="1"/>
  <c r="L1213" i="1"/>
  <c r="R1213" i="1" s="1"/>
  <c r="M1213" i="1"/>
  <c r="I1214" i="1"/>
  <c r="J1214" i="1"/>
  <c r="K1214" i="1"/>
  <c r="L1214" i="1"/>
  <c r="M1214" i="1"/>
  <c r="R1214" i="1"/>
  <c r="I1215" i="1"/>
  <c r="J1215" i="1"/>
  <c r="K1215" i="1"/>
  <c r="L1215" i="1"/>
  <c r="R1215" i="1" s="1"/>
  <c r="M1215" i="1"/>
  <c r="I1216" i="1"/>
  <c r="J1216" i="1"/>
  <c r="K1216" i="1"/>
  <c r="L1216" i="1"/>
  <c r="R1216" i="1" s="1"/>
  <c r="M1216" i="1"/>
  <c r="I1217" i="1"/>
  <c r="J1217" i="1"/>
  <c r="K1217" i="1"/>
  <c r="L1217" i="1"/>
  <c r="R1217" i="1" s="1"/>
  <c r="M1217" i="1"/>
  <c r="I1218" i="1"/>
  <c r="J1218" i="1"/>
  <c r="K1218" i="1"/>
  <c r="L1218" i="1"/>
  <c r="M1218" i="1"/>
  <c r="R1218" i="1"/>
  <c r="I1219" i="1"/>
  <c r="J1219" i="1"/>
  <c r="K1219" i="1"/>
  <c r="L1219" i="1"/>
  <c r="M1219" i="1"/>
  <c r="R1219" i="1"/>
  <c r="I1220" i="1"/>
  <c r="J1220" i="1"/>
  <c r="K1220" i="1"/>
  <c r="L1220" i="1"/>
  <c r="M1220" i="1"/>
  <c r="R1220" i="1"/>
  <c r="I1221" i="1"/>
  <c r="J1221" i="1"/>
  <c r="K1221" i="1"/>
  <c r="L1221" i="1"/>
  <c r="R1221" i="1" s="1"/>
  <c r="M1221" i="1"/>
  <c r="I1222" i="1"/>
  <c r="J1222" i="1"/>
  <c r="K1222" i="1"/>
  <c r="L1222" i="1"/>
  <c r="M1222" i="1"/>
  <c r="R1222" i="1"/>
  <c r="I1223" i="1"/>
  <c r="J1223" i="1"/>
  <c r="K1223" i="1"/>
  <c r="L1223" i="1"/>
  <c r="R1223" i="1" s="1"/>
  <c r="M1223" i="1"/>
  <c r="I1224" i="1"/>
  <c r="J1224" i="1"/>
  <c r="K1224" i="1"/>
  <c r="L1224" i="1"/>
  <c r="R1224" i="1" s="1"/>
  <c r="M1224" i="1"/>
  <c r="I1225" i="1"/>
  <c r="J1225" i="1"/>
  <c r="K1225" i="1"/>
  <c r="L1225" i="1"/>
  <c r="R1225" i="1" s="1"/>
  <c r="M1225" i="1"/>
  <c r="I1226" i="1"/>
  <c r="J1226" i="1"/>
  <c r="K1226" i="1"/>
  <c r="L1226" i="1"/>
  <c r="M1226" i="1"/>
  <c r="R1226" i="1"/>
  <c r="I1227" i="1"/>
  <c r="J1227" i="1"/>
  <c r="K1227" i="1"/>
  <c r="L1227" i="1"/>
  <c r="M1227" i="1"/>
  <c r="R1227" i="1"/>
  <c r="I1228" i="1"/>
  <c r="J1228" i="1"/>
  <c r="K1228" i="1"/>
  <c r="L1228" i="1"/>
  <c r="M1228" i="1"/>
  <c r="R1228" i="1"/>
  <c r="I1229" i="1"/>
  <c r="J1229" i="1"/>
  <c r="K1229" i="1"/>
  <c r="L1229" i="1"/>
  <c r="R1229" i="1" s="1"/>
  <c r="M1229" i="1"/>
  <c r="I1230" i="1"/>
  <c r="J1230" i="1"/>
  <c r="K1230" i="1"/>
  <c r="L1230" i="1"/>
  <c r="M1230" i="1"/>
  <c r="R1230" i="1"/>
  <c r="I1231" i="1"/>
  <c r="J1231" i="1"/>
  <c r="K1231" i="1"/>
  <c r="L1231" i="1"/>
  <c r="M1231" i="1"/>
  <c r="R1231" i="1"/>
  <c r="I1232" i="1"/>
  <c r="J1232" i="1"/>
  <c r="K1232" i="1"/>
  <c r="L1232" i="1"/>
  <c r="R1232" i="1" s="1"/>
  <c r="M1232" i="1"/>
  <c r="I1233" i="1"/>
  <c r="J1233" i="1"/>
  <c r="K1233" i="1"/>
  <c r="L1233" i="1"/>
  <c r="M1233" i="1"/>
  <c r="R1233" i="1"/>
  <c r="I1234" i="1"/>
  <c r="J1234" i="1"/>
  <c r="K1234" i="1"/>
  <c r="L1234" i="1"/>
  <c r="R1234" i="1" s="1"/>
  <c r="M1234" i="1"/>
  <c r="I1235" i="1"/>
  <c r="J1235" i="1"/>
  <c r="K1235" i="1"/>
  <c r="L1235" i="1"/>
  <c r="M1235" i="1"/>
  <c r="R1235" i="1"/>
  <c r="I1236" i="1"/>
  <c r="J1236" i="1"/>
  <c r="K1236" i="1"/>
  <c r="L1236" i="1"/>
  <c r="M1236" i="1"/>
  <c r="R1236" i="1"/>
  <c r="I1237" i="1"/>
  <c r="J1237" i="1"/>
  <c r="K1237" i="1"/>
  <c r="L1237" i="1"/>
  <c r="R1237" i="1" s="1"/>
  <c r="M1237" i="1"/>
  <c r="I1238" i="1"/>
  <c r="J1238" i="1"/>
  <c r="K1238" i="1"/>
  <c r="L1238" i="1"/>
  <c r="M1238" i="1"/>
  <c r="R1238" i="1"/>
  <c r="I1239" i="1"/>
  <c r="J1239" i="1"/>
  <c r="K1239" i="1"/>
  <c r="L1239" i="1"/>
  <c r="M1239" i="1"/>
  <c r="R1239" i="1"/>
  <c r="I1240" i="1"/>
  <c r="J1240" i="1"/>
  <c r="K1240" i="1"/>
  <c r="L1240" i="1"/>
  <c r="R1240" i="1" s="1"/>
  <c r="M1240" i="1"/>
  <c r="I1241" i="1"/>
  <c r="J1241" i="1"/>
  <c r="K1241" i="1"/>
  <c r="L1241" i="1"/>
  <c r="M1241" i="1"/>
  <c r="R1241" i="1"/>
  <c r="I1242" i="1"/>
  <c r="J1242" i="1"/>
  <c r="K1242" i="1"/>
  <c r="L1242" i="1"/>
  <c r="R1242" i="1" s="1"/>
  <c r="M1242" i="1"/>
  <c r="I1243" i="1"/>
  <c r="J1243" i="1"/>
  <c r="K1243" i="1"/>
  <c r="L1243" i="1"/>
  <c r="R1243" i="1" s="1"/>
  <c r="M1243" i="1"/>
  <c r="I1244" i="1"/>
  <c r="J1244" i="1"/>
  <c r="K1244" i="1"/>
  <c r="L1244" i="1"/>
  <c r="M1244" i="1"/>
  <c r="R1244" i="1"/>
  <c r="I1245" i="1"/>
  <c r="J1245" i="1"/>
  <c r="K1245" i="1"/>
  <c r="L1245" i="1"/>
  <c r="M1245" i="1"/>
  <c r="R1245" i="1"/>
  <c r="I1246" i="1"/>
  <c r="J1246" i="1"/>
  <c r="K1246" i="1"/>
  <c r="L1246" i="1"/>
  <c r="R1246" i="1" s="1"/>
  <c r="M1246" i="1"/>
  <c r="I1247" i="1"/>
  <c r="J1247" i="1"/>
  <c r="K1247" i="1"/>
  <c r="L1247" i="1"/>
  <c r="R1247" i="1" s="1"/>
  <c r="M1247" i="1"/>
  <c r="I1248" i="1"/>
  <c r="J1248" i="1"/>
  <c r="K1248" i="1"/>
  <c r="L1248" i="1"/>
  <c r="M1248" i="1"/>
  <c r="R1248" i="1"/>
  <c r="I1249" i="1"/>
  <c r="J1249" i="1"/>
  <c r="K1249" i="1"/>
  <c r="L1249" i="1"/>
  <c r="M1249" i="1"/>
  <c r="R1249" i="1"/>
  <c r="I1250" i="1"/>
  <c r="J1250" i="1"/>
  <c r="K1250" i="1"/>
  <c r="L1250" i="1"/>
  <c r="R1250" i="1" s="1"/>
  <c r="M1250" i="1"/>
  <c r="I1251" i="1"/>
  <c r="J1251" i="1"/>
  <c r="K1251" i="1"/>
  <c r="L1251" i="1"/>
  <c r="R1251" i="1" s="1"/>
  <c r="M1251" i="1"/>
  <c r="I1252" i="1"/>
  <c r="J1252" i="1"/>
  <c r="K1252" i="1"/>
  <c r="L1252" i="1"/>
  <c r="M1252" i="1"/>
  <c r="R1252" i="1"/>
  <c r="I1253" i="1"/>
  <c r="J1253" i="1"/>
  <c r="K1253" i="1"/>
  <c r="L1253" i="1"/>
  <c r="M1253" i="1"/>
  <c r="R1253" i="1"/>
  <c r="I1254" i="1"/>
  <c r="J1254" i="1"/>
  <c r="K1254" i="1"/>
  <c r="L1254" i="1"/>
  <c r="R1254" i="1" s="1"/>
  <c r="M1254" i="1"/>
  <c r="I1255" i="1"/>
  <c r="J1255" i="1"/>
  <c r="K1255" i="1"/>
  <c r="L1255" i="1"/>
  <c r="R1255" i="1" s="1"/>
  <c r="M1255" i="1"/>
  <c r="I1256" i="1"/>
  <c r="J1256" i="1"/>
  <c r="K1256" i="1"/>
  <c r="L1256" i="1"/>
  <c r="M1256" i="1"/>
  <c r="R1256" i="1"/>
  <c r="I1257" i="1"/>
  <c r="J1257" i="1"/>
  <c r="K1257" i="1"/>
  <c r="L1257" i="1"/>
  <c r="M1257" i="1"/>
  <c r="R1257" i="1"/>
  <c r="I1258" i="1"/>
  <c r="J1258" i="1"/>
  <c r="K1258" i="1"/>
  <c r="L1258" i="1"/>
  <c r="R1258" i="1" s="1"/>
  <c r="M1258" i="1"/>
  <c r="I1259" i="1"/>
  <c r="J1259" i="1"/>
  <c r="K1259" i="1"/>
  <c r="L1259" i="1"/>
  <c r="R1259" i="1" s="1"/>
  <c r="M1259" i="1"/>
  <c r="I1260" i="1"/>
  <c r="J1260" i="1"/>
  <c r="K1260" i="1"/>
  <c r="L1260" i="1"/>
  <c r="M1260" i="1"/>
  <c r="R1260" i="1"/>
  <c r="I1261" i="1"/>
  <c r="J1261" i="1"/>
  <c r="K1261" i="1"/>
  <c r="L1261" i="1"/>
  <c r="M1261" i="1"/>
  <c r="R1261" i="1"/>
  <c r="I1262" i="1"/>
  <c r="J1262" i="1"/>
  <c r="K1262" i="1"/>
  <c r="L1262" i="1"/>
  <c r="R1262" i="1" s="1"/>
  <c r="M1262" i="1"/>
  <c r="I1263" i="1"/>
  <c r="J1263" i="1"/>
  <c r="K1263" i="1"/>
  <c r="L1263" i="1"/>
  <c r="R1263" i="1" s="1"/>
  <c r="M1263" i="1"/>
  <c r="I1264" i="1"/>
  <c r="J1264" i="1"/>
  <c r="K1264" i="1"/>
  <c r="L1264" i="1"/>
  <c r="M1264" i="1"/>
  <c r="R1264" i="1"/>
  <c r="I1265" i="1"/>
  <c r="J1265" i="1"/>
  <c r="K1265" i="1"/>
  <c r="L1265" i="1"/>
  <c r="M1265" i="1"/>
  <c r="R1265" i="1"/>
  <c r="I1266" i="1"/>
  <c r="J1266" i="1"/>
  <c r="K1266" i="1"/>
  <c r="L1266" i="1"/>
  <c r="R1266" i="1" s="1"/>
  <c r="M1266" i="1"/>
  <c r="I1267" i="1"/>
  <c r="J1267" i="1"/>
  <c r="K1267" i="1"/>
  <c r="L1267" i="1"/>
  <c r="R1267" i="1" s="1"/>
  <c r="M1267" i="1"/>
  <c r="I1268" i="1"/>
  <c r="J1268" i="1"/>
  <c r="K1268" i="1"/>
  <c r="L1268" i="1"/>
  <c r="M1268" i="1"/>
  <c r="R1268" i="1"/>
  <c r="I1269" i="1"/>
  <c r="J1269" i="1"/>
  <c r="K1269" i="1"/>
  <c r="L1269" i="1"/>
  <c r="M1269" i="1"/>
  <c r="R1269" i="1"/>
  <c r="I1270" i="1"/>
  <c r="J1270" i="1"/>
  <c r="K1270" i="1"/>
  <c r="L1270" i="1"/>
  <c r="R1270" i="1" s="1"/>
  <c r="M1270" i="1"/>
  <c r="I1271" i="1"/>
  <c r="J1271" i="1"/>
  <c r="K1271" i="1"/>
  <c r="L1271" i="1"/>
  <c r="R1271" i="1" s="1"/>
  <c r="M1271" i="1"/>
  <c r="I1272" i="1"/>
  <c r="J1272" i="1"/>
  <c r="K1272" i="1"/>
  <c r="L1272" i="1"/>
  <c r="M1272" i="1"/>
  <c r="R1272" i="1"/>
  <c r="I1273" i="1"/>
  <c r="J1273" i="1"/>
  <c r="K1273" i="1"/>
  <c r="L1273" i="1"/>
  <c r="M1273" i="1"/>
  <c r="R1273" i="1"/>
  <c r="I1274" i="1"/>
  <c r="J1274" i="1"/>
  <c r="K1274" i="1"/>
  <c r="L1274" i="1"/>
  <c r="R1274" i="1" s="1"/>
  <c r="M1274" i="1"/>
  <c r="I1275" i="1"/>
  <c r="J1275" i="1"/>
  <c r="K1275" i="1"/>
  <c r="L1275" i="1"/>
  <c r="R1275" i="1" s="1"/>
  <c r="M1275" i="1"/>
  <c r="I1276" i="1"/>
  <c r="J1276" i="1"/>
  <c r="K1276" i="1"/>
  <c r="L1276" i="1"/>
  <c r="M1276" i="1"/>
  <c r="R1276" i="1"/>
  <c r="I1277" i="1"/>
  <c r="J1277" i="1"/>
  <c r="K1277" i="1"/>
  <c r="L1277" i="1"/>
  <c r="M1277" i="1"/>
  <c r="R1277" i="1"/>
  <c r="I1278" i="1"/>
  <c r="J1278" i="1"/>
  <c r="K1278" i="1"/>
  <c r="L1278" i="1"/>
  <c r="R1278" i="1" s="1"/>
  <c r="M1278" i="1"/>
  <c r="I1279" i="1"/>
  <c r="J1279" i="1"/>
  <c r="K1279" i="1"/>
  <c r="L1279" i="1"/>
  <c r="R1279" i="1" s="1"/>
  <c r="M1279" i="1"/>
  <c r="I1280" i="1"/>
  <c r="J1280" i="1"/>
  <c r="K1280" i="1"/>
  <c r="L1280" i="1"/>
  <c r="M1280" i="1"/>
  <c r="R1280" i="1"/>
  <c r="I1281" i="1"/>
  <c r="J1281" i="1"/>
  <c r="K1281" i="1"/>
  <c r="L1281" i="1"/>
  <c r="M1281" i="1"/>
  <c r="R1281" i="1"/>
  <c r="I1282" i="1"/>
  <c r="J1282" i="1"/>
  <c r="K1282" i="1"/>
  <c r="L1282" i="1"/>
  <c r="R1282" i="1" s="1"/>
  <c r="M1282" i="1"/>
  <c r="I1283" i="1"/>
  <c r="J1283" i="1"/>
  <c r="K1283" i="1"/>
  <c r="L1283" i="1"/>
  <c r="R1283" i="1" s="1"/>
  <c r="M1283" i="1"/>
  <c r="I1284" i="1"/>
  <c r="J1284" i="1"/>
  <c r="K1284" i="1"/>
  <c r="L1284" i="1"/>
  <c r="M1284" i="1"/>
  <c r="R1284" i="1"/>
  <c r="I1285" i="1"/>
  <c r="J1285" i="1"/>
  <c r="K1285" i="1"/>
  <c r="L1285" i="1"/>
  <c r="M1285" i="1"/>
  <c r="R1285" i="1"/>
  <c r="I1286" i="1"/>
  <c r="J1286" i="1"/>
  <c r="K1286" i="1"/>
  <c r="L1286" i="1"/>
  <c r="R1286" i="1" s="1"/>
  <c r="M1286" i="1"/>
  <c r="I1287" i="1"/>
  <c r="J1287" i="1"/>
  <c r="K1287" i="1"/>
  <c r="L1287" i="1"/>
  <c r="R1287" i="1" s="1"/>
  <c r="M1287" i="1"/>
  <c r="I1288" i="1"/>
  <c r="J1288" i="1"/>
  <c r="K1288" i="1"/>
  <c r="L1288" i="1"/>
  <c r="M1288" i="1"/>
  <c r="R1288" i="1"/>
  <c r="I1289" i="1"/>
  <c r="J1289" i="1"/>
  <c r="K1289" i="1"/>
  <c r="L1289" i="1"/>
  <c r="M1289" i="1"/>
  <c r="R1289" i="1"/>
  <c r="I1290" i="1"/>
  <c r="J1290" i="1"/>
  <c r="K1290" i="1"/>
  <c r="L1290" i="1"/>
  <c r="R1290" i="1" s="1"/>
  <c r="M1290" i="1"/>
  <c r="I1291" i="1"/>
  <c r="K1291" i="1"/>
  <c r="L1291" i="1"/>
  <c r="M1291" i="1"/>
  <c r="R1291" i="1"/>
  <c r="I1292" i="1"/>
  <c r="J1292" i="1"/>
  <c r="K1292" i="1"/>
  <c r="L1292" i="1"/>
  <c r="M1292" i="1"/>
  <c r="R1292" i="1"/>
</calcChain>
</file>

<file path=xl/sharedStrings.xml><?xml version="1.0" encoding="utf-8"?>
<sst xmlns="http://schemas.openxmlformats.org/spreadsheetml/2006/main" count="1255" uniqueCount="8">
  <si>
    <t>Wind Speed (avg)</t>
  </si>
  <si>
    <t>Wind Speed (max)</t>
  </si>
  <si>
    <t>Humidity</t>
  </si>
  <si>
    <t>Temperature</t>
  </si>
  <si>
    <t>Wind direction</t>
  </si>
  <si>
    <t>ok</t>
  </si>
  <si>
    <t>Pinger (raw data)</t>
  </si>
  <si>
    <t>Pinger (temp. corr.)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</si>
</sst>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8.75"/>
      <name val="Arial"/>
    </font>
    <font>
      <sz val="8.75"/>
      <name val="Arial"/>
    </font>
    <font>
      <sz val="14.75"/>
      <name val="Arial"/>
    </font>
    <font>
      <sz val="15.25"/>
      <name val="Arial"/>
    </font>
    <font>
      <sz val="8.75"/>
      <name val="Arial"/>
    </font>
    <font>
      <sz val="8.75"/>
      <name val="Arial"/>
    </font>
    <font>
      <sz val="8.75"/>
      <name val="Arial"/>
    </font>
    <font>
      <sz val="8.75"/>
      <name val="Arial"/>
    </font>
    <font>
      <sz val="8.75"/>
      <name val="Arial"/>
    </font>
    <font>
      <sz val="8.75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5" Type="http://schemas.openxmlformats.org/officeDocument/2006/relationships/chartsheet" Target="chartsheets/sheet5.xml"/><Relationship Id="rId10" Type="http://schemas.openxmlformats.org/officeDocument/2006/relationships/calcChain" Target="calcChain.xml"/><Relationship Id="rId4" Type="http://schemas.openxmlformats.org/officeDocument/2006/relationships/chartsheet" Target="chart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071428571428569"/>
          <c:y val="1.965923984272608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25E-2"/>
          <c:y val="8.9121887287024887E-2"/>
          <c:w val="0.86874999999999991"/>
          <c:h val="0.86631716906946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AADATA!$L$1</c:f>
              <c:strCache>
                <c:ptCount val="1"/>
                <c:pt idx="0">
                  <c:v>Temperature</c:v>
                </c:pt>
              </c:strCache>
            </c:strRef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AADATA!$H:$H</c:f>
              <c:numCache>
                <c:formatCode>General</c:formatCode>
                <c:ptCount val="65536"/>
                <c:pt idx="2" formatCode="m/d/yyyy\ h:mm">
                  <c:v>36828.708333333336</c:v>
                </c:pt>
                <c:pt idx="3" formatCode="m/d/yyyy\ h:mm">
                  <c:v>36828.729166666672</c:v>
                </c:pt>
                <c:pt idx="4" formatCode="m/d/yyyy\ h:mm">
                  <c:v>36828.750000000007</c:v>
                </c:pt>
                <c:pt idx="5" formatCode="m/d/yyyy\ h:mm">
                  <c:v>36828.770833333343</c:v>
                </c:pt>
                <c:pt idx="6" formatCode="m/d/yyyy\ h:mm">
                  <c:v>36828.791666666679</c:v>
                </c:pt>
                <c:pt idx="7" formatCode="m/d/yyyy\ h:mm">
                  <c:v>36828.812500000015</c:v>
                </c:pt>
                <c:pt idx="8" formatCode="m/d/yyyy\ h:mm">
                  <c:v>36828.83333333335</c:v>
                </c:pt>
                <c:pt idx="9" formatCode="m/d/yyyy\ h:mm">
                  <c:v>36828.854166666686</c:v>
                </c:pt>
                <c:pt idx="10" formatCode="m/d/yyyy\ h:mm">
                  <c:v>36828.875000000022</c:v>
                </c:pt>
                <c:pt idx="11" formatCode="m/d/yyyy\ h:mm">
                  <c:v>36828.895833333358</c:v>
                </c:pt>
                <c:pt idx="12" formatCode="m/d/yyyy\ h:mm">
                  <c:v>36828.916666666693</c:v>
                </c:pt>
                <c:pt idx="13" formatCode="m/d/yyyy\ h:mm">
                  <c:v>36828.937500000029</c:v>
                </c:pt>
                <c:pt idx="14" formatCode="m/d/yyyy\ h:mm">
                  <c:v>36828.958333333365</c:v>
                </c:pt>
                <c:pt idx="15" formatCode="m/d/yyyy\ h:mm">
                  <c:v>36828.979166666701</c:v>
                </c:pt>
                <c:pt idx="16" formatCode="m/d/yyyy\ h:mm">
                  <c:v>36829.000000000036</c:v>
                </c:pt>
                <c:pt idx="17" formatCode="m/d/yyyy\ h:mm">
                  <c:v>36829.020833333372</c:v>
                </c:pt>
                <c:pt idx="18" formatCode="m/d/yyyy\ h:mm">
                  <c:v>36829.041666666708</c:v>
                </c:pt>
                <c:pt idx="19" formatCode="m/d/yyyy\ h:mm">
                  <c:v>36829.062500000044</c:v>
                </c:pt>
                <c:pt idx="20" formatCode="m/d/yyyy\ h:mm">
                  <c:v>36829.083333333379</c:v>
                </c:pt>
                <c:pt idx="21" formatCode="m/d/yyyy\ h:mm">
                  <c:v>36829.104166666715</c:v>
                </c:pt>
                <c:pt idx="22" formatCode="m/d/yyyy\ h:mm">
                  <c:v>36829.125000000051</c:v>
                </c:pt>
                <c:pt idx="23" formatCode="m/d/yyyy\ h:mm">
                  <c:v>36829.145833333387</c:v>
                </c:pt>
                <c:pt idx="24" formatCode="m/d/yyyy\ h:mm">
                  <c:v>36829.166666666722</c:v>
                </c:pt>
                <c:pt idx="25" formatCode="m/d/yyyy\ h:mm">
                  <c:v>36829.187500000058</c:v>
                </c:pt>
                <c:pt idx="26" formatCode="m/d/yyyy\ h:mm">
                  <c:v>36829.208333333394</c:v>
                </c:pt>
                <c:pt idx="27" formatCode="m/d/yyyy\ h:mm">
                  <c:v>36829.22916666673</c:v>
                </c:pt>
                <c:pt idx="28" formatCode="m/d/yyyy\ h:mm">
                  <c:v>36829.250000000065</c:v>
                </c:pt>
                <c:pt idx="29" formatCode="m/d/yyyy\ h:mm">
                  <c:v>36829.270833333401</c:v>
                </c:pt>
                <c:pt idx="30" formatCode="m/d/yyyy\ h:mm">
                  <c:v>36829.291666666737</c:v>
                </c:pt>
                <c:pt idx="31" formatCode="m/d/yyyy\ h:mm">
                  <c:v>36829.312500000073</c:v>
                </c:pt>
                <c:pt idx="32" formatCode="m/d/yyyy\ h:mm">
                  <c:v>36829.333333333409</c:v>
                </c:pt>
                <c:pt idx="33" formatCode="m/d/yyyy\ h:mm">
                  <c:v>36829.354166666744</c:v>
                </c:pt>
                <c:pt idx="34" formatCode="m/d/yyyy\ h:mm">
                  <c:v>36829.37500000008</c:v>
                </c:pt>
                <c:pt idx="35" formatCode="m/d/yyyy\ h:mm">
                  <c:v>36829.395833333416</c:v>
                </c:pt>
                <c:pt idx="36" formatCode="m/d/yyyy\ h:mm">
                  <c:v>36829.416666666752</c:v>
                </c:pt>
                <c:pt idx="37" formatCode="m/d/yyyy\ h:mm">
                  <c:v>36829.437500000087</c:v>
                </c:pt>
                <c:pt idx="38" formatCode="m/d/yyyy\ h:mm">
                  <c:v>36829.458333333423</c:v>
                </c:pt>
                <c:pt idx="39" formatCode="m/d/yyyy\ h:mm">
                  <c:v>36829.479166666759</c:v>
                </c:pt>
                <c:pt idx="40" formatCode="m/d/yyyy\ h:mm">
                  <c:v>36829.500000000095</c:v>
                </c:pt>
                <c:pt idx="41" formatCode="m/d/yyyy\ h:mm">
                  <c:v>36829.52083333343</c:v>
                </c:pt>
                <c:pt idx="42" formatCode="m/d/yyyy\ h:mm">
                  <c:v>36829.541666666766</c:v>
                </c:pt>
                <c:pt idx="43" formatCode="m/d/yyyy\ h:mm">
                  <c:v>36829.562500000102</c:v>
                </c:pt>
                <c:pt idx="44" formatCode="m/d/yyyy\ h:mm">
                  <c:v>36829.583333333438</c:v>
                </c:pt>
                <c:pt idx="45" formatCode="m/d/yyyy\ h:mm">
                  <c:v>36829.604166666773</c:v>
                </c:pt>
                <c:pt idx="46" formatCode="m/d/yyyy\ h:mm">
                  <c:v>36829.625000000109</c:v>
                </c:pt>
                <c:pt idx="47" formatCode="m/d/yyyy\ h:mm">
                  <c:v>36829.645833333445</c:v>
                </c:pt>
                <c:pt idx="48" formatCode="m/d/yyyy\ h:mm">
                  <c:v>36829.666666666781</c:v>
                </c:pt>
                <c:pt idx="49" formatCode="m/d/yyyy\ h:mm">
                  <c:v>36829.687500000116</c:v>
                </c:pt>
                <c:pt idx="50" formatCode="m/d/yyyy\ h:mm">
                  <c:v>36829.708333333452</c:v>
                </c:pt>
                <c:pt idx="51" formatCode="m/d/yyyy\ h:mm">
                  <c:v>36829.729166666788</c:v>
                </c:pt>
                <c:pt idx="52" formatCode="m/d/yyyy\ h:mm">
                  <c:v>36829.750000000124</c:v>
                </c:pt>
                <c:pt idx="53" formatCode="m/d/yyyy\ h:mm">
                  <c:v>36829.770833333459</c:v>
                </c:pt>
                <c:pt idx="54" formatCode="m/d/yyyy\ h:mm">
                  <c:v>36829.791666666795</c:v>
                </c:pt>
                <c:pt idx="55" formatCode="m/d/yyyy\ h:mm">
                  <c:v>36829.812500000131</c:v>
                </c:pt>
                <c:pt idx="56" formatCode="m/d/yyyy\ h:mm">
                  <c:v>36829.833333333467</c:v>
                </c:pt>
                <c:pt idx="57" formatCode="m/d/yyyy\ h:mm">
                  <c:v>36829.854166666802</c:v>
                </c:pt>
                <c:pt idx="58" formatCode="m/d/yyyy\ h:mm">
                  <c:v>36829.875000000138</c:v>
                </c:pt>
                <c:pt idx="59" formatCode="m/d/yyyy\ h:mm">
                  <c:v>36829.895833333474</c:v>
                </c:pt>
                <c:pt idx="60" formatCode="m/d/yyyy\ h:mm">
                  <c:v>36829.91666666681</c:v>
                </c:pt>
                <c:pt idx="61" formatCode="m/d/yyyy\ h:mm">
                  <c:v>36829.937500000146</c:v>
                </c:pt>
                <c:pt idx="62" formatCode="m/d/yyyy\ h:mm">
                  <c:v>36829.958333333481</c:v>
                </c:pt>
                <c:pt idx="63" formatCode="m/d/yyyy\ h:mm">
                  <c:v>36829.979166666817</c:v>
                </c:pt>
                <c:pt idx="64" formatCode="m/d/yyyy\ h:mm">
                  <c:v>36830.000000000153</c:v>
                </c:pt>
                <c:pt idx="65" formatCode="m/d/yyyy\ h:mm">
                  <c:v>36830.020833333489</c:v>
                </c:pt>
                <c:pt idx="66" formatCode="m/d/yyyy\ h:mm">
                  <c:v>36830.041666666824</c:v>
                </c:pt>
                <c:pt idx="67" formatCode="m/d/yyyy\ h:mm">
                  <c:v>36830.06250000016</c:v>
                </c:pt>
                <c:pt idx="68" formatCode="m/d/yyyy\ h:mm">
                  <c:v>36830.083333333496</c:v>
                </c:pt>
                <c:pt idx="69" formatCode="m/d/yyyy\ h:mm">
                  <c:v>36830.104166666832</c:v>
                </c:pt>
                <c:pt idx="70" formatCode="m/d/yyyy\ h:mm">
                  <c:v>36830.125000000167</c:v>
                </c:pt>
                <c:pt idx="71" formatCode="m/d/yyyy\ h:mm">
                  <c:v>36830.145833333503</c:v>
                </c:pt>
                <c:pt idx="72" formatCode="m/d/yyyy\ h:mm">
                  <c:v>36830.166666666839</c:v>
                </c:pt>
                <c:pt idx="73" formatCode="m/d/yyyy\ h:mm">
                  <c:v>36830.187500000175</c:v>
                </c:pt>
                <c:pt idx="74" formatCode="m/d/yyyy\ h:mm">
                  <c:v>36830.20833333351</c:v>
                </c:pt>
                <c:pt idx="75" formatCode="m/d/yyyy\ h:mm">
                  <c:v>36830.229166666846</c:v>
                </c:pt>
                <c:pt idx="76" formatCode="m/d/yyyy\ h:mm">
                  <c:v>36830.250000000182</c:v>
                </c:pt>
                <c:pt idx="77" formatCode="m/d/yyyy\ h:mm">
                  <c:v>36830.270833333518</c:v>
                </c:pt>
                <c:pt idx="78" formatCode="m/d/yyyy\ h:mm">
                  <c:v>36830.291666666853</c:v>
                </c:pt>
                <c:pt idx="79" formatCode="m/d/yyyy\ h:mm">
                  <c:v>36830.312500000189</c:v>
                </c:pt>
                <c:pt idx="80" formatCode="m/d/yyyy\ h:mm">
                  <c:v>36830.333333333525</c:v>
                </c:pt>
                <c:pt idx="81" formatCode="m/d/yyyy\ h:mm">
                  <c:v>36830.354166666861</c:v>
                </c:pt>
                <c:pt idx="82" formatCode="m/d/yyyy\ h:mm">
                  <c:v>36830.375000000196</c:v>
                </c:pt>
                <c:pt idx="83" formatCode="m/d/yyyy\ h:mm">
                  <c:v>36830.395833333532</c:v>
                </c:pt>
                <c:pt idx="84" formatCode="m/d/yyyy\ h:mm">
                  <c:v>36830.416666666868</c:v>
                </c:pt>
                <c:pt idx="85" formatCode="m/d/yyyy\ h:mm">
                  <c:v>36830.437500000204</c:v>
                </c:pt>
                <c:pt idx="86" formatCode="m/d/yyyy\ h:mm">
                  <c:v>36830.458333333539</c:v>
                </c:pt>
                <c:pt idx="87" formatCode="m/d/yyyy\ h:mm">
                  <c:v>36830.479166666875</c:v>
                </c:pt>
                <c:pt idx="88" formatCode="m/d/yyyy\ h:mm">
                  <c:v>36830.500000000211</c:v>
                </c:pt>
                <c:pt idx="89" formatCode="m/d/yyyy\ h:mm">
                  <c:v>36830.520833333547</c:v>
                </c:pt>
                <c:pt idx="90" formatCode="m/d/yyyy\ h:mm">
                  <c:v>36830.541666666883</c:v>
                </c:pt>
                <c:pt idx="91" formatCode="m/d/yyyy\ h:mm">
                  <c:v>36830.562500000218</c:v>
                </c:pt>
                <c:pt idx="92" formatCode="m/d/yyyy\ h:mm">
                  <c:v>36830.583333333554</c:v>
                </c:pt>
                <c:pt idx="93" formatCode="m/d/yyyy\ h:mm">
                  <c:v>36830.60416666689</c:v>
                </c:pt>
                <c:pt idx="94" formatCode="m/d/yyyy\ h:mm">
                  <c:v>36830.625000000226</c:v>
                </c:pt>
                <c:pt idx="95" formatCode="m/d/yyyy\ h:mm">
                  <c:v>36830.645833333561</c:v>
                </c:pt>
                <c:pt idx="96" formatCode="m/d/yyyy\ h:mm">
                  <c:v>36830.666666666897</c:v>
                </c:pt>
                <c:pt idx="97" formatCode="m/d/yyyy\ h:mm">
                  <c:v>36830.687500000233</c:v>
                </c:pt>
                <c:pt idx="98" formatCode="m/d/yyyy\ h:mm">
                  <c:v>36830.708333333569</c:v>
                </c:pt>
                <c:pt idx="99" formatCode="m/d/yyyy\ h:mm">
                  <c:v>36830.729166666904</c:v>
                </c:pt>
                <c:pt idx="100" formatCode="m/d/yyyy\ h:mm">
                  <c:v>36830.75000000024</c:v>
                </c:pt>
                <c:pt idx="101" formatCode="m/d/yyyy\ h:mm">
                  <c:v>36830.770833333576</c:v>
                </c:pt>
                <c:pt idx="102" formatCode="m/d/yyyy\ h:mm">
                  <c:v>36830.791666666912</c:v>
                </c:pt>
                <c:pt idx="103" formatCode="m/d/yyyy\ h:mm">
                  <c:v>36830.812500000247</c:v>
                </c:pt>
                <c:pt idx="104" formatCode="m/d/yyyy\ h:mm">
                  <c:v>36830.833333333583</c:v>
                </c:pt>
                <c:pt idx="105" formatCode="m/d/yyyy\ h:mm">
                  <c:v>36830.854166666919</c:v>
                </c:pt>
                <c:pt idx="106" formatCode="m/d/yyyy\ h:mm">
                  <c:v>36830.875000000255</c:v>
                </c:pt>
                <c:pt idx="107" formatCode="m/d/yyyy\ h:mm">
                  <c:v>36830.89583333359</c:v>
                </c:pt>
                <c:pt idx="108" formatCode="m/d/yyyy\ h:mm">
                  <c:v>36830.916666666926</c:v>
                </c:pt>
                <c:pt idx="109" formatCode="m/d/yyyy\ h:mm">
                  <c:v>36830.937500000262</c:v>
                </c:pt>
                <c:pt idx="110" formatCode="m/d/yyyy\ h:mm">
                  <c:v>36830.958333333598</c:v>
                </c:pt>
                <c:pt idx="111" formatCode="m/d/yyyy\ h:mm">
                  <c:v>36830.979166666933</c:v>
                </c:pt>
                <c:pt idx="112" formatCode="m/d/yyyy\ h:mm">
                  <c:v>36831.000000000269</c:v>
                </c:pt>
                <c:pt idx="113" formatCode="m/d/yyyy\ h:mm">
                  <c:v>36831.020833333605</c:v>
                </c:pt>
                <c:pt idx="114" formatCode="m/d/yyyy\ h:mm">
                  <c:v>36831.041666666941</c:v>
                </c:pt>
                <c:pt idx="115" formatCode="m/d/yyyy\ h:mm">
                  <c:v>36831.062500000276</c:v>
                </c:pt>
                <c:pt idx="116" formatCode="m/d/yyyy\ h:mm">
                  <c:v>36831.083333333612</c:v>
                </c:pt>
                <c:pt idx="117" formatCode="m/d/yyyy\ h:mm">
                  <c:v>36831.104166666948</c:v>
                </c:pt>
                <c:pt idx="118" formatCode="m/d/yyyy\ h:mm">
                  <c:v>36831.125000000284</c:v>
                </c:pt>
                <c:pt idx="119" formatCode="m/d/yyyy\ h:mm">
                  <c:v>36831.14583333362</c:v>
                </c:pt>
                <c:pt idx="120" formatCode="m/d/yyyy\ h:mm">
                  <c:v>36831.166666666955</c:v>
                </c:pt>
                <c:pt idx="121" formatCode="m/d/yyyy\ h:mm">
                  <c:v>36831.187500000291</c:v>
                </c:pt>
                <c:pt idx="122" formatCode="m/d/yyyy\ h:mm">
                  <c:v>36831.208333333627</c:v>
                </c:pt>
                <c:pt idx="123" formatCode="m/d/yyyy\ h:mm">
                  <c:v>36831.229166666963</c:v>
                </c:pt>
                <c:pt idx="124" formatCode="m/d/yyyy\ h:mm">
                  <c:v>36831.250000000298</c:v>
                </c:pt>
                <c:pt idx="125" formatCode="m/d/yyyy\ h:mm">
                  <c:v>36831.270833333634</c:v>
                </c:pt>
                <c:pt idx="126" formatCode="m/d/yyyy\ h:mm">
                  <c:v>36831.29166666697</c:v>
                </c:pt>
                <c:pt idx="127" formatCode="m/d/yyyy\ h:mm">
                  <c:v>36831.312500000306</c:v>
                </c:pt>
                <c:pt idx="128" formatCode="m/d/yyyy\ h:mm">
                  <c:v>36831.333333333641</c:v>
                </c:pt>
                <c:pt idx="129" formatCode="m/d/yyyy\ h:mm">
                  <c:v>36831.354166666977</c:v>
                </c:pt>
                <c:pt idx="130" formatCode="m/d/yyyy\ h:mm">
                  <c:v>36831.375000000313</c:v>
                </c:pt>
                <c:pt idx="131" formatCode="m/d/yyyy\ h:mm">
                  <c:v>36831.395833333649</c:v>
                </c:pt>
                <c:pt idx="132" formatCode="m/d/yyyy\ h:mm">
                  <c:v>36831.416666666984</c:v>
                </c:pt>
                <c:pt idx="133" formatCode="m/d/yyyy\ h:mm">
                  <c:v>36831.43750000032</c:v>
                </c:pt>
                <c:pt idx="134" formatCode="m/d/yyyy\ h:mm">
                  <c:v>36831.458333333656</c:v>
                </c:pt>
                <c:pt idx="135" formatCode="m/d/yyyy\ h:mm">
                  <c:v>36831.479166666992</c:v>
                </c:pt>
                <c:pt idx="136" formatCode="m/d/yyyy\ h:mm">
                  <c:v>36831.500000000327</c:v>
                </c:pt>
                <c:pt idx="137" formatCode="m/d/yyyy\ h:mm">
                  <c:v>36831.520833333663</c:v>
                </c:pt>
                <c:pt idx="138" formatCode="m/d/yyyy\ h:mm">
                  <c:v>36831.541666666999</c:v>
                </c:pt>
                <c:pt idx="139" formatCode="m/d/yyyy\ h:mm">
                  <c:v>36831.562500000335</c:v>
                </c:pt>
                <c:pt idx="140" formatCode="m/d/yyyy\ h:mm">
                  <c:v>36831.58333333367</c:v>
                </c:pt>
                <c:pt idx="141" formatCode="m/d/yyyy\ h:mm">
                  <c:v>36831.604166667006</c:v>
                </c:pt>
                <c:pt idx="142" formatCode="m/d/yyyy\ h:mm">
                  <c:v>36831.625000000342</c:v>
                </c:pt>
                <c:pt idx="143" formatCode="m/d/yyyy\ h:mm">
                  <c:v>36831.645833333678</c:v>
                </c:pt>
                <c:pt idx="144" formatCode="m/d/yyyy\ h:mm">
                  <c:v>36831.666666667013</c:v>
                </c:pt>
                <c:pt idx="145" formatCode="m/d/yyyy\ h:mm">
                  <c:v>36831.687500000349</c:v>
                </c:pt>
                <c:pt idx="146" formatCode="m/d/yyyy\ h:mm">
                  <c:v>36831.708333333685</c:v>
                </c:pt>
                <c:pt idx="147" formatCode="m/d/yyyy\ h:mm">
                  <c:v>36831.729166667021</c:v>
                </c:pt>
                <c:pt idx="148" formatCode="m/d/yyyy\ h:mm">
                  <c:v>36831.750000000357</c:v>
                </c:pt>
                <c:pt idx="149" formatCode="m/d/yyyy\ h:mm">
                  <c:v>36831.770833333692</c:v>
                </c:pt>
                <c:pt idx="150" formatCode="m/d/yyyy\ h:mm">
                  <c:v>36831.791666667028</c:v>
                </c:pt>
                <c:pt idx="151" formatCode="m/d/yyyy\ h:mm">
                  <c:v>36831.812500000364</c:v>
                </c:pt>
                <c:pt idx="152" formatCode="m/d/yyyy\ h:mm">
                  <c:v>36831.8333333337</c:v>
                </c:pt>
                <c:pt idx="153" formatCode="m/d/yyyy\ h:mm">
                  <c:v>36831.854166667035</c:v>
                </c:pt>
                <c:pt idx="154" formatCode="m/d/yyyy\ h:mm">
                  <c:v>36831.875000000371</c:v>
                </c:pt>
                <c:pt idx="155" formatCode="m/d/yyyy\ h:mm">
                  <c:v>36831.895833333707</c:v>
                </c:pt>
                <c:pt idx="156" formatCode="m/d/yyyy\ h:mm">
                  <c:v>36831.916666667043</c:v>
                </c:pt>
                <c:pt idx="157" formatCode="m/d/yyyy\ h:mm">
                  <c:v>36831.937500000378</c:v>
                </c:pt>
                <c:pt idx="158" formatCode="m/d/yyyy\ h:mm">
                  <c:v>36831.958333333714</c:v>
                </c:pt>
                <c:pt idx="159" formatCode="m/d/yyyy\ h:mm">
                  <c:v>36831.97916666705</c:v>
                </c:pt>
                <c:pt idx="160" formatCode="m/d/yyyy\ h:mm">
                  <c:v>36832.000000000386</c:v>
                </c:pt>
                <c:pt idx="161" formatCode="m/d/yyyy\ h:mm">
                  <c:v>36832.020833333721</c:v>
                </c:pt>
                <c:pt idx="162" formatCode="m/d/yyyy\ h:mm">
                  <c:v>36832.041666667057</c:v>
                </c:pt>
                <c:pt idx="163" formatCode="m/d/yyyy\ h:mm">
                  <c:v>36832.062500000393</c:v>
                </c:pt>
                <c:pt idx="164" formatCode="m/d/yyyy\ h:mm">
                  <c:v>36832.083333333729</c:v>
                </c:pt>
                <c:pt idx="165" formatCode="m/d/yyyy\ h:mm">
                  <c:v>36832.104166667064</c:v>
                </c:pt>
                <c:pt idx="166" formatCode="m/d/yyyy\ h:mm">
                  <c:v>36832.1250000004</c:v>
                </c:pt>
                <c:pt idx="167" formatCode="m/d/yyyy\ h:mm">
                  <c:v>36832.145833333736</c:v>
                </c:pt>
                <c:pt idx="168" formatCode="m/d/yyyy\ h:mm">
                  <c:v>36832.166666667072</c:v>
                </c:pt>
                <c:pt idx="169" formatCode="m/d/yyyy\ h:mm">
                  <c:v>36832.187500000407</c:v>
                </c:pt>
                <c:pt idx="170" formatCode="m/d/yyyy\ h:mm">
                  <c:v>36832.208333333743</c:v>
                </c:pt>
                <c:pt idx="171" formatCode="m/d/yyyy\ h:mm">
                  <c:v>36832.229166667079</c:v>
                </c:pt>
                <c:pt idx="172" formatCode="m/d/yyyy\ h:mm">
                  <c:v>36832.250000000415</c:v>
                </c:pt>
                <c:pt idx="173" formatCode="m/d/yyyy\ h:mm">
                  <c:v>36832.27083333375</c:v>
                </c:pt>
                <c:pt idx="174" formatCode="m/d/yyyy\ h:mm">
                  <c:v>36832.291666667086</c:v>
                </c:pt>
                <c:pt idx="175" formatCode="m/d/yyyy\ h:mm">
                  <c:v>36832.312500000422</c:v>
                </c:pt>
                <c:pt idx="176" formatCode="m/d/yyyy\ h:mm">
                  <c:v>36832.333333333758</c:v>
                </c:pt>
                <c:pt idx="177" formatCode="m/d/yyyy\ h:mm">
                  <c:v>36832.354166667094</c:v>
                </c:pt>
                <c:pt idx="178" formatCode="m/d/yyyy\ h:mm">
                  <c:v>36832.375000000429</c:v>
                </c:pt>
                <c:pt idx="179" formatCode="m/d/yyyy\ h:mm">
                  <c:v>36832.395833333765</c:v>
                </c:pt>
                <c:pt idx="180" formatCode="m/d/yyyy\ h:mm">
                  <c:v>36832.416666667101</c:v>
                </c:pt>
                <c:pt idx="181" formatCode="m/d/yyyy\ h:mm">
                  <c:v>36832.437500000437</c:v>
                </c:pt>
                <c:pt idx="182" formatCode="m/d/yyyy\ h:mm">
                  <c:v>36832.458333333772</c:v>
                </c:pt>
                <c:pt idx="183" formatCode="m/d/yyyy\ h:mm">
                  <c:v>36832.479166667108</c:v>
                </c:pt>
                <c:pt idx="184" formatCode="m/d/yyyy\ h:mm">
                  <c:v>36832.500000000444</c:v>
                </c:pt>
                <c:pt idx="185" formatCode="m/d/yyyy\ h:mm">
                  <c:v>36832.52083333378</c:v>
                </c:pt>
                <c:pt idx="186" formatCode="m/d/yyyy\ h:mm">
                  <c:v>36832.541666667115</c:v>
                </c:pt>
                <c:pt idx="187" formatCode="m/d/yyyy\ h:mm">
                  <c:v>36832.562500000451</c:v>
                </c:pt>
                <c:pt idx="188" formatCode="m/d/yyyy\ h:mm">
                  <c:v>36832.583333333787</c:v>
                </c:pt>
                <c:pt idx="189" formatCode="m/d/yyyy\ h:mm">
                  <c:v>36832.604166667123</c:v>
                </c:pt>
                <c:pt idx="190" formatCode="m/d/yyyy\ h:mm">
                  <c:v>36832.625000000458</c:v>
                </c:pt>
                <c:pt idx="191" formatCode="m/d/yyyy\ h:mm">
                  <c:v>36832.645833333794</c:v>
                </c:pt>
                <c:pt idx="192" formatCode="m/d/yyyy\ h:mm">
                  <c:v>36832.66666666713</c:v>
                </c:pt>
                <c:pt idx="193" formatCode="m/d/yyyy\ h:mm">
                  <c:v>36832.687500000466</c:v>
                </c:pt>
                <c:pt idx="194" formatCode="m/d/yyyy\ h:mm">
                  <c:v>36832.708333333801</c:v>
                </c:pt>
                <c:pt idx="195" formatCode="m/d/yyyy\ h:mm">
                  <c:v>36832.729166667137</c:v>
                </c:pt>
                <c:pt idx="196" formatCode="m/d/yyyy\ h:mm">
                  <c:v>36832.750000000473</c:v>
                </c:pt>
                <c:pt idx="197" formatCode="m/d/yyyy\ h:mm">
                  <c:v>36832.770833333809</c:v>
                </c:pt>
                <c:pt idx="198" formatCode="m/d/yyyy\ h:mm">
                  <c:v>36832.791666667144</c:v>
                </c:pt>
                <c:pt idx="199" formatCode="m/d/yyyy\ h:mm">
                  <c:v>36832.81250000048</c:v>
                </c:pt>
                <c:pt idx="200" formatCode="m/d/yyyy\ h:mm">
                  <c:v>36832.833333333816</c:v>
                </c:pt>
                <c:pt idx="201" formatCode="m/d/yyyy\ h:mm">
                  <c:v>36832.854166667152</c:v>
                </c:pt>
                <c:pt idx="202" formatCode="m/d/yyyy\ h:mm">
                  <c:v>36832.875000000487</c:v>
                </c:pt>
                <c:pt idx="203" formatCode="m/d/yyyy\ h:mm">
                  <c:v>36832.895833333823</c:v>
                </c:pt>
                <c:pt idx="204" formatCode="m/d/yyyy\ h:mm">
                  <c:v>36832.916666667159</c:v>
                </c:pt>
                <c:pt idx="205" formatCode="m/d/yyyy\ h:mm">
                  <c:v>36832.937500000495</c:v>
                </c:pt>
                <c:pt idx="206" formatCode="m/d/yyyy\ h:mm">
                  <c:v>36832.958333333831</c:v>
                </c:pt>
                <c:pt idx="207" formatCode="m/d/yyyy\ h:mm">
                  <c:v>36832.979166667166</c:v>
                </c:pt>
                <c:pt idx="208" formatCode="m/d/yyyy\ h:mm">
                  <c:v>36833.000000000502</c:v>
                </c:pt>
                <c:pt idx="209" formatCode="m/d/yyyy\ h:mm">
                  <c:v>36833.020833333838</c:v>
                </c:pt>
                <c:pt idx="210" formatCode="m/d/yyyy\ h:mm">
                  <c:v>36833.041666667174</c:v>
                </c:pt>
                <c:pt idx="211" formatCode="m/d/yyyy\ h:mm">
                  <c:v>36833.062500000509</c:v>
                </c:pt>
                <c:pt idx="212" formatCode="m/d/yyyy\ h:mm">
                  <c:v>36833.083333333845</c:v>
                </c:pt>
                <c:pt idx="213" formatCode="m/d/yyyy\ h:mm">
                  <c:v>36833.104166667181</c:v>
                </c:pt>
                <c:pt idx="214" formatCode="m/d/yyyy\ h:mm">
                  <c:v>36833.125000000517</c:v>
                </c:pt>
                <c:pt idx="215" formatCode="m/d/yyyy\ h:mm">
                  <c:v>36833.145833333852</c:v>
                </c:pt>
                <c:pt idx="216" formatCode="m/d/yyyy\ h:mm">
                  <c:v>36833.166666667188</c:v>
                </c:pt>
                <c:pt idx="217" formatCode="m/d/yyyy\ h:mm">
                  <c:v>36833.187500000524</c:v>
                </c:pt>
                <c:pt idx="218" formatCode="m/d/yyyy\ h:mm">
                  <c:v>36833.20833333386</c:v>
                </c:pt>
                <c:pt idx="219" formatCode="m/d/yyyy\ h:mm">
                  <c:v>36833.229166667195</c:v>
                </c:pt>
                <c:pt idx="220" formatCode="m/d/yyyy\ h:mm">
                  <c:v>36833.250000000531</c:v>
                </c:pt>
                <c:pt idx="221" formatCode="m/d/yyyy\ h:mm">
                  <c:v>36833.270833333867</c:v>
                </c:pt>
                <c:pt idx="222" formatCode="m/d/yyyy\ h:mm">
                  <c:v>36833.291666667203</c:v>
                </c:pt>
                <c:pt idx="223" formatCode="m/d/yyyy\ h:mm">
                  <c:v>36833.312500000538</c:v>
                </c:pt>
                <c:pt idx="224" formatCode="m/d/yyyy\ h:mm">
                  <c:v>36833.333333333874</c:v>
                </c:pt>
                <c:pt idx="225" formatCode="m/d/yyyy\ h:mm">
                  <c:v>36833.35416666721</c:v>
                </c:pt>
                <c:pt idx="226" formatCode="m/d/yyyy\ h:mm">
                  <c:v>36833.375000000546</c:v>
                </c:pt>
                <c:pt idx="227" formatCode="m/d/yyyy\ h:mm">
                  <c:v>36833.395833333881</c:v>
                </c:pt>
                <c:pt idx="228" formatCode="m/d/yyyy\ h:mm">
                  <c:v>36833.416666667217</c:v>
                </c:pt>
                <c:pt idx="229" formatCode="m/d/yyyy\ h:mm">
                  <c:v>36833.437500000553</c:v>
                </c:pt>
                <c:pt idx="230" formatCode="m/d/yyyy\ h:mm">
                  <c:v>36833.458333333889</c:v>
                </c:pt>
                <c:pt idx="231" formatCode="m/d/yyyy\ h:mm">
                  <c:v>36833.479166667224</c:v>
                </c:pt>
                <c:pt idx="232" formatCode="m/d/yyyy\ h:mm">
                  <c:v>36833.50000000056</c:v>
                </c:pt>
                <c:pt idx="233" formatCode="m/d/yyyy\ h:mm">
                  <c:v>36833.520833333896</c:v>
                </c:pt>
                <c:pt idx="234" formatCode="m/d/yyyy\ h:mm">
                  <c:v>36833.541666667232</c:v>
                </c:pt>
                <c:pt idx="235" formatCode="m/d/yyyy\ h:mm">
                  <c:v>36833.562500000568</c:v>
                </c:pt>
                <c:pt idx="236" formatCode="m/d/yyyy\ h:mm">
                  <c:v>36833.583333333903</c:v>
                </c:pt>
                <c:pt idx="237" formatCode="m/d/yyyy\ h:mm">
                  <c:v>36833.604166667239</c:v>
                </c:pt>
                <c:pt idx="238" formatCode="m/d/yyyy\ h:mm">
                  <c:v>36833.625000000575</c:v>
                </c:pt>
                <c:pt idx="239" formatCode="m/d/yyyy\ h:mm">
                  <c:v>36833.645833333911</c:v>
                </c:pt>
                <c:pt idx="240" formatCode="m/d/yyyy\ h:mm">
                  <c:v>36833.666666667246</c:v>
                </c:pt>
                <c:pt idx="241" formatCode="m/d/yyyy\ h:mm">
                  <c:v>36833.687500000582</c:v>
                </c:pt>
                <c:pt idx="242" formatCode="m/d/yyyy\ h:mm">
                  <c:v>36833.708333333918</c:v>
                </c:pt>
                <c:pt idx="243" formatCode="m/d/yyyy\ h:mm">
                  <c:v>36833.729166667254</c:v>
                </c:pt>
                <c:pt idx="244" formatCode="m/d/yyyy\ h:mm">
                  <c:v>36833.750000000589</c:v>
                </c:pt>
                <c:pt idx="245" formatCode="m/d/yyyy\ h:mm">
                  <c:v>36833.770833333925</c:v>
                </c:pt>
                <c:pt idx="246" formatCode="m/d/yyyy\ h:mm">
                  <c:v>36833.791666667261</c:v>
                </c:pt>
                <c:pt idx="247" formatCode="m/d/yyyy\ h:mm">
                  <c:v>36833.812500000597</c:v>
                </c:pt>
                <c:pt idx="248" formatCode="m/d/yyyy\ h:mm">
                  <c:v>36833.833333333932</c:v>
                </c:pt>
                <c:pt idx="249" formatCode="m/d/yyyy\ h:mm">
                  <c:v>36833.854166667268</c:v>
                </c:pt>
                <c:pt idx="250" formatCode="m/d/yyyy\ h:mm">
                  <c:v>36833.875000000604</c:v>
                </c:pt>
                <c:pt idx="251" formatCode="m/d/yyyy\ h:mm">
                  <c:v>36833.89583333394</c:v>
                </c:pt>
                <c:pt idx="252" formatCode="m/d/yyyy\ h:mm">
                  <c:v>36833.916666667275</c:v>
                </c:pt>
                <c:pt idx="253" formatCode="m/d/yyyy\ h:mm">
                  <c:v>36833.937500000611</c:v>
                </c:pt>
                <c:pt idx="254" formatCode="m/d/yyyy\ h:mm">
                  <c:v>36833.958333333947</c:v>
                </c:pt>
                <c:pt idx="255" formatCode="m/d/yyyy\ h:mm">
                  <c:v>36833.979166667283</c:v>
                </c:pt>
                <c:pt idx="256" formatCode="m/d/yyyy\ h:mm">
                  <c:v>36834.000000000618</c:v>
                </c:pt>
                <c:pt idx="257" formatCode="m/d/yyyy\ h:mm">
                  <c:v>36834.020833333954</c:v>
                </c:pt>
                <c:pt idx="258" formatCode="m/d/yyyy\ h:mm">
                  <c:v>36834.04166666729</c:v>
                </c:pt>
                <c:pt idx="259" formatCode="m/d/yyyy\ h:mm">
                  <c:v>36834.062500000626</c:v>
                </c:pt>
                <c:pt idx="260" formatCode="m/d/yyyy\ h:mm">
                  <c:v>36834.083333333961</c:v>
                </c:pt>
                <c:pt idx="261" formatCode="m/d/yyyy\ h:mm">
                  <c:v>36834.104166667297</c:v>
                </c:pt>
                <c:pt idx="262" formatCode="m/d/yyyy\ h:mm">
                  <c:v>36834.125000000633</c:v>
                </c:pt>
                <c:pt idx="263" formatCode="m/d/yyyy\ h:mm">
                  <c:v>36834.145833333969</c:v>
                </c:pt>
                <c:pt idx="264" formatCode="m/d/yyyy\ h:mm">
                  <c:v>36834.166666667305</c:v>
                </c:pt>
                <c:pt idx="265" formatCode="m/d/yyyy\ h:mm">
                  <c:v>36834.18750000064</c:v>
                </c:pt>
                <c:pt idx="266" formatCode="m/d/yyyy\ h:mm">
                  <c:v>36834.208333333976</c:v>
                </c:pt>
                <c:pt idx="267" formatCode="m/d/yyyy\ h:mm">
                  <c:v>36834.229166667312</c:v>
                </c:pt>
                <c:pt idx="268" formatCode="m/d/yyyy\ h:mm">
                  <c:v>36834.250000000648</c:v>
                </c:pt>
                <c:pt idx="269" formatCode="m/d/yyyy\ h:mm">
                  <c:v>36834.270833333983</c:v>
                </c:pt>
                <c:pt idx="270" formatCode="m/d/yyyy\ h:mm">
                  <c:v>36834.291666667319</c:v>
                </c:pt>
                <c:pt idx="271" formatCode="m/d/yyyy\ h:mm">
                  <c:v>36834.312500000655</c:v>
                </c:pt>
                <c:pt idx="272" formatCode="m/d/yyyy\ h:mm">
                  <c:v>36834.333333333991</c:v>
                </c:pt>
                <c:pt idx="273" formatCode="m/d/yyyy\ h:mm">
                  <c:v>36834.354166667326</c:v>
                </c:pt>
                <c:pt idx="274" formatCode="m/d/yyyy\ h:mm">
                  <c:v>36834.375000000662</c:v>
                </c:pt>
                <c:pt idx="275" formatCode="m/d/yyyy\ h:mm">
                  <c:v>36834.395833333998</c:v>
                </c:pt>
                <c:pt idx="276" formatCode="m/d/yyyy\ h:mm">
                  <c:v>36834.416666667334</c:v>
                </c:pt>
                <c:pt idx="277" formatCode="m/d/yyyy\ h:mm">
                  <c:v>36834.437500000669</c:v>
                </c:pt>
                <c:pt idx="278" formatCode="m/d/yyyy\ h:mm">
                  <c:v>36834.458333334005</c:v>
                </c:pt>
                <c:pt idx="279" formatCode="m/d/yyyy\ h:mm">
                  <c:v>36834.479166667341</c:v>
                </c:pt>
                <c:pt idx="280" formatCode="m/d/yyyy\ h:mm">
                  <c:v>36834.500000000677</c:v>
                </c:pt>
                <c:pt idx="281" formatCode="m/d/yyyy\ h:mm">
                  <c:v>36834.520833334012</c:v>
                </c:pt>
                <c:pt idx="282" formatCode="m/d/yyyy\ h:mm">
                  <c:v>36834.541666667348</c:v>
                </c:pt>
                <c:pt idx="283" formatCode="m/d/yyyy\ h:mm">
                  <c:v>36834.562500000684</c:v>
                </c:pt>
                <c:pt idx="284" formatCode="m/d/yyyy\ h:mm">
                  <c:v>36834.58333333402</c:v>
                </c:pt>
                <c:pt idx="285" formatCode="m/d/yyyy\ h:mm">
                  <c:v>36834.604166667355</c:v>
                </c:pt>
                <c:pt idx="286" formatCode="m/d/yyyy\ h:mm">
                  <c:v>36834.625000000691</c:v>
                </c:pt>
                <c:pt idx="287" formatCode="m/d/yyyy\ h:mm">
                  <c:v>36834.645833334027</c:v>
                </c:pt>
                <c:pt idx="288" formatCode="m/d/yyyy\ h:mm">
                  <c:v>36834.666666667363</c:v>
                </c:pt>
                <c:pt idx="289" formatCode="m/d/yyyy\ h:mm">
                  <c:v>36834.687500000698</c:v>
                </c:pt>
                <c:pt idx="290" formatCode="m/d/yyyy\ h:mm">
                  <c:v>36834.708333334034</c:v>
                </c:pt>
                <c:pt idx="291" formatCode="m/d/yyyy\ h:mm">
                  <c:v>36834.72916666737</c:v>
                </c:pt>
                <c:pt idx="292" formatCode="m/d/yyyy\ h:mm">
                  <c:v>36834.750000000706</c:v>
                </c:pt>
                <c:pt idx="293" formatCode="m/d/yyyy\ h:mm">
                  <c:v>36834.770833334042</c:v>
                </c:pt>
                <c:pt idx="294" formatCode="m/d/yyyy\ h:mm">
                  <c:v>36834.791666667377</c:v>
                </c:pt>
                <c:pt idx="295" formatCode="m/d/yyyy\ h:mm">
                  <c:v>36834.812500000713</c:v>
                </c:pt>
                <c:pt idx="296" formatCode="m/d/yyyy\ h:mm">
                  <c:v>36834.833333334049</c:v>
                </c:pt>
                <c:pt idx="297" formatCode="m/d/yyyy\ h:mm">
                  <c:v>36834.854166667385</c:v>
                </c:pt>
                <c:pt idx="298" formatCode="m/d/yyyy\ h:mm">
                  <c:v>36834.87500000072</c:v>
                </c:pt>
                <c:pt idx="299" formatCode="m/d/yyyy\ h:mm">
                  <c:v>36834.895833334056</c:v>
                </c:pt>
                <c:pt idx="300" formatCode="m/d/yyyy\ h:mm">
                  <c:v>36834.916666667392</c:v>
                </c:pt>
                <c:pt idx="301" formatCode="m/d/yyyy\ h:mm">
                  <c:v>36834.937500000728</c:v>
                </c:pt>
                <c:pt idx="302" formatCode="m/d/yyyy\ h:mm">
                  <c:v>36834.958333334063</c:v>
                </c:pt>
                <c:pt idx="303" formatCode="m/d/yyyy\ h:mm">
                  <c:v>36834.979166667399</c:v>
                </c:pt>
                <c:pt idx="304" formatCode="m/d/yyyy\ h:mm">
                  <c:v>36835.000000000735</c:v>
                </c:pt>
                <c:pt idx="305" formatCode="m/d/yyyy\ h:mm">
                  <c:v>36835.020833334071</c:v>
                </c:pt>
                <c:pt idx="306" formatCode="m/d/yyyy\ h:mm">
                  <c:v>36835.041666667406</c:v>
                </c:pt>
                <c:pt idx="307" formatCode="m/d/yyyy\ h:mm">
                  <c:v>36835.062500000742</c:v>
                </c:pt>
                <c:pt idx="308" formatCode="m/d/yyyy\ h:mm">
                  <c:v>36835.083333334078</c:v>
                </c:pt>
                <c:pt idx="309" formatCode="m/d/yyyy\ h:mm">
                  <c:v>36835.104166667414</c:v>
                </c:pt>
                <c:pt idx="310" formatCode="m/d/yyyy\ h:mm">
                  <c:v>36835.125000000749</c:v>
                </c:pt>
                <c:pt idx="311" formatCode="m/d/yyyy\ h:mm">
                  <c:v>36835.145833334085</c:v>
                </c:pt>
                <c:pt idx="312" formatCode="m/d/yyyy\ h:mm">
                  <c:v>36835.166666667421</c:v>
                </c:pt>
                <c:pt idx="313" formatCode="m/d/yyyy\ h:mm">
                  <c:v>36835.187500000757</c:v>
                </c:pt>
                <c:pt idx="314" formatCode="m/d/yyyy\ h:mm">
                  <c:v>36835.208333334092</c:v>
                </c:pt>
                <c:pt idx="315" formatCode="m/d/yyyy\ h:mm">
                  <c:v>36835.229166667428</c:v>
                </c:pt>
                <c:pt idx="316" formatCode="m/d/yyyy\ h:mm">
                  <c:v>36835.250000000764</c:v>
                </c:pt>
                <c:pt idx="317" formatCode="m/d/yyyy\ h:mm">
                  <c:v>36835.2708333341</c:v>
                </c:pt>
                <c:pt idx="318" formatCode="m/d/yyyy\ h:mm">
                  <c:v>36835.291666667435</c:v>
                </c:pt>
                <c:pt idx="319" formatCode="m/d/yyyy\ h:mm">
                  <c:v>36835.312500000771</c:v>
                </c:pt>
                <c:pt idx="320" formatCode="m/d/yyyy\ h:mm">
                  <c:v>36835.333333334107</c:v>
                </c:pt>
                <c:pt idx="321" formatCode="m/d/yyyy\ h:mm">
                  <c:v>36835.354166667443</c:v>
                </c:pt>
                <c:pt idx="322" formatCode="m/d/yyyy\ h:mm">
                  <c:v>36835.375000000779</c:v>
                </c:pt>
                <c:pt idx="323" formatCode="m/d/yyyy\ h:mm">
                  <c:v>36835.395833334114</c:v>
                </c:pt>
                <c:pt idx="324" formatCode="m/d/yyyy\ h:mm">
                  <c:v>36835.41666666745</c:v>
                </c:pt>
                <c:pt idx="325" formatCode="m/d/yyyy\ h:mm">
                  <c:v>36835.437500000786</c:v>
                </c:pt>
                <c:pt idx="326" formatCode="m/d/yyyy\ h:mm">
                  <c:v>36835.458333334122</c:v>
                </c:pt>
                <c:pt idx="327" formatCode="m/d/yyyy\ h:mm">
                  <c:v>36835.479166667457</c:v>
                </c:pt>
                <c:pt idx="328" formatCode="m/d/yyyy\ h:mm">
                  <c:v>36835.500000000793</c:v>
                </c:pt>
                <c:pt idx="329" formatCode="m/d/yyyy\ h:mm">
                  <c:v>36835.520833334129</c:v>
                </c:pt>
                <c:pt idx="330" formatCode="m/d/yyyy\ h:mm">
                  <c:v>36835.541666667465</c:v>
                </c:pt>
                <c:pt idx="331" formatCode="m/d/yyyy\ h:mm">
                  <c:v>36835.5625000008</c:v>
                </c:pt>
                <c:pt idx="332" formatCode="m/d/yyyy\ h:mm">
                  <c:v>36835.583333334136</c:v>
                </c:pt>
                <c:pt idx="333" formatCode="m/d/yyyy\ h:mm">
                  <c:v>36835.604166667472</c:v>
                </c:pt>
                <c:pt idx="334" formatCode="m/d/yyyy\ h:mm">
                  <c:v>36835.625000000808</c:v>
                </c:pt>
                <c:pt idx="335" formatCode="m/d/yyyy\ h:mm">
                  <c:v>36835.645833334143</c:v>
                </c:pt>
                <c:pt idx="336" formatCode="m/d/yyyy\ h:mm">
                  <c:v>36835.666666667479</c:v>
                </c:pt>
                <c:pt idx="337" formatCode="m/d/yyyy\ h:mm">
                  <c:v>36835.687500000815</c:v>
                </c:pt>
                <c:pt idx="338" formatCode="m/d/yyyy\ h:mm">
                  <c:v>36835.708333334151</c:v>
                </c:pt>
                <c:pt idx="339" formatCode="m/d/yyyy\ h:mm">
                  <c:v>36835.729166667486</c:v>
                </c:pt>
                <c:pt idx="340" formatCode="m/d/yyyy\ h:mm">
                  <c:v>36835.750000000822</c:v>
                </c:pt>
                <c:pt idx="341" formatCode="m/d/yyyy\ h:mm">
                  <c:v>36835.770833334158</c:v>
                </c:pt>
                <c:pt idx="342" formatCode="m/d/yyyy\ h:mm">
                  <c:v>36835.791666667494</c:v>
                </c:pt>
                <c:pt idx="343" formatCode="m/d/yyyy\ h:mm">
                  <c:v>36835.812500000829</c:v>
                </c:pt>
                <c:pt idx="344" formatCode="m/d/yyyy\ h:mm">
                  <c:v>36835.833333334165</c:v>
                </c:pt>
                <c:pt idx="345" formatCode="m/d/yyyy\ h:mm">
                  <c:v>36835.854166667501</c:v>
                </c:pt>
                <c:pt idx="346" formatCode="m/d/yyyy\ h:mm">
                  <c:v>36835.875000000837</c:v>
                </c:pt>
                <c:pt idx="347" formatCode="m/d/yyyy\ h:mm">
                  <c:v>36835.895833334172</c:v>
                </c:pt>
                <c:pt idx="348" formatCode="m/d/yyyy\ h:mm">
                  <c:v>36835.916666667508</c:v>
                </c:pt>
                <c:pt idx="349" formatCode="m/d/yyyy\ h:mm">
                  <c:v>36835.937500000844</c:v>
                </c:pt>
                <c:pt idx="350" formatCode="m/d/yyyy\ h:mm">
                  <c:v>36835.95833333418</c:v>
                </c:pt>
                <c:pt idx="351" formatCode="m/d/yyyy\ h:mm">
                  <c:v>36835.979166667516</c:v>
                </c:pt>
                <c:pt idx="352" formatCode="m/d/yyyy\ h:mm">
                  <c:v>36836.000000000851</c:v>
                </c:pt>
                <c:pt idx="353" formatCode="m/d/yyyy\ h:mm">
                  <c:v>36836.020833334187</c:v>
                </c:pt>
                <c:pt idx="354" formatCode="m/d/yyyy\ h:mm">
                  <c:v>36836.041666667523</c:v>
                </c:pt>
                <c:pt idx="355" formatCode="m/d/yyyy\ h:mm">
                  <c:v>36836.062500000859</c:v>
                </c:pt>
                <c:pt idx="356" formatCode="m/d/yyyy\ h:mm">
                  <c:v>36836.083333334194</c:v>
                </c:pt>
                <c:pt idx="357" formatCode="m/d/yyyy\ h:mm">
                  <c:v>36836.10416666753</c:v>
                </c:pt>
                <c:pt idx="358" formatCode="m/d/yyyy\ h:mm">
                  <c:v>36836.125000000866</c:v>
                </c:pt>
                <c:pt idx="359" formatCode="m/d/yyyy\ h:mm">
                  <c:v>36836.145833334202</c:v>
                </c:pt>
                <c:pt idx="360" formatCode="m/d/yyyy\ h:mm">
                  <c:v>36836.166666667537</c:v>
                </c:pt>
                <c:pt idx="361" formatCode="m/d/yyyy\ h:mm">
                  <c:v>36836.187500000873</c:v>
                </c:pt>
                <c:pt idx="362" formatCode="m/d/yyyy\ h:mm">
                  <c:v>36836.208333334209</c:v>
                </c:pt>
                <c:pt idx="363" formatCode="m/d/yyyy\ h:mm">
                  <c:v>36836.229166667545</c:v>
                </c:pt>
                <c:pt idx="364" formatCode="m/d/yyyy\ h:mm">
                  <c:v>36836.25000000088</c:v>
                </c:pt>
                <c:pt idx="365" formatCode="m/d/yyyy\ h:mm">
                  <c:v>36836.270833334216</c:v>
                </c:pt>
                <c:pt idx="366" formatCode="m/d/yyyy\ h:mm">
                  <c:v>36836.291666667552</c:v>
                </c:pt>
                <c:pt idx="367" formatCode="m/d/yyyy\ h:mm">
                  <c:v>36836.312500000888</c:v>
                </c:pt>
                <c:pt idx="368" formatCode="m/d/yyyy\ h:mm">
                  <c:v>36836.333333334223</c:v>
                </c:pt>
                <c:pt idx="369" formatCode="m/d/yyyy\ h:mm">
                  <c:v>36836.354166667559</c:v>
                </c:pt>
                <c:pt idx="370" formatCode="m/d/yyyy\ h:mm">
                  <c:v>36836.375000000895</c:v>
                </c:pt>
                <c:pt idx="371" formatCode="m/d/yyyy\ h:mm">
                  <c:v>36836.395833334231</c:v>
                </c:pt>
                <c:pt idx="372" formatCode="m/d/yyyy\ h:mm">
                  <c:v>36836.416666667566</c:v>
                </c:pt>
                <c:pt idx="373" formatCode="m/d/yyyy\ h:mm">
                  <c:v>36836.437500000902</c:v>
                </c:pt>
                <c:pt idx="374" formatCode="m/d/yyyy\ h:mm">
                  <c:v>36836.458333334238</c:v>
                </c:pt>
                <c:pt idx="375" formatCode="m/d/yyyy\ h:mm">
                  <c:v>36836.479166667574</c:v>
                </c:pt>
                <c:pt idx="376" formatCode="m/d/yyyy\ h:mm">
                  <c:v>36836.500000000909</c:v>
                </c:pt>
                <c:pt idx="377" formatCode="m/d/yyyy\ h:mm">
                  <c:v>36836.520833334245</c:v>
                </c:pt>
                <c:pt idx="378" formatCode="m/d/yyyy\ h:mm">
                  <c:v>36836.541666667581</c:v>
                </c:pt>
                <c:pt idx="379" formatCode="m/d/yyyy\ h:mm">
                  <c:v>36836.562500000917</c:v>
                </c:pt>
                <c:pt idx="380" formatCode="m/d/yyyy\ h:mm">
                  <c:v>36836.583333334253</c:v>
                </c:pt>
                <c:pt idx="381" formatCode="m/d/yyyy\ h:mm">
                  <c:v>36836.604166667588</c:v>
                </c:pt>
                <c:pt idx="382" formatCode="m/d/yyyy\ h:mm">
                  <c:v>36836.625000000924</c:v>
                </c:pt>
                <c:pt idx="383" formatCode="m/d/yyyy\ h:mm">
                  <c:v>36836.64583333426</c:v>
                </c:pt>
                <c:pt idx="384" formatCode="m/d/yyyy\ h:mm">
                  <c:v>36836.666666667596</c:v>
                </c:pt>
                <c:pt idx="385" formatCode="m/d/yyyy\ h:mm">
                  <c:v>36836.687500000931</c:v>
                </c:pt>
                <c:pt idx="386" formatCode="m/d/yyyy\ h:mm">
                  <c:v>36836.708333334267</c:v>
                </c:pt>
                <c:pt idx="387" formatCode="m/d/yyyy\ h:mm">
                  <c:v>36836.729166667603</c:v>
                </c:pt>
                <c:pt idx="388" formatCode="m/d/yyyy\ h:mm">
                  <c:v>36836.750000000939</c:v>
                </c:pt>
                <c:pt idx="389" formatCode="m/d/yyyy\ h:mm">
                  <c:v>36836.770833334274</c:v>
                </c:pt>
                <c:pt idx="390" formatCode="m/d/yyyy\ h:mm">
                  <c:v>36836.79166666761</c:v>
                </c:pt>
                <c:pt idx="391" formatCode="m/d/yyyy\ h:mm">
                  <c:v>36836.812500000946</c:v>
                </c:pt>
                <c:pt idx="392" formatCode="m/d/yyyy\ h:mm">
                  <c:v>36836.833333334282</c:v>
                </c:pt>
                <c:pt idx="393" formatCode="m/d/yyyy\ h:mm">
                  <c:v>36836.854166667617</c:v>
                </c:pt>
                <c:pt idx="394" formatCode="m/d/yyyy\ h:mm">
                  <c:v>36836.875000000953</c:v>
                </c:pt>
                <c:pt idx="395" formatCode="m/d/yyyy\ h:mm">
                  <c:v>36836.895833334289</c:v>
                </c:pt>
                <c:pt idx="396" formatCode="m/d/yyyy\ h:mm">
                  <c:v>36836.916666667625</c:v>
                </c:pt>
                <c:pt idx="397" formatCode="m/d/yyyy\ h:mm">
                  <c:v>36836.93750000096</c:v>
                </c:pt>
                <c:pt idx="398" formatCode="m/d/yyyy\ h:mm">
                  <c:v>36836.958333334296</c:v>
                </c:pt>
                <c:pt idx="399" formatCode="m/d/yyyy\ h:mm">
                  <c:v>36836.979166667632</c:v>
                </c:pt>
                <c:pt idx="400" formatCode="m/d/yyyy\ h:mm">
                  <c:v>36837.000000000968</c:v>
                </c:pt>
                <c:pt idx="401" formatCode="m/d/yyyy\ h:mm">
                  <c:v>36837.020833334303</c:v>
                </c:pt>
                <c:pt idx="402" formatCode="m/d/yyyy\ h:mm">
                  <c:v>36837.041666667639</c:v>
                </c:pt>
                <c:pt idx="403" formatCode="m/d/yyyy\ h:mm">
                  <c:v>36837.062500000975</c:v>
                </c:pt>
                <c:pt idx="404" formatCode="m/d/yyyy\ h:mm">
                  <c:v>36837.083333334311</c:v>
                </c:pt>
                <c:pt idx="405" formatCode="m/d/yyyy\ h:mm">
                  <c:v>36837.104166667646</c:v>
                </c:pt>
                <c:pt idx="406" formatCode="m/d/yyyy\ h:mm">
                  <c:v>36837.125000000982</c:v>
                </c:pt>
                <c:pt idx="407" formatCode="m/d/yyyy\ h:mm">
                  <c:v>36837.145833334318</c:v>
                </c:pt>
                <c:pt idx="408" formatCode="m/d/yyyy\ h:mm">
                  <c:v>36837.166666667654</c:v>
                </c:pt>
                <c:pt idx="409" formatCode="m/d/yyyy\ h:mm">
                  <c:v>36837.18750000099</c:v>
                </c:pt>
                <c:pt idx="410" formatCode="m/d/yyyy\ h:mm">
                  <c:v>36837.208333334325</c:v>
                </c:pt>
                <c:pt idx="411" formatCode="m/d/yyyy\ h:mm">
                  <c:v>36837.229166667661</c:v>
                </c:pt>
                <c:pt idx="412" formatCode="m/d/yyyy\ h:mm">
                  <c:v>36837.250000000997</c:v>
                </c:pt>
                <c:pt idx="413" formatCode="m/d/yyyy\ h:mm">
                  <c:v>36837.270833334333</c:v>
                </c:pt>
                <c:pt idx="414" formatCode="m/d/yyyy\ h:mm">
                  <c:v>36837.291666667668</c:v>
                </c:pt>
                <c:pt idx="415" formatCode="m/d/yyyy\ h:mm">
                  <c:v>36837.312500001004</c:v>
                </c:pt>
                <c:pt idx="416" formatCode="m/d/yyyy\ h:mm">
                  <c:v>36837.33333333434</c:v>
                </c:pt>
                <c:pt idx="417" formatCode="m/d/yyyy\ h:mm">
                  <c:v>36837.354166667676</c:v>
                </c:pt>
                <c:pt idx="418" formatCode="m/d/yyyy\ h:mm">
                  <c:v>36837.375000001011</c:v>
                </c:pt>
                <c:pt idx="419" formatCode="m/d/yyyy\ h:mm">
                  <c:v>36837.395833334347</c:v>
                </c:pt>
                <c:pt idx="420" formatCode="m/d/yyyy\ h:mm">
                  <c:v>36837.416666667683</c:v>
                </c:pt>
                <c:pt idx="421" formatCode="m/d/yyyy\ h:mm">
                  <c:v>36837.437500001019</c:v>
                </c:pt>
                <c:pt idx="422" formatCode="m/d/yyyy\ h:mm">
                  <c:v>36837.458333334354</c:v>
                </c:pt>
                <c:pt idx="423" formatCode="m/d/yyyy\ h:mm">
                  <c:v>36837.47916666769</c:v>
                </c:pt>
                <c:pt idx="424" formatCode="m/d/yyyy\ h:mm">
                  <c:v>36837.500000001026</c:v>
                </c:pt>
                <c:pt idx="425" formatCode="m/d/yyyy\ h:mm">
                  <c:v>36837.520833334362</c:v>
                </c:pt>
                <c:pt idx="426" formatCode="m/d/yyyy\ h:mm">
                  <c:v>36837.541666667697</c:v>
                </c:pt>
                <c:pt idx="427" formatCode="m/d/yyyy\ h:mm">
                  <c:v>36837.562500001033</c:v>
                </c:pt>
                <c:pt idx="428" formatCode="m/d/yyyy\ h:mm">
                  <c:v>36837.583333334369</c:v>
                </c:pt>
                <c:pt idx="429" formatCode="m/d/yyyy\ h:mm">
                  <c:v>36837.604166667705</c:v>
                </c:pt>
                <c:pt idx="430" formatCode="m/d/yyyy\ h:mm">
                  <c:v>36837.62500000104</c:v>
                </c:pt>
                <c:pt idx="431" formatCode="m/d/yyyy\ h:mm">
                  <c:v>36837.645833334376</c:v>
                </c:pt>
                <c:pt idx="432" formatCode="m/d/yyyy\ h:mm">
                  <c:v>36837.666666667712</c:v>
                </c:pt>
                <c:pt idx="433" formatCode="m/d/yyyy\ h:mm">
                  <c:v>36837.687500001048</c:v>
                </c:pt>
                <c:pt idx="434" formatCode="m/d/yyyy\ h:mm">
                  <c:v>36837.708333334383</c:v>
                </c:pt>
                <c:pt idx="435" formatCode="m/d/yyyy\ h:mm">
                  <c:v>36837.729166667719</c:v>
                </c:pt>
                <c:pt idx="436" formatCode="m/d/yyyy\ h:mm">
                  <c:v>36837.750000001055</c:v>
                </c:pt>
                <c:pt idx="437" formatCode="m/d/yyyy\ h:mm">
                  <c:v>36837.770833334391</c:v>
                </c:pt>
                <c:pt idx="438" formatCode="m/d/yyyy\ h:mm">
                  <c:v>36837.791666667727</c:v>
                </c:pt>
                <c:pt idx="439" formatCode="m/d/yyyy\ h:mm">
                  <c:v>36837.812500001062</c:v>
                </c:pt>
                <c:pt idx="440" formatCode="m/d/yyyy\ h:mm">
                  <c:v>36837.833333334398</c:v>
                </c:pt>
                <c:pt idx="441" formatCode="m/d/yyyy\ h:mm">
                  <c:v>36837.854166667734</c:v>
                </c:pt>
                <c:pt idx="442" formatCode="m/d/yyyy\ h:mm">
                  <c:v>36837.87500000107</c:v>
                </c:pt>
                <c:pt idx="443" formatCode="m/d/yyyy\ h:mm">
                  <c:v>36837.895833334405</c:v>
                </c:pt>
                <c:pt idx="444" formatCode="m/d/yyyy\ h:mm">
                  <c:v>36837.916666667741</c:v>
                </c:pt>
                <c:pt idx="445" formatCode="m/d/yyyy\ h:mm">
                  <c:v>36837.937500001077</c:v>
                </c:pt>
                <c:pt idx="446" formatCode="m/d/yyyy\ h:mm">
                  <c:v>36837.958333334413</c:v>
                </c:pt>
                <c:pt idx="447" formatCode="m/d/yyyy\ h:mm">
                  <c:v>36837.979166667748</c:v>
                </c:pt>
                <c:pt idx="448" formatCode="m/d/yyyy\ h:mm">
                  <c:v>36838.000000001084</c:v>
                </c:pt>
                <c:pt idx="449" formatCode="m/d/yyyy\ h:mm">
                  <c:v>36838.02083333442</c:v>
                </c:pt>
                <c:pt idx="450" formatCode="m/d/yyyy\ h:mm">
                  <c:v>36838.041666667756</c:v>
                </c:pt>
                <c:pt idx="451" formatCode="m/d/yyyy\ h:mm">
                  <c:v>36838.062500001091</c:v>
                </c:pt>
                <c:pt idx="452" formatCode="m/d/yyyy\ h:mm">
                  <c:v>36838.083333334427</c:v>
                </c:pt>
                <c:pt idx="453" formatCode="m/d/yyyy\ h:mm">
                  <c:v>36838.104166667763</c:v>
                </c:pt>
                <c:pt idx="454" formatCode="m/d/yyyy\ h:mm">
                  <c:v>36838.125000001099</c:v>
                </c:pt>
                <c:pt idx="455" formatCode="m/d/yyyy\ h:mm">
                  <c:v>36838.145833334434</c:v>
                </c:pt>
                <c:pt idx="456" formatCode="m/d/yyyy\ h:mm">
                  <c:v>36838.16666666777</c:v>
                </c:pt>
                <c:pt idx="457" formatCode="m/d/yyyy\ h:mm">
                  <c:v>36838.187500001106</c:v>
                </c:pt>
                <c:pt idx="458" formatCode="m/d/yyyy\ h:mm">
                  <c:v>36838.208333334442</c:v>
                </c:pt>
                <c:pt idx="459" formatCode="m/d/yyyy\ h:mm">
                  <c:v>36838.229166667777</c:v>
                </c:pt>
                <c:pt idx="460" formatCode="m/d/yyyy\ h:mm">
                  <c:v>36838.250000001113</c:v>
                </c:pt>
                <c:pt idx="461" formatCode="m/d/yyyy\ h:mm">
                  <c:v>36838.270833334449</c:v>
                </c:pt>
                <c:pt idx="462" formatCode="m/d/yyyy\ h:mm">
                  <c:v>36838.291666667785</c:v>
                </c:pt>
                <c:pt idx="463" formatCode="m/d/yyyy\ h:mm">
                  <c:v>36838.31250000112</c:v>
                </c:pt>
                <c:pt idx="464" formatCode="m/d/yyyy\ h:mm">
                  <c:v>36838.333333334456</c:v>
                </c:pt>
                <c:pt idx="465" formatCode="m/d/yyyy\ h:mm">
                  <c:v>36838.354166667792</c:v>
                </c:pt>
                <c:pt idx="466" formatCode="m/d/yyyy\ h:mm">
                  <c:v>36838.375000001128</c:v>
                </c:pt>
                <c:pt idx="467" formatCode="m/d/yyyy\ h:mm">
                  <c:v>36838.395833334464</c:v>
                </c:pt>
                <c:pt idx="468" formatCode="m/d/yyyy\ h:mm">
                  <c:v>36838.416666667799</c:v>
                </c:pt>
                <c:pt idx="469" formatCode="m/d/yyyy\ h:mm">
                  <c:v>36838.437500001135</c:v>
                </c:pt>
                <c:pt idx="470" formatCode="m/d/yyyy\ h:mm">
                  <c:v>36838.458333334471</c:v>
                </c:pt>
                <c:pt idx="471" formatCode="m/d/yyyy\ h:mm">
                  <c:v>36838.479166667807</c:v>
                </c:pt>
                <c:pt idx="472" formatCode="m/d/yyyy\ h:mm">
                  <c:v>36838.500000001142</c:v>
                </c:pt>
                <c:pt idx="473" formatCode="m/d/yyyy\ h:mm">
                  <c:v>36838.520833334478</c:v>
                </c:pt>
                <c:pt idx="474" formatCode="m/d/yyyy\ h:mm">
                  <c:v>36838.541666667814</c:v>
                </c:pt>
                <c:pt idx="475" formatCode="m/d/yyyy\ h:mm">
                  <c:v>36838.56250000115</c:v>
                </c:pt>
                <c:pt idx="476" formatCode="m/d/yyyy\ h:mm">
                  <c:v>36838.583333334485</c:v>
                </c:pt>
                <c:pt idx="477" formatCode="m/d/yyyy\ h:mm">
                  <c:v>36838.604166667821</c:v>
                </c:pt>
                <c:pt idx="478" formatCode="m/d/yyyy\ h:mm">
                  <c:v>36838.625000001157</c:v>
                </c:pt>
                <c:pt idx="479" formatCode="m/d/yyyy\ h:mm">
                  <c:v>36838.645833334493</c:v>
                </c:pt>
                <c:pt idx="480" formatCode="m/d/yyyy\ h:mm">
                  <c:v>36838.666666667828</c:v>
                </c:pt>
                <c:pt idx="481" formatCode="m/d/yyyy\ h:mm">
                  <c:v>36838.687500001164</c:v>
                </c:pt>
                <c:pt idx="482" formatCode="m/d/yyyy\ h:mm">
                  <c:v>36838.7083333345</c:v>
                </c:pt>
                <c:pt idx="483" formatCode="m/d/yyyy\ h:mm">
                  <c:v>36838.729166667836</c:v>
                </c:pt>
                <c:pt idx="484" formatCode="m/d/yyyy\ h:mm">
                  <c:v>36838.750000001171</c:v>
                </c:pt>
                <c:pt idx="485" formatCode="m/d/yyyy\ h:mm">
                  <c:v>36838.770833334507</c:v>
                </c:pt>
                <c:pt idx="486" formatCode="m/d/yyyy\ h:mm">
                  <c:v>36838.791666667843</c:v>
                </c:pt>
                <c:pt idx="487" formatCode="m/d/yyyy\ h:mm">
                  <c:v>36838.812500001179</c:v>
                </c:pt>
                <c:pt idx="488" formatCode="m/d/yyyy\ h:mm">
                  <c:v>36838.833333334514</c:v>
                </c:pt>
                <c:pt idx="489" formatCode="m/d/yyyy\ h:mm">
                  <c:v>36838.85416666785</c:v>
                </c:pt>
                <c:pt idx="490" formatCode="m/d/yyyy\ h:mm">
                  <c:v>36838.875000001186</c:v>
                </c:pt>
                <c:pt idx="491" formatCode="m/d/yyyy\ h:mm">
                  <c:v>36838.895833334522</c:v>
                </c:pt>
                <c:pt idx="492" formatCode="m/d/yyyy\ h:mm">
                  <c:v>36838.916666667857</c:v>
                </c:pt>
                <c:pt idx="493" formatCode="m/d/yyyy\ h:mm">
                  <c:v>36838.937500001193</c:v>
                </c:pt>
                <c:pt idx="494" formatCode="m/d/yyyy\ h:mm">
                  <c:v>36838.958333334529</c:v>
                </c:pt>
                <c:pt idx="495" formatCode="m/d/yyyy\ h:mm">
                  <c:v>36838.979166667865</c:v>
                </c:pt>
                <c:pt idx="496" formatCode="m/d/yyyy\ h:mm">
                  <c:v>36839.000000001201</c:v>
                </c:pt>
                <c:pt idx="497" formatCode="m/d/yyyy\ h:mm">
                  <c:v>36839.020833334536</c:v>
                </c:pt>
                <c:pt idx="498" formatCode="m/d/yyyy\ h:mm">
                  <c:v>36839.041666667872</c:v>
                </c:pt>
                <c:pt idx="499" formatCode="m/d/yyyy\ h:mm">
                  <c:v>36839.062500001208</c:v>
                </c:pt>
                <c:pt idx="500" formatCode="m/d/yyyy\ h:mm">
                  <c:v>36839.083333334544</c:v>
                </c:pt>
                <c:pt idx="501" formatCode="m/d/yyyy\ h:mm">
                  <c:v>36839.104166667879</c:v>
                </c:pt>
                <c:pt idx="502" formatCode="m/d/yyyy\ h:mm">
                  <c:v>36839.125000001215</c:v>
                </c:pt>
                <c:pt idx="503" formatCode="m/d/yyyy\ h:mm">
                  <c:v>36839.145833334551</c:v>
                </c:pt>
                <c:pt idx="504" formatCode="m/d/yyyy\ h:mm">
                  <c:v>36839.166666667887</c:v>
                </c:pt>
                <c:pt idx="505" formatCode="m/d/yyyy\ h:mm">
                  <c:v>36839.187500001222</c:v>
                </c:pt>
                <c:pt idx="506" formatCode="m/d/yyyy\ h:mm">
                  <c:v>36839.208333334558</c:v>
                </c:pt>
                <c:pt idx="507" formatCode="m/d/yyyy\ h:mm">
                  <c:v>36839.229166667894</c:v>
                </c:pt>
                <c:pt idx="508" formatCode="m/d/yyyy\ h:mm">
                  <c:v>36839.25000000123</c:v>
                </c:pt>
                <c:pt idx="509" formatCode="m/d/yyyy\ h:mm">
                  <c:v>36839.270833334565</c:v>
                </c:pt>
                <c:pt idx="510" formatCode="m/d/yyyy\ h:mm">
                  <c:v>36839.291666667901</c:v>
                </c:pt>
                <c:pt idx="511" formatCode="m/d/yyyy\ h:mm">
                  <c:v>36839.312500001237</c:v>
                </c:pt>
                <c:pt idx="512" formatCode="m/d/yyyy\ h:mm">
                  <c:v>36839.333333334573</c:v>
                </c:pt>
                <c:pt idx="513" formatCode="m/d/yyyy\ h:mm">
                  <c:v>36839.354166667908</c:v>
                </c:pt>
                <c:pt idx="514" formatCode="m/d/yyyy\ h:mm">
                  <c:v>36839.375000001244</c:v>
                </c:pt>
                <c:pt idx="515" formatCode="m/d/yyyy\ h:mm">
                  <c:v>36839.39583333458</c:v>
                </c:pt>
                <c:pt idx="516" formatCode="m/d/yyyy\ h:mm">
                  <c:v>36839.416666667916</c:v>
                </c:pt>
                <c:pt idx="517" formatCode="m/d/yyyy\ h:mm">
                  <c:v>36839.437500001251</c:v>
                </c:pt>
                <c:pt idx="518" formatCode="m/d/yyyy\ h:mm">
                  <c:v>36839.458333334587</c:v>
                </c:pt>
                <c:pt idx="519" formatCode="m/d/yyyy\ h:mm">
                  <c:v>36839.479166667923</c:v>
                </c:pt>
                <c:pt idx="520" formatCode="m/d/yyyy\ h:mm">
                  <c:v>36839.500000001259</c:v>
                </c:pt>
                <c:pt idx="521" formatCode="m/d/yyyy\ h:mm">
                  <c:v>36839.520833334594</c:v>
                </c:pt>
                <c:pt idx="522" formatCode="m/d/yyyy\ h:mm">
                  <c:v>36839.54166666793</c:v>
                </c:pt>
                <c:pt idx="523" formatCode="m/d/yyyy\ h:mm">
                  <c:v>36839.562500001266</c:v>
                </c:pt>
                <c:pt idx="524" formatCode="m/d/yyyy\ h:mm">
                  <c:v>36839.583333334602</c:v>
                </c:pt>
                <c:pt idx="525" formatCode="m/d/yyyy\ h:mm">
                  <c:v>36839.604166667938</c:v>
                </c:pt>
                <c:pt idx="526" formatCode="m/d/yyyy\ h:mm">
                  <c:v>36839.625000001273</c:v>
                </c:pt>
                <c:pt idx="527" formatCode="m/d/yyyy\ h:mm">
                  <c:v>36839.645833334609</c:v>
                </c:pt>
                <c:pt idx="528" formatCode="m/d/yyyy\ h:mm">
                  <c:v>36839.666666667945</c:v>
                </c:pt>
                <c:pt idx="529" formatCode="m/d/yyyy\ h:mm">
                  <c:v>36839.687500001281</c:v>
                </c:pt>
                <c:pt idx="530" formatCode="m/d/yyyy\ h:mm">
                  <c:v>36839.708333334616</c:v>
                </c:pt>
                <c:pt idx="531" formatCode="m/d/yyyy\ h:mm">
                  <c:v>36839.729166667952</c:v>
                </c:pt>
                <c:pt idx="532" formatCode="m/d/yyyy\ h:mm">
                  <c:v>36839.750000001288</c:v>
                </c:pt>
                <c:pt idx="533" formatCode="m/d/yyyy\ h:mm">
                  <c:v>36839.770833334624</c:v>
                </c:pt>
                <c:pt idx="534" formatCode="m/d/yyyy\ h:mm">
                  <c:v>36839.791666667959</c:v>
                </c:pt>
                <c:pt idx="535" formatCode="m/d/yyyy\ h:mm">
                  <c:v>36839.812500001295</c:v>
                </c:pt>
                <c:pt idx="536" formatCode="m/d/yyyy\ h:mm">
                  <c:v>36839.833333334631</c:v>
                </c:pt>
                <c:pt idx="537" formatCode="m/d/yyyy\ h:mm">
                  <c:v>36839.854166667967</c:v>
                </c:pt>
                <c:pt idx="538" formatCode="m/d/yyyy\ h:mm">
                  <c:v>36839.875000001302</c:v>
                </c:pt>
                <c:pt idx="539" formatCode="m/d/yyyy\ h:mm">
                  <c:v>36839.895833334638</c:v>
                </c:pt>
                <c:pt idx="540" formatCode="m/d/yyyy\ h:mm">
                  <c:v>36839.916666667974</c:v>
                </c:pt>
                <c:pt idx="541" formatCode="m/d/yyyy\ h:mm">
                  <c:v>36839.93750000131</c:v>
                </c:pt>
                <c:pt idx="542" formatCode="m/d/yyyy\ h:mm">
                  <c:v>36839.958333334645</c:v>
                </c:pt>
                <c:pt idx="543" formatCode="m/d/yyyy\ h:mm">
                  <c:v>36839.979166667981</c:v>
                </c:pt>
                <c:pt idx="544" formatCode="m/d/yyyy\ h:mm">
                  <c:v>36840.000000001317</c:v>
                </c:pt>
                <c:pt idx="545" formatCode="m/d/yyyy\ h:mm">
                  <c:v>36840.020833334653</c:v>
                </c:pt>
                <c:pt idx="546" formatCode="m/d/yyyy\ h:mm">
                  <c:v>36840.041666667988</c:v>
                </c:pt>
                <c:pt idx="547" formatCode="m/d/yyyy\ h:mm">
                  <c:v>36840.062500001324</c:v>
                </c:pt>
                <c:pt idx="548" formatCode="m/d/yyyy\ h:mm">
                  <c:v>36840.08333333466</c:v>
                </c:pt>
                <c:pt idx="549" formatCode="m/d/yyyy\ h:mm">
                  <c:v>36840.104166667996</c:v>
                </c:pt>
                <c:pt idx="550" formatCode="m/d/yyyy\ h:mm">
                  <c:v>36840.125000001332</c:v>
                </c:pt>
                <c:pt idx="551" formatCode="m/d/yyyy\ h:mm">
                  <c:v>36840.145833334667</c:v>
                </c:pt>
                <c:pt idx="552" formatCode="m/d/yyyy\ h:mm">
                  <c:v>36840.166666668003</c:v>
                </c:pt>
                <c:pt idx="553" formatCode="m/d/yyyy\ h:mm">
                  <c:v>36840.187500001339</c:v>
                </c:pt>
                <c:pt idx="554" formatCode="m/d/yyyy\ h:mm">
                  <c:v>36840.208333334675</c:v>
                </c:pt>
                <c:pt idx="555" formatCode="m/d/yyyy\ h:mm">
                  <c:v>36840.22916666801</c:v>
                </c:pt>
                <c:pt idx="556" formatCode="m/d/yyyy\ h:mm">
                  <c:v>36840.250000001346</c:v>
                </c:pt>
                <c:pt idx="557" formatCode="m/d/yyyy\ h:mm">
                  <c:v>36840.270833334682</c:v>
                </c:pt>
                <c:pt idx="558" formatCode="m/d/yyyy\ h:mm">
                  <c:v>36840.291666668018</c:v>
                </c:pt>
                <c:pt idx="559" formatCode="m/d/yyyy\ h:mm">
                  <c:v>36840.312500001353</c:v>
                </c:pt>
                <c:pt idx="560" formatCode="m/d/yyyy\ h:mm">
                  <c:v>36840.333333334689</c:v>
                </c:pt>
                <c:pt idx="561" formatCode="m/d/yyyy\ h:mm">
                  <c:v>36840.354166668025</c:v>
                </c:pt>
                <c:pt idx="562" formatCode="m/d/yyyy\ h:mm">
                  <c:v>36840.375000001361</c:v>
                </c:pt>
                <c:pt idx="563" formatCode="m/d/yyyy\ h:mm">
                  <c:v>36840.395833334696</c:v>
                </c:pt>
                <c:pt idx="564" formatCode="m/d/yyyy\ h:mm">
                  <c:v>36840.416666668032</c:v>
                </c:pt>
                <c:pt idx="565" formatCode="m/d/yyyy\ h:mm">
                  <c:v>36840.437500001368</c:v>
                </c:pt>
                <c:pt idx="566" formatCode="m/d/yyyy\ h:mm">
                  <c:v>36840.458333334704</c:v>
                </c:pt>
                <c:pt idx="567" formatCode="m/d/yyyy\ h:mm">
                  <c:v>36840.479166668039</c:v>
                </c:pt>
                <c:pt idx="568" formatCode="m/d/yyyy\ h:mm">
                  <c:v>36840.500000001375</c:v>
                </c:pt>
                <c:pt idx="569" formatCode="m/d/yyyy\ h:mm">
                  <c:v>36840.520833334711</c:v>
                </c:pt>
                <c:pt idx="570" formatCode="m/d/yyyy\ h:mm">
                  <c:v>36840.541666668047</c:v>
                </c:pt>
                <c:pt idx="571" formatCode="m/d/yyyy\ h:mm">
                  <c:v>36840.562500001382</c:v>
                </c:pt>
                <c:pt idx="572" formatCode="m/d/yyyy\ h:mm">
                  <c:v>36840.583333334718</c:v>
                </c:pt>
                <c:pt idx="573" formatCode="m/d/yyyy\ h:mm">
                  <c:v>36840.604166668054</c:v>
                </c:pt>
                <c:pt idx="574" formatCode="m/d/yyyy\ h:mm">
                  <c:v>36840.62500000139</c:v>
                </c:pt>
                <c:pt idx="575" formatCode="m/d/yyyy\ h:mm">
                  <c:v>36840.645833334725</c:v>
                </c:pt>
                <c:pt idx="576" formatCode="m/d/yyyy\ h:mm">
                  <c:v>36840.666666668061</c:v>
                </c:pt>
                <c:pt idx="577" formatCode="m/d/yyyy\ h:mm">
                  <c:v>36840.687500001397</c:v>
                </c:pt>
                <c:pt idx="578" formatCode="m/d/yyyy\ h:mm">
                  <c:v>36840.708333334733</c:v>
                </c:pt>
                <c:pt idx="579" formatCode="m/d/yyyy\ h:mm">
                  <c:v>36840.729166668069</c:v>
                </c:pt>
                <c:pt idx="580" formatCode="m/d/yyyy\ h:mm">
                  <c:v>36840.750000001404</c:v>
                </c:pt>
                <c:pt idx="581" formatCode="m/d/yyyy\ h:mm">
                  <c:v>36840.77083333474</c:v>
                </c:pt>
                <c:pt idx="582" formatCode="m/d/yyyy\ h:mm">
                  <c:v>36840.791666668076</c:v>
                </c:pt>
                <c:pt idx="583" formatCode="m/d/yyyy\ h:mm">
                  <c:v>36840.812500001412</c:v>
                </c:pt>
                <c:pt idx="584" formatCode="m/d/yyyy\ h:mm">
                  <c:v>36840.833333334747</c:v>
                </c:pt>
                <c:pt idx="585" formatCode="m/d/yyyy\ h:mm">
                  <c:v>36840.854166668083</c:v>
                </c:pt>
                <c:pt idx="586" formatCode="m/d/yyyy\ h:mm">
                  <c:v>36840.875000001419</c:v>
                </c:pt>
                <c:pt idx="587" formatCode="m/d/yyyy\ h:mm">
                  <c:v>36840.895833334755</c:v>
                </c:pt>
                <c:pt idx="588" formatCode="m/d/yyyy\ h:mm">
                  <c:v>36840.91666666809</c:v>
                </c:pt>
                <c:pt idx="589" formatCode="m/d/yyyy\ h:mm">
                  <c:v>36840.937500001426</c:v>
                </c:pt>
                <c:pt idx="590" formatCode="m/d/yyyy\ h:mm">
                  <c:v>36840.958333334762</c:v>
                </c:pt>
                <c:pt idx="591" formatCode="m/d/yyyy\ h:mm">
                  <c:v>36840.979166668098</c:v>
                </c:pt>
                <c:pt idx="592" formatCode="m/d/yyyy\ h:mm">
                  <c:v>36841.000000001433</c:v>
                </c:pt>
                <c:pt idx="593" formatCode="m/d/yyyy\ h:mm">
                  <c:v>36841.020833334769</c:v>
                </c:pt>
                <c:pt idx="594" formatCode="m/d/yyyy\ h:mm">
                  <c:v>36841.041666668105</c:v>
                </c:pt>
                <c:pt idx="595" formatCode="m/d/yyyy\ h:mm">
                  <c:v>36841.062500001441</c:v>
                </c:pt>
                <c:pt idx="596" formatCode="m/d/yyyy\ h:mm">
                  <c:v>36841.083333334776</c:v>
                </c:pt>
                <c:pt idx="597" formatCode="m/d/yyyy\ h:mm">
                  <c:v>36841.104166668112</c:v>
                </c:pt>
                <c:pt idx="598" formatCode="m/d/yyyy\ h:mm">
                  <c:v>36841.125000001448</c:v>
                </c:pt>
                <c:pt idx="599" formatCode="m/d/yyyy\ h:mm">
                  <c:v>36841.145833334784</c:v>
                </c:pt>
                <c:pt idx="600" formatCode="m/d/yyyy\ h:mm">
                  <c:v>36841.166666668119</c:v>
                </c:pt>
                <c:pt idx="601" formatCode="m/d/yyyy\ h:mm">
                  <c:v>36841.187500001455</c:v>
                </c:pt>
                <c:pt idx="602" formatCode="m/d/yyyy\ h:mm">
                  <c:v>36841.208333334791</c:v>
                </c:pt>
                <c:pt idx="603" formatCode="m/d/yyyy\ h:mm">
                  <c:v>36841.229166668127</c:v>
                </c:pt>
                <c:pt idx="604" formatCode="m/d/yyyy\ h:mm">
                  <c:v>36841.250000001462</c:v>
                </c:pt>
                <c:pt idx="605" formatCode="m/d/yyyy\ h:mm">
                  <c:v>36841.270833334798</c:v>
                </c:pt>
                <c:pt idx="606" formatCode="m/d/yyyy\ h:mm">
                  <c:v>36841.291666668134</c:v>
                </c:pt>
                <c:pt idx="607" formatCode="m/d/yyyy\ h:mm">
                  <c:v>36841.31250000147</c:v>
                </c:pt>
                <c:pt idx="608" formatCode="m/d/yyyy\ h:mm">
                  <c:v>36841.333333334806</c:v>
                </c:pt>
                <c:pt idx="609" formatCode="m/d/yyyy\ h:mm">
                  <c:v>36841.354166668141</c:v>
                </c:pt>
                <c:pt idx="610" formatCode="m/d/yyyy\ h:mm">
                  <c:v>36841.375000001477</c:v>
                </c:pt>
                <c:pt idx="611" formatCode="m/d/yyyy\ h:mm">
                  <c:v>36841.395833334813</c:v>
                </c:pt>
                <c:pt idx="612" formatCode="m/d/yyyy\ h:mm">
                  <c:v>36841.416666668149</c:v>
                </c:pt>
                <c:pt idx="613" formatCode="m/d/yyyy\ h:mm">
                  <c:v>36841.437500001484</c:v>
                </c:pt>
                <c:pt idx="614" formatCode="m/d/yyyy\ h:mm">
                  <c:v>36841.45833333482</c:v>
                </c:pt>
                <c:pt idx="615" formatCode="m/d/yyyy\ h:mm">
                  <c:v>36841.479166668156</c:v>
                </c:pt>
                <c:pt idx="616" formatCode="m/d/yyyy\ h:mm">
                  <c:v>36841.500000001492</c:v>
                </c:pt>
                <c:pt idx="617" formatCode="m/d/yyyy\ h:mm">
                  <c:v>36841.520833334827</c:v>
                </c:pt>
                <c:pt idx="618" formatCode="m/d/yyyy\ h:mm">
                  <c:v>36841.541666668163</c:v>
                </c:pt>
                <c:pt idx="619" formatCode="m/d/yyyy\ h:mm">
                  <c:v>36841.562500001499</c:v>
                </c:pt>
                <c:pt idx="620" formatCode="m/d/yyyy\ h:mm">
                  <c:v>36841.583333334835</c:v>
                </c:pt>
                <c:pt idx="621" formatCode="m/d/yyyy\ h:mm">
                  <c:v>36841.60416666817</c:v>
                </c:pt>
                <c:pt idx="622" formatCode="m/d/yyyy\ h:mm">
                  <c:v>36841.625000001506</c:v>
                </c:pt>
                <c:pt idx="623" formatCode="m/d/yyyy\ h:mm">
                  <c:v>36841.645833334842</c:v>
                </c:pt>
                <c:pt idx="624" formatCode="m/d/yyyy\ h:mm">
                  <c:v>36841.666666668178</c:v>
                </c:pt>
                <c:pt idx="625" formatCode="m/d/yyyy\ h:mm">
                  <c:v>36841.687500001513</c:v>
                </c:pt>
                <c:pt idx="626" formatCode="m/d/yyyy\ h:mm">
                  <c:v>36841.708333334849</c:v>
                </c:pt>
                <c:pt idx="627" formatCode="m/d/yyyy\ h:mm">
                  <c:v>36841.729166668185</c:v>
                </c:pt>
                <c:pt idx="628" formatCode="m/d/yyyy\ h:mm">
                  <c:v>36841.750000001521</c:v>
                </c:pt>
                <c:pt idx="629" formatCode="m/d/yyyy\ h:mm">
                  <c:v>36841.770833334856</c:v>
                </c:pt>
                <c:pt idx="630" formatCode="m/d/yyyy\ h:mm">
                  <c:v>36841.791666668192</c:v>
                </c:pt>
                <c:pt idx="631" formatCode="m/d/yyyy\ h:mm">
                  <c:v>36841.812500001528</c:v>
                </c:pt>
                <c:pt idx="632" formatCode="m/d/yyyy\ h:mm">
                  <c:v>36841.833333334864</c:v>
                </c:pt>
                <c:pt idx="633" formatCode="m/d/yyyy\ h:mm">
                  <c:v>36841.854166668199</c:v>
                </c:pt>
                <c:pt idx="634" formatCode="m/d/yyyy\ h:mm">
                  <c:v>36841.875000001535</c:v>
                </c:pt>
                <c:pt idx="635" formatCode="m/d/yyyy\ h:mm">
                  <c:v>36841.895833334871</c:v>
                </c:pt>
                <c:pt idx="636" formatCode="m/d/yyyy\ h:mm">
                  <c:v>36841.916666668207</c:v>
                </c:pt>
                <c:pt idx="637" formatCode="m/d/yyyy\ h:mm">
                  <c:v>36841.937500001543</c:v>
                </c:pt>
                <c:pt idx="638" formatCode="m/d/yyyy\ h:mm">
                  <c:v>36841.958333334878</c:v>
                </c:pt>
                <c:pt idx="639" formatCode="m/d/yyyy\ h:mm">
                  <c:v>36841.979166668214</c:v>
                </c:pt>
                <c:pt idx="640" formatCode="m/d/yyyy\ h:mm">
                  <c:v>36842.00000000155</c:v>
                </c:pt>
                <c:pt idx="641" formatCode="m/d/yyyy\ h:mm">
                  <c:v>36842.020833334886</c:v>
                </c:pt>
                <c:pt idx="642" formatCode="m/d/yyyy\ h:mm">
                  <c:v>36842.041666668221</c:v>
                </c:pt>
                <c:pt idx="643" formatCode="m/d/yyyy\ h:mm">
                  <c:v>36842.062500001557</c:v>
                </c:pt>
                <c:pt idx="644" formatCode="m/d/yyyy\ h:mm">
                  <c:v>36842.083333334893</c:v>
                </c:pt>
                <c:pt idx="645" formatCode="m/d/yyyy\ h:mm">
                  <c:v>36842.104166668229</c:v>
                </c:pt>
                <c:pt idx="646" formatCode="m/d/yyyy\ h:mm">
                  <c:v>36842.125000001564</c:v>
                </c:pt>
                <c:pt idx="647" formatCode="m/d/yyyy\ h:mm">
                  <c:v>36842.1458333349</c:v>
                </c:pt>
                <c:pt idx="648" formatCode="m/d/yyyy\ h:mm">
                  <c:v>36842.166666668236</c:v>
                </c:pt>
                <c:pt idx="649" formatCode="m/d/yyyy\ h:mm">
                  <c:v>36842.187500001572</c:v>
                </c:pt>
                <c:pt idx="650" formatCode="m/d/yyyy\ h:mm">
                  <c:v>36842.208333334907</c:v>
                </c:pt>
                <c:pt idx="651" formatCode="m/d/yyyy\ h:mm">
                  <c:v>36842.229166668243</c:v>
                </c:pt>
                <c:pt idx="652" formatCode="m/d/yyyy\ h:mm">
                  <c:v>36842.250000001579</c:v>
                </c:pt>
                <c:pt idx="653" formatCode="m/d/yyyy\ h:mm">
                  <c:v>36842.270833334915</c:v>
                </c:pt>
                <c:pt idx="654" formatCode="m/d/yyyy\ h:mm">
                  <c:v>36842.29166666825</c:v>
                </c:pt>
                <c:pt idx="655" formatCode="m/d/yyyy\ h:mm">
                  <c:v>36842.312500001586</c:v>
                </c:pt>
                <c:pt idx="656" formatCode="m/d/yyyy\ h:mm">
                  <c:v>36842.333333334922</c:v>
                </c:pt>
                <c:pt idx="657" formatCode="m/d/yyyy\ h:mm">
                  <c:v>36842.354166668258</c:v>
                </c:pt>
                <c:pt idx="658" formatCode="m/d/yyyy\ h:mm">
                  <c:v>36842.375000001593</c:v>
                </c:pt>
                <c:pt idx="659" formatCode="m/d/yyyy\ h:mm">
                  <c:v>36842.395833334929</c:v>
                </c:pt>
                <c:pt idx="660" formatCode="m/d/yyyy\ h:mm">
                  <c:v>36842.416666668265</c:v>
                </c:pt>
                <c:pt idx="661" formatCode="m/d/yyyy\ h:mm">
                  <c:v>36842.437500001601</c:v>
                </c:pt>
                <c:pt idx="662" formatCode="m/d/yyyy\ h:mm">
                  <c:v>36842.458333334936</c:v>
                </c:pt>
                <c:pt idx="663" formatCode="m/d/yyyy\ h:mm">
                  <c:v>36842.479166668272</c:v>
                </c:pt>
                <c:pt idx="664" formatCode="m/d/yyyy\ h:mm">
                  <c:v>36842.500000001608</c:v>
                </c:pt>
                <c:pt idx="665" formatCode="m/d/yyyy\ h:mm">
                  <c:v>36842.520833334944</c:v>
                </c:pt>
                <c:pt idx="666" formatCode="m/d/yyyy\ h:mm">
                  <c:v>36842.54166666828</c:v>
                </c:pt>
                <c:pt idx="667" formatCode="m/d/yyyy\ h:mm">
                  <c:v>36842.562500001615</c:v>
                </c:pt>
                <c:pt idx="668" formatCode="m/d/yyyy\ h:mm">
                  <c:v>36842.583333334951</c:v>
                </c:pt>
                <c:pt idx="669" formatCode="m/d/yyyy\ h:mm">
                  <c:v>36842.604166668287</c:v>
                </c:pt>
                <c:pt idx="670" formatCode="m/d/yyyy\ h:mm">
                  <c:v>36842.625000001623</c:v>
                </c:pt>
                <c:pt idx="671" formatCode="m/d/yyyy\ h:mm">
                  <c:v>36842.645833334958</c:v>
                </c:pt>
                <c:pt idx="672" formatCode="m/d/yyyy\ h:mm">
                  <c:v>36842.666666668294</c:v>
                </c:pt>
                <c:pt idx="673" formatCode="m/d/yyyy\ h:mm">
                  <c:v>36842.68750000163</c:v>
                </c:pt>
                <c:pt idx="674" formatCode="m/d/yyyy\ h:mm">
                  <c:v>36842.708333334966</c:v>
                </c:pt>
                <c:pt idx="675" formatCode="m/d/yyyy\ h:mm">
                  <c:v>36842.729166668301</c:v>
                </c:pt>
                <c:pt idx="676" formatCode="m/d/yyyy\ h:mm">
                  <c:v>36842.750000001637</c:v>
                </c:pt>
                <c:pt idx="677" formatCode="m/d/yyyy\ h:mm">
                  <c:v>36842.770833334973</c:v>
                </c:pt>
                <c:pt idx="678" formatCode="m/d/yyyy\ h:mm">
                  <c:v>36842.791666668309</c:v>
                </c:pt>
                <c:pt idx="679" formatCode="m/d/yyyy\ h:mm">
                  <c:v>36842.812500001644</c:v>
                </c:pt>
                <c:pt idx="680" formatCode="m/d/yyyy\ h:mm">
                  <c:v>36842.83333333498</c:v>
                </c:pt>
                <c:pt idx="681" formatCode="m/d/yyyy\ h:mm">
                  <c:v>36842.854166668316</c:v>
                </c:pt>
                <c:pt idx="682" formatCode="m/d/yyyy\ h:mm">
                  <c:v>36842.875000001652</c:v>
                </c:pt>
                <c:pt idx="683" formatCode="m/d/yyyy\ h:mm">
                  <c:v>36842.895833334987</c:v>
                </c:pt>
                <c:pt idx="684" formatCode="m/d/yyyy\ h:mm">
                  <c:v>36842.916666668323</c:v>
                </c:pt>
                <c:pt idx="685" formatCode="m/d/yyyy\ h:mm">
                  <c:v>36842.937500001659</c:v>
                </c:pt>
                <c:pt idx="686" formatCode="m/d/yyyy\ h:mm">
                  <c:v>36842.958333334995</c:v>
                </c:pt>
                <c:pt idx="687" formatCode="m/d/yyyy\ h:mm">
                  <c:v>36842.97916666833</c:v>
                </c:pt>
                <c:pt idx="688" formatCode="m/d/yyyy\ h:mm">
                  <c:v>36843.000000001666</c:v>
                </c:pt>
                <c:pt idx="689" formatCode="m/d/yyyy\ h:mm">
                  <c:v>36843.020833335002</c:v>
                </c:pt>
                <c:pt idx="690" formatCode="m/d/yyyy\ h:mm">
                  <c:v>36843.041666668338</c:v>
                </c:pt>
                <c:pt idx="691" formatCode="m/d/yyyy\ h:mm">
                  <c:v>36843.062500001673</c:v>
                </c:pt>
                <c:pt idx="692" formatCode="m/d/yyyy\ h:mm">
                  <c:v>36843.083333335009</c:v>
                </c:pt>
                <c:pt idx="693" formatCode="m/d/yyyy\ h:mm">
                  <c:v>36843.104166668345</c:v>
                </c:pt>
                <c:pt idx="694" formatCode="m/d/yyyy\ h:mm">
                  <c:v>36843.125000001681</c:v>
                </c:pt>
                <c:pt idx="695" formatCode="m/d/yyyy\ h:mm">
                  <c:v>36843.145833335017</c:v>
                </c:pt>
                <c:pt idx="696" formatCode="m/d/yyyy\ h:mm">
                  <c:v>36843.166666668352</c:v>
                </c:pt>
                <c:pt idx="697" formatCode="m/d/yyyy\ h:mm">
                  <c:v>36843.187500001688</c:v>
                </c:pt>
                <c:pt idx="698" formatCode="m/d/yyyy\ h:mm">
                  <c:v>36843.208333335024</c:v>
                </c:pt>
                <c:pt idx="699" formatCode="m/d/yyyy\ h:mm">
                  <c:v>36843.22916666836</c:v>
                </c:pt>
                <c:pt idx="700" formatCode="m/d/yyyy\ h:mm">
                  <c:v>36843.250000001695</c:v>
                </c:pt>
                <c:pt idx="701" formatCode="m/d/yyyy\ h:mm">
                  <c:v>36843.270833335031</c:v>
                </c:pt>
                <c:pt idx="702" formatCode="m/d/yyyy\ h:mm">
                  <c:v>36843.291666668367</c:v>
                </c:pt>
                <c:pt idx="703" formatCode="m/d/yyyy\ h:mm">
                  <c:v>36843.312500001703</c:v>
                </c:pt>
                <c:pt idx="704" formatCode="m/d/yyyy\ h:mm">
                  <c:v>36843.333333335038</c:v>
                </c:pt>
                <c:pt idx="705" formatCode="m/d/yyyy\ h:mm">
                  <c:v>36843.354166668374</c:v>
                </c:pt>
                <c:pt idx="706" formatCode="m/d/yyyy\ h:mm">
                  <c:v>36843.37500000171</c:v>
                </c:pt>
                <c:pt idx="707" formatCode="m/d/yyyy\ h:mm">
                  <c:v>36843.395833335046</c:v>
                </c:pt>
                <c:pt idx="708" formatCode="m/d/yyyy\ h:mm">
                  <c:v>36843.416666668381</c:v>
                </c:pt>
                <c:pt idx="709" formatCode="m/d/yyyy\ h:mm">
                  <c:v>36843.437500001717</c:v>
                </c:pt>
                <c:pt idx="710" formatCode="m/d/yyyy\ h:mm">
                  <c:v>36843.458333335053</c:v>
                </c:pt>
                <c:pt idx="711" formatCode="m/d/yyyy\ h:mm">
                  <c:v>36843.479166668389</c:v>
                </c:pt>
                <c:pt idx="712" formatCode="m/d/yyyy\ h:mm">
                  <c:v>36843.500000001724</c:v>
                </c:pt>
                <c:pt idx="713" formatCode="m/d/yyyy\ h:mm">
                  <c:v>36843.52083333506</c:v>
                </c:pt>
                <c:pt idx="714" formatCode="m/d/yyyy\ h:mm">
                  <c:v>36843.541666668396</c:v>
                </c:pt>
                <c:pt idx="715" formatCode="m/d/yyyy\ h:mm">
                  <c:v>36843.562500001732</c:v>
                </c:pt>
                <c:pt idx="716" formatCode="m/d/yyyy\ h:mm">
                  <c:v>36843.583333335067</c:v>
                </c:pt>
                <c:pt idx="717" formatCode="m/d/yyyy\ h:mm">
                  <c:v>36843.604166668403</c:v>
                </c:pt>
                <c:pt idx="718" formatCode="m/d/yyyy\ h:mm">
                  <c:v>36843.625000001739</c:v>
                </c:pt>
                <c:pt idx="719" formatCode="m/d/yyyy\ h:mm">
                  <c:v>36843.645833335075</c:v>
                </c:pt>
                <c:pt idx="720" formatCode="m/d/yyyy\ h:mm">
                  <c:v>36843.66666666841</c:v>
                </c:pt>
                <c:pt idx="721" formatCode="m/d/yyyy\ h:mm">
                  <c:v>36843.687500001746</c:v>
                </c:pt>
                <c:pt idx="722" formatCode="m/d/yyyy\ h:mm">
                  <c:v>36843.708333335082</c:v>
                </c:pt>
                <c:pt idx="723" formatCode="m/d/yyyy\ h:mm">
                  <c:v>36843.729166668418</c:v>
                </c:pt>
                <c:pt idx="724" formatCode="m/d/yyyy\ h:mm">
                  <c:v>36843.750000001754</c:v>
                </c:pt>
                <c:pt idx="725" formatCode="m/d/yyyy\ h:mm">
                  <c:v>36843.770833335089</c:v>
                </c:pt>
                <c:pt idx="726" formatCode="m/d/yyyy\ h:mm">
                  <c:v>36843.791666668425</c:v>
                </c:pt>
                <c:pt idx="727" formatCode="m/d/yyyy\ h:mm">
                  <c:v>36843.812500001761</c:v>
                </c:pt>
                <c:pt idx="728" formatCode="m/d/yyyy\ h:mm">
                  <c:v>36843.833333335097</c:v>
                </c:pt>
                <c:pt idx="729" formatCode="m/d/yyyy\ h:mm">
                  <c:v>36843.854166666664</c:v>
                </c:pt>
                <c:pt idx="730" formatCode="m/d/yyyy\ h:mm">
                  <c:v>36843.875</c:v>
                </c:pt>
                <c:pt idx="731" formatCode="m/d/yyyy\ h:mm">
                  <c:v>36843.895833333336</c:v>
                </c:pt>
                <c:pt idx="732" formatCode="m/d/yyyy\ h:mm">
                  <c:v>36843.916666666672</c:v>
                </c:pt>
                <c:pt idx="733" formatCode="m/d/yyyy\ h:mm">
                  <c:v>36843.937500000007</c:v>
                </c:pt>
                <c:pt idx="734" formatCode="m/d/yyyy\ h:mm">
                  <c:v>36843.958333333343</c:v>
                </c:pt>
                <c:pt idx="735" formatCode="m/d/yyyy\ h:mm">
                  <c:v>36843.979166666679</c:v>
                </c:pt>
                <c:pt idx="736" formatCode="m/d/yyyy\ h:mm">
                  <c:v>36844.000000000015</c:v>
                </c:pt>
                <c:pt idx="737" formatCode="m/d/yyyy\ h:mm">
                  <c:v>36844.02083333335</c:v>
                </c:pt>
                <c:pt idx="738" formatCode="m/d/yyyy\ h:mm">
                  <c:v>36844.041666666686</c:v>
                </c:pt>
                <c:pt idx="739" formatCode="m/d/yyyy\ h:mm">
                  <c:v>36844.062500000022</c:v>
                </c:pt>
                <c:pt idx="740" formatCode="m/d/yyyy\ h:mm">
                  <c:v>36844.083333333358</c:v>
                </c:pt>
                <c:pt idx="741" formatCode="m/d/yyyy\ h:mm">
                  <c:v>36844.104166666693</c:v>
                </c:pt>
                <c:pt idx="742" formatCode="m/d/yyyy\ h:mm">
                  <c:v>36844.125000000029</c:v>
                </c:pt>
                <c:pt idx="743" formatCode="m/d/yyyy\ h:mm">
                  <c:v>36844.145833333365</c:v>
                </c:pt>
                <c:pt idx="744" formatCode="m/d/yyyy\ h:mm">
                  <c:v>36844.166666666701</c:v>
                </c:pt>
                <c:pt idx="745" formatCode="m/d/yyyy\ h:mm">
                  <c:v>36844.187500000036</c:v>
                </c:pt>
                <c:pt idx="746" formatCode="m/d/yyyy\ h:mm">
                  <c:v>36844.208333333372</c:v>
                </c:pt>
                <c:pt idx="747" formatCode="m/d/yyyy\ h:mm">
                  <c:v>36844.229166666708</c:v>
                </c:pt>
                <c:pt idx="748" formatCode="m/d/yyyy\ h:mm">
                  <c:v>36844.250000000044</c:v>
                </c:pt>
                <c:pt idx="749" formatCode="m/d/yyyy\ h:mm">
                  <c:v>36844.270833333379</c:v>
                </c:pt>
                <c:pt idx="750" formatCode="m/d/yyyy\ h:mm">
                  <c:v>36844.291666666715</c:v>
                </c:pt>
                <c:pt idx="751" formatCode="m/d/yyyy\ h:mm">
                  <c:v>36844.312500000051</c:v>
                </c:pt>
                <c:pt idx="752" formatCode="m/d/yyyy\ h:mm">
                  <c:v>36844.333333333387</c:v>
                </c:pt>
                <c:pt idx="753" formatCode="m/d/yyyy\ h:mm">
                  <c:v>36844.354166666722</c:v>
                </c:pt>
                <c:pt idx="754" formatCode="m/d/yyyy\ h:mm">
                  <c:v>36844.375000000058</c:v>
                </c:pt>
                <c:pt idx="755" formatCode="m/d/yyyy\ h:mm">
                  <c:v>36844.395833333394</c:v>
                </c:pt>
                <c:pt idx="756" formatCode="m/d/yyyy\ h:mm">
                  <c:v>36844.41666666673</c:v>
                </c:pt>
                <c:pt idx="757" formatCode="m/d/yyyy\ h:mm">
                  <c:v>36844.437500000065</c:v>
                </c:pt>
                <c:pt idx="758" formatCode="m/d/yyyy\ h:mm">
                  <c:v>36844.458333333401</c:v>
                </c:pt>
                <c:pt idx="759" formatCode="m/d/yyyy\ h:mm">
                  <c:v>36844.479166666737</c:v>
                </c:pt>
                <c:pt idx="760" formatCode="m/d/yyyy\ h:mm">
                  <c:v>36844.500000000073</c:v>
                </c:pt>
                <c:pt idx="761" formatCode="m/d/yyyy\ h:mm">
                  <c:v>36844.520833333409</c:v>
                </c:pt>
                <c:pt idx="762" formatCode="m/d/yyyy\ h:mm">
                  <c:v>36844.541666666744</c:v>
                </c:pt>
                <c:pt idx="763" formatCode="m/d/yyyy\ h:mm">
                  <c:v>36844.56250000008</c:v>
                </c:pt>
                <c:pt idx="764" formatCode="m/d/yyyy\ h:mm">
                  <c:v>36844.583333333416</c:v>
                </c:pt>
                <c:pt idx="765" formatCode="m/d/yyyy\ h:mm">
                  <c:v>36844.604166666752</c:v>
                </c:pt>
                <c:pt idx="766" formatCode="m/d/yyyy\ h:mm">
                  <c:v>36844.625000000087</c:v>
                </c:pt>
                <c:pt idx="767" formatCode="m/d/yyyy\ h:mm">
                  <c:v>36844.645833333423</c:v>
                </c:pt>
                <c:pt idx="768" formatCode="m/d/yyyy\ h:mm">
                  <c:v>36844.666666666759</c:v>
                </c:pt>
                <c:pt idx="769" formatCode="m/d/yyyy\ h:mm">
                  <c:v>36844.687500000095</c:v>
                </c:pt>
                <c:pt idx="770" formatCode="m/d/yyyy\ h:mm">
                  <c:v>36844.70833333343</c:v>
                </c:pt>
                <c:pt idx="771" formatCode="m/d/yyyy\ h:mm">
                  <c:v>36844.729166666766</c:v>
                </c:pt>
                <c:pt idx="772" formatCode="m/d/yyyy\ h:mm">
                  <c:v>36844.750000000102</c:v>
                </c:pt>
                <c:pt idx="773" formatCode="m/d/yyyy\ h:mm">
                  <c:v>36844.770833333438</c:v>
                </c:pt>
                <c:pt idx="774" formatCode="m/d/yyyy\ h:mm">
                  <c:v>36844.791666666773</c:v>
                </c:pt>
                <c:pt idx="775" formatCode="m/d/yyyy\ h:mm">
                  <c:v>36844.812500000109</c:v>
                </c:pt>
                <c:pt idx="776" formatCode="m/d/yyyy\ h:mm">
                  <c:v>36844.833333333445</c:v>
                </c:pt>
                <c:pt idx="777" formatCode="m/d/yyyy\ h:mm">
                  <c:v>36844.854166666781</c:v>
                </c:pt>
                <c:pt idx="778" formatCode="m/d/yyyy\ h:mm">
                  <c:v>36844.875000000116</c:v>
                </c:pt>
                <c:pt idx="779" formatCode="m/d/yyyy\ h:mm">
                  <c:v>36844.895833333452</c:v>
                </c:pt>
                <c:pt idx="780" formatCode="m/d/yyyy\ h:mm">
                  <c:v>36844.916666666788</c:v>
                </c:pt>
                <c:pt idx="781" formatCode="m/d/yyyy\ h:mm">
                  <c:v>36844.937500000124</c:v>
                </c:pt>
                <c:pt idx="782" formatCode="m/d/yyyy\ h:mm">
                  <c:v>36844.958333333459</c:v>
                </c:pt>
                <c:pt idx="783" formatCode="m/d/yyyy\ h:mm">
                  <c:v>36844.979166666795</c:v>
                </c:pt>
                <c:pt idx="784" formatCode="m/d/yyyy\ h:mm">
                  <c:v>36845.000000000131</c:v>
                </c:pt>
                <c:pt idx="785" formatCode="m/d/yyyy\ h:mm">
                  <c:v>36845.020833333467</c:v>
                </c:pt>
                <c:pt idx="786" formatCode="m/d/yyyy\ h:mm">
                  <c:v>36845.041666666802</c:v>
                </c:pt>
                <c:pt idx="787" formatCode="m/d/yyyy\ h:mm">
                  <c:v>36845.062500000138</c:v>
                </c:pt>
                <c:pt idx="788" formatCode="m/d/yyyy\ h:mm">
                  <c:v>36845.083333333474</c:v>
                </c:pt>
                <c:pt idx="789" formatCode="m/d/yyyy\ h:mm">
                  <c:v>36845.10416666681</c:v>
                </c:pt>
                <c:pt idx="790" formatCode="m/d/yyyy\ h:mm">
                  <c:v>36845.125000000146</c:v>
                </c:pt>
                <c:pt idx="791" formatCode="m/d/yyyy\ h:mm">
                  <c:v>36845.145833333481</c:v>
                </c:pt>
                <c:pt idx="792" formatCode="m/d/yyyy\ h:mm">
                  <c:v>36845.166666666817</c:v>
                </c:pt>
                <c:pt idx="793" formatCode="m/d/yyyy\ h:mm">
                  <c:v>36845.187500000153</c:v>
                </c:pt>
                <c:pt idx="794" formatCode="m/d/yyyy\ h:mm">
                  <c:v>36845.208333333489</c:v>
                </c:pt>
                <c:pt idx="795" formatCode="m/d/yyyy\ h:mm">
                  <c:v>36845.229166666824</c:v>
                </c:pt>
                <c:pt idx="796" formatCode="m/d/yyyy\ h:mm">
                  <c:v>36845.25000000016</c:v>
                </c:pt>
                <c:pt idx="797" formatCode="m/d/yyyy\ h:mm">
                  <c:v>36845.270833333496</c:v>
                </c:pt>
                <c:pt idx="798" formatCode="m/d/yyyy\ h:mm">
                  <c:v>36845.291666666832</c:v>
                </c:pt>
                <c:pt idx="799" formatCode="m/d/yyyy\ h:mm">
                  <c:v>36845.312500000167</c:v>
                </c:pt>
                <c:pt idx="800" formatCode="m/d/yyyy\ h:mm">
                  <c:v>36845.333333333503</c:v>
                </c:pt>
                <c:pt idx="801" formatCode="m/d/yyyy\ h:mm">
                  <c:v>36845.354166666839</c:v>
                </c:pt>
                <c:pt idx="802" formatCode="m/d/yyyy\ h:mm">
                  <c:v>36845.375000000175</c:v>
                </c:pt>
                <c:pt idx="803" formatCode="m/d/yyyy\ h:mm">
                  <c:v>36845.39583333351</c:v>
                </c:pt>
                <c:pt idx="804" formatCode="m/d/yyyy\ h:mm">
                  <c:v>36845.416666666846</c:v>
                </c:pt>
                <c:pt idx="805" formatCode="m/d/yyyy\ h:mm">
                  <c:v>36845.437500000182</c:v>
                </c:pt>
                <c:pt idx="806" formatCode="m/d/yyyy\ h:mm">
                  <c:v>36845.458333333518</c:v>
                </c:pt>
                <c:pt idx="807" formatCode="m/d/yyyy\ h:mm">
                  <c:v>36845.479166666853</c:v>
                </c:pt>
                <c:pt idx="808" formatCode="m/d/yyyy\ h:mm">
                  <c:v>36845.500000000189</c:v>
                </c:pt>
                <c:pt idx="809" formatCode="m/d/yyyy\ h:mm">
                  <c:v>36845.520833333525</c:v>
                </c:pt>
                <c:pt idx="810" formatCode="m/d/yyyy\ h:mm">
                  <c:v>36845.541666666861</c:v>
                </c:pt>
                <c:pt idx="811" formatCode="m/d/yyyy\ h:mm">
                  <c:v>36845.562500000196</c:v>
                </c:pt>
                <c:pt idx="812" formatCode="m/d/yyyy\ h:mm">
                  <c:v>36845.583333333532</c:v>
                </c:pt>
                <c:pt idx="813" formatCode="m/d/yyyy\ h:mm">
                  <c:v>36845.604166666868</c:v>
                </c:pt>
                <c:pt idx="814" formatCode="m/d/yyyy\ h:mm">
                  <c:v>36845.625000000204</c:v>
                </c:pt>
                <c:pt idx="815" formatCode="m/d/yyyy\ h:mm">
                  <c:v>36845.645833333539</c:v>
                </c:pt>
                <c:pt idx="816" formatCode="m/d/yyyy\ h:mm">
                  <c:v>36845.666666666875</c:v>
                </c:pt>
                <c:pt idx="817" formatCode="m/d/yyyy\ h:mm">
                  <c:v>36845.687500000211</c:v>
                </c:pt>
                <c:pt idx="818" formatCode="m/d/yyyy\ h:mm">
                  <c:v>36845.708333333547</c:v>
                </c:pt>
                <c:pt idx="819" formatCode="m/d/yyyy\ h:mm">
                  <c:v>36845.729166666883</c:v>
                </c:pt>
                <c:pt idx="820" formatCode="m/d/yyyy\ h:mm">
                  <c:v>36845.750000000218</c:v>
                </c:pt>
                <c:pt idx="821" formatCode="m/d/yyyy\ h:mm">
                  <c:v>36845.770833333554</c:v>
                </c:pt>
                <c:pt idx="822" formatCode="m/d/yyyy\ h:mm">
                  <c:v>36845.79166666689</c:v>
                </c:pt>
                <c:pt idx="823" formatCode="m/d/yyyy\ h:mm">
                  <c:v>36845.812500000226</c:v>
                </c:pt>
                <c:pt idx="824" formatCode="m/d/yyyy\ h:mm">
                  <c:v>36845.833333333561</c:v>
                </c:pt>
                <c:pt idx="825" formatCode="m/d/yyyy\ h:mm">
                  <c:v>36845.854166666897</c:v>
                </c:pt>
                <c:pt idx="826" formatCode="m/d/yyyy\ h:mm">
                  <c:v>36845.875000000233</c:v>
                </c:pt>
                <c:pt idx="827" formatCode="m/d/yyyy\ h:mm">
                  <c:v>36845.895833333569</c:v>
                </c:pt>
                <c:pt idx="828" formatCode="m/d/yyyy\ h:mm">
                  <c:v>36845.916666666904</c:v>
                </c:pt>
                <c:pt idx="829" formatCode="m/d/yyyy\ h:mm">
                  <c:v>36845.93750000024</c:v>
                </c:pt>
                <c:pt idx="830" formatCode="m/d/yyyy\ h:mm">
                  <c:v>36845.958333333576</c:v>
                </c:pt>
                <c:pt idx="831" formatCode="m/d/yyyy\ h:mm">
                  <c:v>36845.979166666912</c:v>
                </c:pt>
                <c:pt idx="832" formatCode="m/d/yyyy\ h:mm">
                  <c:v>36846.000000000247</c:v>
                </c:pt>
                <c:pt idx="833" formatCode="m/d/yyyy\ h:mm">
                  <c:v>36846.020833333583</c:v>
                </c:pt>
                <c:pt idx="834" formatCode="m/d/yyyy\ h:mm">
                  <c:v>36846.041666666919</c:v>
                </c:pt>
                <c:pt idx="835" formatCode="m/d/yyyy\ h:mm">
                  <c:v>36846.062500000255</c:v>
                </c:pt>
                <c:pt idx="836" formatCode="m/d/yyyy\ h:mm">
                  <c:v>36846.08333333359</c:v>
                </c:pt>
                <c:pt idx="837" formatCode="m/d/yyyy\ h:mm">
                  <c:v>36846.104166666926</c:v>
                </c:pt>
                <c:pt idx="838" formatCode="m/d/yyyy\ h:mm">
                  <c:v>36846.125000000262</c:v>
                </c:pt>
                <c:pt idx="839" formatCode="m/d/yyyy\ h:mm">
                  <c:v>36846.145833333598</c:v>
                </c:pt>
                <c:pt idx="840" formatCode="m/d/yyyy\ h:mm">
                  <c:v>36846.166666666933</c:v>
                </c:pt>
                <c:pt idx="841" formatCode="m/d/yyyy\ h:mm">
                  <c:v>36846.187500000269</c:v>
                </c:pt>
                <c:pt idx="842" formatCode="m/d/yyyy\ h:mm">
                  <c:v>36846.208333333605</c:v>
                </c:pt>
                <c:pt idx="843" formatCode="m/d/yyyy\ h:mm">
                  <c:v>36846.229166666941</c:v>
                </c:pt>
                <c:pt idx="844" formatCode="m/d/yyyy\ h:mm">
                  <c:v>36846.250000000276</c:v>
                </c:pt>
                <c:pt idx="845" formatCode="m/d/yyyy\ h:mm">
                  <c:v>36846.270833333612</c:v>
                </c:pt>
                <c:pt idx="846" formatCode="m/d/yyyy\ h:mm">
                  <c:v>36846.291666666948</c:v>
                </c:pt>
                <c:pt idx="847" formatCode="m/d/yyyy\ h:mm">
                  <c:v>36846.312500000284</c:v>
                </c:pt>
                <c:pt idx="848" formatCode="m/d/yyyy\ h:mm">
                  <c:v>36846.33333333362</c:v>
                </c:pt>
                <c:pt idx="849" formatCode="m/d/yyyy\ h:mm">
                  <c:v>36846.354166666955</c:v>
                </c:pt>
                <c:pt idx="850" formatCode="m/d/yyyy\ h:mm">
                  <c:v>36846.375000000291</c:v>
                </c:pt>
                <c:pt idx="851" formatCode="m/d/yyyy\ h:mm">
                  <c:v>36846.395833333627</c:v>
                </c:pt>
                <c:pt idx="852" formatCode="m/d/yyyy\ h:mm">
                  <c:v>36846.416666666963</c:v>
                </c:pt>
                <c:pt idx="853" formatCode="m/d/yyyy\ h:mm">
                  <c:v>36846.437500000298</c:v>
                </c:pt>
                <c:pt idx="854" formatCode="m/d/yyyy\ h:mm">
                  <c:v>36846.458333333634</c:v>
                </c:pt>
                <c:pt idx="855" formatCode="m/d/yyyy\ h:mm">
                  <c:v>36846.47916666697</c:v>
                </c:pt>
                <c:pt idx="856" formatCode="m/d/yyyy\ h:mm">
                  <c:v>36846.500000000306</c:v>
                </c:pt>
                <c:pt idx="857" formatCode="m/d/yyyy\ h:mm">
                  <c:v>36846.520833333641</c:v>
                </c:pt>
                <c:pt idx="858" formatCode="m/d/yyyy\ h:mm">
                  <c:v>36846.541666666977</c:v>
                </c:pt>
                <c:pt idx="859" formatCode="m/d/yyyy\ h:mm">
                  <c:v>36846.562500000313</c:v>
                </c:pt>
                <c:pt idx="860" formatCode="m/d/yyyy\ h:mm">
                  <c:v>36846.583333333649</c:v>
                </c:pt>
                <c:pt idx="861" formatCode="m/d/yyyy\ h:mm">
                  <c:v>36846.604166666984</c:v>
                </c:pt>
                <c:pt idx="862" formatCode="m/d/yyyy\ h:mm">
                  <c:v>36846.62500000032</c:v>
                </c:pt>
                <c:pt idx="863" formatCode="m/d/yyyy\ h:mm">
                  <c:v>36846.645833333656</c:v>
                </c:pt>
                <c:pt idx="864" formatCode="m/d/yyyy\ h:mm">
                  <c:v>36846.666666666992</c:v>
                </c:pt>
                <c:pt idx="865" formatCode="m/d/yyyy\ h:mm">
                  <c:v>36846.687500000327</c:v>
                </c:pt>
                <c:pt idx="866" formatCode="m/d/yyyy\ h:mm">
                  <c:v>36846.708333333663</c:v>
                </c:pt>
                <c:pt idx="867" formatCode="m/d/yyyy\ h:mm">
                  <c:v>36846.729166666999</c:v>
                </c:pt>
                <c:pt idx="868" formatCode="m/d/yyyy\ h:mm">
                  <c:v>36846.750000000335</c:v>
                </c:pt>
                <c:pt idx="869" formatCode="m/d/yyyy\ h:mm">
                  <c:v>36846.77083333367</c:v>
                </c:pt>
                <c:pt idx="870" formatCode="m/d/yyyy\ h:mm">
                  <c:v>36846.791666667006</c:v>
                </c:pt>
                <c:pt idx="871" formatCode="m/d/yyyy\ h:mm">
                  <c:v>36846.812500000342</c:v>
                </c:pt>
                <c:pt idx="872" formatCode="m/d/yyyy\ h:mm">
                  <c:v>36846.833333333678</c:v>
                </c:pt>
                <c:pt idx="873" formatCode="m/d/yyyy\ h:mm">
                  <c:v>36846.854166667013</c:v>
                </c:pt>
                <c:pt idx="874" formatCode="m/d/yyyy\ h:mm">
                  <c:v>36846.875000000349</c:v>
                </c:pt>
                <c:pt idx="875" formatCode="m/d/yyyy\ h:mm">
                  <c:v>36846.895833333685</c:v>
                </c:pt>
                <c:pt idx="876" formatCode="m/d/yyyy\ h:mm">
                  <c:v>36846.916666667021</c:v>
                </c:pt>
                <c:pt idx="877" formatCode="m/d/yyyy\ h:mm">
                  <c:v>36846.937500000357</c:v>
                </c:pt>
                <c:pt idx="878" formatCode="m/d/yyyy\ h:mm">
                  <c:v>36846.958333333692</c:v>
                </c:pt>
                <c:pt idx="879" formatCode="m/d/yyyy\ h:mm">
                  <c:v>36846.979166667028</c:v>
                </c:pt>
                <c:pt idx="880" formatCode="m/d/yyyy\ h:mm">
                  <c:v>36847.000000000364</c:v>
                </c:pt>
                <c:pt idx="881" formatCode="m/d/yyyy\ h:mm">
                  <c:v>36847.0208333337</c:v>
                </c:pt>
                <c:pt idx="882" formatCode="m/d/yyyy\ h:mm">
                  <c:v>36847.041666667035</c:v>
                </c:pt>
                <c:pt idx="883" formatCode="m/d/yyyy\ h:mm">
                  <c:v>36847.062500000371</c:v>
                </c:pt>
                <c:pt idx="884" formatCode="m/d/yyyy\ h:mm">
                  <c:v>36847.083333333707</c:v>
                </c:pt>
                <c:pt idx="885" formatCode="m/d/yyyy\ h:mm">
                  <c:v>36847.104166667043</c:v>
                </c:pt>
                <c:pt idx="886" formatCode="m/d/yyyy\ h:mm">
                  <c:v>36847.125000000378</c:v>
                </c:pt>
                <c:pt idx="887" formatCode="m/d/yyyy\ h:mm">
                  <c:v>36847.145833333714</c:v>
                </c:pt>
                <c:pt idx="888" formatCode="m/d/yyyy\ h:mm">
                  <c:v>36847.16666666705</c:v>
                </c:pt>
                <c:pt idx="889" formatCode="m/d/yyyy\ h:mm">
                  <c:v>36847.187500000386</c:v>
                </c:pt>
                <c:pt idx="890" formatCode="m/d/yyyy\ h:mm">
                  <c:v>36847.208333333721</c:v>
                </c:pt>
                <c:pt idx="891" formatCode="m/d/yyyy\ h:mm">
                  <c:v>36847.229166667057</c:v>
                </c:pt>
                <c:pt idx="892" formatCode="m/d/yyyy\ h:mm">
                  <c:v>36847.250000000393</c:v>
                </c:pt>
                <c:pt idx="893" formatCode="m/d/yyyy\ h:mm">
                  <c:v>36847.270833333729</c:v>
                </c:pt>
                <c:pt idx="894" formatCode="m/d/yyyy\ h:mm">
                  <c:v>36847.291666667064</c:v>
                </c:pt>
                <c:pt idx="895" formatCode="m/d/yyyy\ h:mm">
                  <c:v>36847.3125000004</c:v>
                </c:pt>
                <c:pt idx="896" formatCode="m/d/yyyy\ h:mm">
                  <c:v>36847.333333333736</c:v>
                </c:pt>
                <c:pt idx="897" formatCode="m/d/yyyy\ h:mm">
                  <c:v>36847.354166667072</c:v>
                </c:pt>
                <c:pt idx="898" formatCode="m/d/yyyy\ h:mm">
                  <c:v>36847.375000000407</c:v>
                </c:pt>
                <c:pt idx="899" formatCode="m/d/yyyy\ h:mm">
                  <c:v>36847.395833333743</c:v>
                </c:pt>
                <c:pt idx="900" formatCode="m/d/yyyy\ h:mm">
                  <c:v>36847.416666667079</c:v>
                </c:pt>
                <c:pt idx="901" formatCode="m/d/yyyy\ h:mm">
                  <c:v>36847.437500000415</c:v>
                </c:pt>
                <c:pt idx="902" formatCode="m/d/yyyy\ h:mm">
                  <c:v>36847.45833333375</c:v>
                </c:pt>
                <c:pt idx="903" formatCode="m/d/yyyy\ h:mm">
                  <c:v>36847.479166667086</c:v>
                </c:pt>
                <c:pt idx="904" formatCode="m/d/yyyy\ h:mm">
                  <c:v>36847.500000000422</c:v>
                </c:pt>
                <c:pt idx="905" formatCode="m/d/yyyy\ h:mm">
                  <c:v>36847.520833333758</c:v>
                </c:pt>
                <c:pt idx="906" formatCode="m/d/yyyy\ h:mm">
                  <c:v>36847.541666667094</c:v>
                </c:pt>
                <c:pt idx="907" formatCode="m/d/yyyy\ h:mm">
                  <c:v>36847.562500000429</c:v>
                </c:pt>
                <c:pt idx="908" formatCode="m/d/yyyy\ h:mm">
                  <c:v>36847.583333333765</c:v>
                </c:pt>
                <c:pt idx="909" formatCode="m/d/yyyy\ h:mm">
                  <c:v>36847.604166667101</c:v>
                </c:pt>
                <c:pt idx="910" formatCode="m/d/yyyy\ h:mm">
                  <c:v>36847.625000000437</c:v>
                </c:pt>
                <c:pt idx="911" formatCode="m/d/yyyy\ h:mm">
                  <c:v>36847.645833333772</c:v>
                </c:pt>
                <c:pt idx="912" formatCode="m/d/yyyy\ h:mm">
                  <c:v>36847.666666667108</c:v>
                </c:pt>
                <c:pt idx="913" formatCode="m/d/yyyy\ h:mm">
                  <c:v>36847.687500000444</c:v>
                </c:pt>
                <c:pt idx="914" formatCode="m/d/yyyy\ h:mm">
                  <c:v>36847.70833333378</c:v>
                </c:pt>
                <c:pt idx="915" formatCode="m/d/yyyy\ h:mm">
                  <c:v>36847.729166667115</c:v>
                </c:pt>
                <c:pt idx="916" formatCode="m/d/yyyy\ h:mm">
                  <c:v>36847.750000000451</c:v>
                </c:pt>
                <c:pt idx="917" formatCode="m/d/yyyy\ h:mm">
                  <c:v>36847.770833333787</c:v>
                </c:pt>
                <c:pt idx="918" formatCode="m/d/yyyy\ h:mm">
                  <c:v>36847.791666667123</c:v>
                </c:pt>
                <c:pt idx="919" formatCode="m/d/yyyy\ h:mm">
                  <c:v>36847.812500000458</c:v>
                </c:pt>
                <c:pt idx="920" formatCode="m/d/yyyy\ h:mm">
                  <c:v>36847.833333333794</c:v>
                </c:pt>
                <c:pt idx="921" formatCode="m/d/yyyy\ h:mm">
                  <c:v>36847.85416666713</c:v>
                </c:pt>
                <c:pt idx="922" formatCode="m/d/yyyy\ h:mm">
                  <c:v>36847.875000000466</c:v>
                </c:pt>
                <c:pt idx="923" formatCode="m/d/yyyy\ h:mm">
                  <c:v>36847.895833333801</c:v>
                </c:pt>
                <c:pt idx="924" formatCode="m/d/yyyy\ h:mm">
                  <c:v>36847.916666667137</c:v>
                </c:pt>
                <c:pt idx="925" formatCode="m/d/yyyy\ h:mm">
                  <c:v>36847.937500000473</c:v>
                </c:pt>
                <c:pt idx="926" formatCode="m/d/yyyy\ h:mm">
                  <c:v>36847.958333333809</c:v>
                </c:pt>
                <c:pt idx="927" formatCode="m/d/yyyy\ h:mm">
                  <c:v>36847.979166667144</c:v>
                </c:pt>
                <c:pt idx="928" formatCode="m/d/yyyy\ h:mm">
                  <c:v>36848.00000000048</c:v>
                </c:pt>
                <c:pt idx="929" formatCode="m/d/yyyy\ h:mm">
                  <c:v>36848.020833333816</c:v>
                </c:pt>
                <c:pt idx="930" formatCode="m/d/yyyy\ h:mm">
                  <c:v>36848.041666667152</c:v>
                </c:pt>
                <c:pt idx="931" formatCode="m/d/yyyy\ h:mm">
                  <c:v>36848.062500000487</c:v>
                </c:pt>
                <c:pt idx="932" formatCode="m/d/yyyy\ h:mm">
                  <c:v>36848.083333333823</c:v>
                </c:pt>
                <c:pt idx="933" formatCode="m/d/yyyy\ h:mm">
                  <c:v>36848.104166667159</c:v>
                </c:pt>
                <c:pt idx="934" formatCode="m/d/yyyy\ h:mm">
                  <c:v>36848.125000000495</c:v>
                </c:pt>
                <c:pt idx="935" formatCode="m/d/yyyy\ h:mm">
                  <c:v>36848.145833333831</c:v>
                </c:pt>
                <c:pt idx="936" formatCode="m/d/yyyy\ h:mm">
                  <c:v>36848.166666667166</c:v>
                </c:pt>
                <c:pt idx="937" formatCode="m/d/yyyy\ h:mm">
                  <c:v>36848.187500000502</c:v>
                </c:pt>
                <c:pt idx="938" formatCode="m/d/yyyy\ h:mm">
                  <c:v>36848.208333333838</c:v>
                </c:pt>
                <c:pt idx="939" formatCode="m/d/yyyy\ h:mm">
                  <c:v>36848.229166667174</c:v>
                </c:pt>
                <c:pt idx="940" formatCode="m/d/yyyy\ h:mm">
                  <c:v>36848.250000000509</c:v>
                </c:pt>
                <c:pt idx="941" formatCode="m/d/yyyy\ h:mm">
                  <c:v>36848.270833333845</c:v>
                </c:pt>
                <c:pt idx="942" formatCode="m/d/yyyy\ h:mm">
                  <c:v>36848.291666667181</c:v>
                </c:pt>
                <c:pt idx="943" formatCode="m/d/yyyy\ h:mm">
                  <c:v>36848.312500000517</c:v>
                </c:pt>
                <c:pt idx="944" formatCode="m/d/yyyy\ h:mm">
                  <c:v>36848.333333333852</c:v>
                </c:pt>
                <c:pt idx="945" formatCode="m/d/yyyy\ h:mm">
                  <c:v>36848.354166667188</c:v>
                </c:pt>
                <c:pt idx="946" formatCode="m/d/yyyy\ h:mm">
                  <c:v>36848.375000000524</c:v>
                </c:pt>
                <c:pt idx="947" formatCode="m/d/yyyy\ h:mm">
                  <c:v>36848.39583333386</c:v>
                </c:pt>
                <c:pt idx="948" formatCode="m/d/yyyy\ h:mm">
                  <c:v>36848.416666667195</c:v>
                </c:pt>
                <c:pt idx="949" formatCode="m/d/yyyy\ h:mm">
                  <c:v>36848.437500000531</c:v>
                </c:pt>
                <c:pt idx="950" formatCode="m/d/yyyy\ h:mm">
                  <c:v>36848.458333333867</c:v>
                </c:pt>
                <c:pt idx="951" formatCode="m/d/yyyy\ h:mm">
                  <c:v>36848.479166667203</c:v>
                </c:pt>
                <c:pt idx="952" formatCode="m/d/yyyy\ h:mm">
                  <c:v>36848.500000000538</c:v>
                </c:pt>
                <c:pt idx="953" formatCode="m/d/yyyy\ h:mm">
                  <c:v>36848.520833333874</c:v>
                </c:pt>
                <c:pt idx="954" formatCode="m/d/yyyy\ h:mm">
                  <c:v>36848.54166666721</c:v>
                </c:pt>
                <c:pt idx="955" formatCode="m/d/yyyy\ h:mm">
                  <c:v>36848.562500000546</c:v>
                </c:pt>
                <c:pt idx="956" formatCode="m/d/yyyy\ h:mm">
                  <c:v>36848.583333333881</c:v>
                </c:pt>
                <c:pt idx="957" formatCode="m/d/yyyy\ h:mm">
                  <c:v>36848.604166667217</c:v>
                </c:pt>
                <c:pt idx="958" formatCode="m/d/yyyy\ h:mm">
                  <c:v>36848.625000000553</c:v>
                </c:pt>
                <c:pt idx="959" formatCode="m/d/yyyy\ h:mm">
                  <c:v>36848.645833333889</c:v>
                </c:pt>
                <c:pt idx="960" formatCode="m/d/yyyy\ h:mm">
                  <c:v>36848.666666667224</c:v>
                </c:pt>
                <c:pt idx="961" formatCode="m/d/yyyy\ h:mm">
                  <c:v>36848.68750000056</c:v>
                </c:pt>
                <c:pt idx="962" formatCode="m/d/yyyy\ h:mm">
                  <c:v>36848.708333333896</c:v>
                </c:pt>
                <c:pt idx="963" formatCode="m/d/yyyy\ h:mm">
                  <c:v>36848.729166667232</c:v>
                </c:pt>
                <c:pt idx="964" formatCode="m/d/yyyy\ h:mm">
                  <c:v>36848.750000000568</c:v>
                </c:pt>
                <c:pt idx="965" formatCode="m/d/yyyy\ h:mm">
                  <c:v>36848.770833333903</c:v>
                </c:pt>
                <c:pt idx="966" formatCode="m/d/yyyy\ h:mm">
                  <c:v>36848.791666667239</c:v>
                </c:pt>
                <c:pt idx="967" formatCode="m/d/yyyy\ h:mm">
                  <c:v>36848.812500000575</c:v>
                </c:pt>
                <c:pt idx="968" formatCode="m/d/yyyy\ h:mm">
                  <c:v>36848.833333333911</c:v>
                </c:pt>
                <c:pt idx="969" formatCode="m/d/yyyy\ h:mm">
                  <c:v>36848.854166667246</c:v>
                </c:pt>
                <c:pt idx="970" formatCode="m/d/yyyy\ h:mm">
                  <c:v>36848.875000000582</c:v>
                </c:pt>
                <c:pt idx="971" formatCode="m/d/yyyy\ h:mm">
                  <c:v>36848.895833333918</c:v>
                </c:pt>
                <c:pt idx="972" formatCode="m/d/yyyy\ h:mm">
                  <c:v>36848.916666667254</c:v>
                </c:pt>
                <c:pt idx="973" formatCode="m/d/yyyy\ h:mm">
                  <c:v>36848.937500000589</c:v>
                </c:pt>
                <c:pt idx="974" formatCode="m/d/yyyy\ h:mm">
                  <c:v>36848.958333333925</c:v>
                </c:pt>
                <c:pt idx="975" formatCode="m/d/yyyy\ h:mm">
                  <c:v>36848.979166667261</c:v>
                </c:pt>
                <c:pt idx="976" formatCode="m/d/yyyy\ h:mm">
                  <c:v>36849.000000000597</c:v>
                </c:pt>
                <c:pt idx="977" formatCode="m/d/yyyy\ h:mm">
                  <c:v>36849.020833333932</c:v>
                </c:pt>
                <c:pt idx="978" formatCode="m/d/yyyy\ h:mm">
                  <c:v>36849.041666667268</c:v>
                </c:pt>
                <c:pt idx="979" formatCode="m/d/yyyy\ h:mm">
                  <c:v>36849.062500000604</c:v>
                </c:pt>
                <c:pt idx="980" formatCode="m/d/yyyy\ h:mm">
                  <c:v>36849.08333333394</c:v>
                </c:pt>
                <c:pt idx="981" formatCode="m/d/yyyy\ h:mm">
                  <c:v>36849.104166667275</c:v>
                </c:pt>
                <c:pt idx="982" formatCode="m/d/yyyy\ h:mm">
                  <c:v>36849.125000000611</c:v>
                </c:pt>
                <c:pt idx="983" formatCode="m/d/yyyy\ h:mm">
                  <c:v>36849.145833333947</c:v>
                </c:pt>
                <c:pt idx="984" formatCode="m/d/yyyy\ h:mm">
                  <c:v>36849.166666667283</c:v>
                </c:pt>
                <c:pt idx="985" formatCode="m/d/yyyy\ h:mm">
                  <c:v>36849.187500000618</c:v>
                </c:pt>
                <c:pt idx="986" formatCode="m/d/yyyy\ h:mm">
                  <c:v>36849.208333333954</c:v>
                </c:pt>
                <c:pt idx="987" formatCode="m/d/yyyy\ h:mm">
                  <c:v>36849.22916666729</c:v>
                </c:pt>
                <c:pt idx="988" formatCode="m/d/yyyy\ h:mm">
                  <c:v>36849.250000000626</c:v>
                </c:pt>
                <c:pt idx="989" formatCode="m/d/yyyy\ h:mm">
                  <c:v>36849.270833333961</c:v>
                </c:pt>
                <c:pt idx="990" formatCode="m/d/yyyy\ h:mm">
                  <c:v>36849.291666667297</c:v>
                </c:pt>
                <c:pt idx="991" formatCode="m/d/yyyy\ h:mm">
                  <c:v>36849.312500000633</c:v>
                </c:pt>
                <c:pt idx="992" formatCode="m/d/yyyy\ h:mm">
                  <c:v>36849.333333333969</c:v>
                </c:pt>
                <c:pt idx="993" formatCode="m/d/yyyy\ h:mm">
                  <c:v>36849.354166667305</c:v>
                </c:pt>
                <c:pt idx="994" formatCode="m/d/yyyy\ h:mm">
                  <c:v>36849.37500000064</c:v>
                </c:pt>
                <c:pt idx="995" formatCode="m/d/yyyy\ h:mm">
                  <c:v>36849.395833333976</c:v>
                </c:pt>
                <c:pt idx="996" formatCode="m/d/yyyy\ h:mm">
                  <c:v>36849.416666667312</c:v>
                </c:pt>
                <c:pt idx="997" formatCode="m/d/yyyy\ h:mm">
                  <c:v>36849.437500000648</c:v>
                </c:pt>
                <c:pt idx="998" formatCode="m/d/yyyy\ h:mm">
                  <c:v>36849.458333333983</c:v>
                </c:pt>
                <c:pt idx="999" formatCode="m/d/yyyy\ h:mm">
                  <c:v>36849.479166667319</c:v>
                </c:pt>
                <c:pt idx="1000" formatCode="m/d/yyyy\ h:mm">
                  <c:v>36849.500000000655</c:v>
                </c:pt>
                <c:pt idx="1001" formatCode="m/d/yyyy\ h:mm">
                  <c:v>36849.520833333991</c:v>
                </c:pt>
                <c:pt idx="1002" formatCode="m/d/yyyy\ h:mm">
                  <c:v>36849.541666667326</c:v>
                </c:pt>
                <c:pt idx="1003" formatCode="m/d/yyyy\ h:mm">
                  <c:v>36849.562500000662</c:v>
                </c:pt>
                <c:pt idx="1004" formatCode="m/d/yyyy\ h:mm">
                  <c:v>36849.583333333998</c:v>
                </c:pt>
                <c:pt idx="1005" formatCode="m/d/yyyy\ h:mm">
                  <c:v>36849.604166667334</c:v>
                </c:pt>
                <c:pt idx="1006" formatCode="m/d/yyyy\ h:mm">
                  <c:v>36849.625000000669</c:v>
                </c:pt>
                <c:pt idx="1007" formatCode="m/d/yyyy\ h:mm">
                  <c:v>36849.645833334005</c:v>
                </c:pt>
                <c:pt idx="1008" formatCode="m/d/yyyy\ h:mm">
                  <c:v>36849.666666667341</c:v>
                </c:pt>
                <c:pt idx="1009" formatCode="m/d/yyyy\ h:mm">
                  <c:v>36849.687500000677</c:v>
                </c:pt>
                <c:pt idx="1010" formatCode="m/d/yyyy\ h:mm">
                  <c:v>36849.708333334012</c:v>
                </c:pt>
                <c:pt idx="1011" formatCode="m/d/yyyy\ h:mm">
                  <c:v>36849.729166667348</c:v>
                </c:pt>
                <c:pt idx="1012" formatCode="m/d/yyyy\ h:mm">
                  <c:v>36849.750000000684</c:v>
                </c:pt>
                <c:pt idx="1013" formatCode="m/d/yyyy\ h:mm">
                  <c:v>36849.77083333402</c:v>
                </c:pt>
                <c:pt idx="1014" formatCode="m/d/yyyy\ h:mm">
                  <c:v>36849.791666667355</c:v>
                </c:pt>
                <c:pt idx="1015" formatCode="m/d/yyyy\ h:mm">
                  <c:v>36849.812500000691</c:v>
                </c:pt>
                <c:pt idx="1016" formatCode="m/d/yyyy\ h:mm">
                  <c:v>36849.833333334027</c:v>
                </c:pt>
                <c:pt idx="1017" formatCode="m/d/yyyy\ h:mm">
                  <c:v>36849.854166667363</c:v>
                </c:pt>
                <c:pt idx="1018" formatCode="m/d/yyyy\ h:mm">
                  <c:v>36849.875000000698</c:v>
                </c:pt>
                <c:pt idx="1019" formatCode="m/d/yyyy\ h:mm">
                  <c:v>36849.895833334034</c:v>
                </c:pt>
                <c:pt idx="1020" formatCode="m/d/yyyy\ h:mm">
                  <c:v>36849.91666666737</c:v>
                </c:pt>
                <c:pt idx="1021" formatCode="m/d/yyyy\ h:mm">
                  <c:v>36849.937500000706</c:v>
                </c:pt>
                <c:pt idx="1022" formatCode="m/d/yyyy\ h:mm">
                  <c:v>36849.958333334042</c:v>
                </c:pt>
                <c:pt idx="1023" formatCode="m/d/yyyy\ h:mm">
                  <c:v>36849.979166667377</c:v>
                </c:pt>
                <c:pt idx="1024" formatCode="m/d/yyyy\ h:mm">
                  <c:v>36850.000000000713</c:v>
                </c:pt>
                <c:pt idx="1025" formatCode="m/d/yyyy\ h:mm">
                  <c:v>36850.020833334049</c:v>
                </c:pt>
                <c:pt idx="1026" formatCode="m/d/yyyy\ h:mm">
                  <c:v>36850.041666667385</c:v>
                </c:pt>
                <c:pt idx="1027" formatCode="m/d/yyyy\ h:mm">
                  <c:v>36850.06250000072</c:v>
                </c:pt>
                <c:pt idx="1028" formatCode="m/d/yyyy\ h:mm">
                  <c:v>36850.083333334056</c:v>
                </c:pt>
                <c:pt idx="1029" formatCode="m/d/yyyy\ h:mm">
                  <c:v>36850.104166667392</c:v>
                </c:pt>
                <c:pt idx="1030" formatCode="m/d/yyyy\ h:mm">
                  <c:v>36850.125000000728</c:v>
                </c:pt>
                <c:pt idx="1031" formatCode="m/d/yyyy\ h:mm">
                  <c:v>36850.145833334063</c:v>
                </c:pt>
                <c:pt idx="1032" formatCode="m/d/yyyy\ h:mm">
                  <c:v>36850.166666667399</c:v>
                </c:pt>
                <c:pt idx="1033" formatCode="m/d/yyyy\ h:mm">
                  <c:v>36850.187500000735</c:v>
                </c:pt>
                <c:pt idx="1034" formatCode="m/d/yyyy\ h:mm">
                  <c:v>36850.208333334071</c:v>
                </c:pt>
                <c:pt idx="1035" formatCode="m/d/yyyy\ h:mm">
                  <c:v>36850.229166667406</c:v>
                </c:pt>
                <c:pt idx="1036" formatCode="m/d/yyyy\ h:mm">
                  <c:v>36850.250000000742</c:v>
                </c:pt>
                <c:pt idx="1037" formatCode="m/d/yyyy\ h:mm">
                  <c:v>36850.270833334078</c:v>
                </c:pt>
                <c:pt idx="1038" formatCode="m/d/yyyy\ h:mm">
                  <c:v>36850.291666667414</c:v>
                </c:pt>
                <c:pt idx="1039" formatCode="m/d/yyyy\ h:mm">
                  <c:v>36850.312500000749</c:v>
                </c:pt>
                <c:pt idx="1040" formatCode="m/d/yyyy\ h:mm">
                  <c:v>36850.333333334085</c:v>
                </c:pt>
                <c:pt idx="1041" formatCode="m/d/yyyy\ h:mm">
                  <c:v>36850.354166667421</c:v>
                </c:pt>
                <c:pt idx="1042" formatCode="m/d/yyyy\ h:mm">
                  <c:v>36850.375000000757</c:v>
                </c:pt>
                <c:pt idx="1043" formatCode="m/d/yyyy\ h:mm">
                  <c:v>36850.395833334092</c:v>
                </c:pt>
                <c:pt idx="1044" formatCode="m/d/yyyy\ h:mm">
                  <c:v>36850.416666667428</c:v>
                </c:pt>
                <c:pt idx="1045" formatCode="m/d/yyyy\ h:mm">
                  <c:v>36850.437500000764</c:v>
                </c:pt>
                <c:pt idx="1046" formatCode="m/d/yyyy\ h:mm">
                  <c:v>36850.4583333341</c:v>
                </c:pt>
                <c:pt idx="1047" formatCode="m/d/yyyy\ h:mm">
                  <c:v>36850.479166667435</c:v>
                </c:pt>
                <c:pt idx="1048" formatCode="m/d/yyyy\ h:mm">
                  <c:v>36850.500000000771</c:v>
                </c:pt>
                <c:pt idx="1049" formatCode="m/d/yyyy\ h:mm">
                  <c:v>36850.520833334107</c:v>
                </c:pt>
                <c:pt idx="1050" formatCode="m/d/yyyy\ h:mm">
                  <c:v>36850.541666667443</c:v>
                </c:pt>
                <c:pt idx="1051" formatCode="m/d/yyyy\ h:mm">
                  <c:v>36850.562500000779</c:v>
                </c:pt>
                <c:pt idx="1052" formatCode="m/d/yyyy\ h:mm">
                  <c:v>36850.583333334114</c:v>
                </c:pt>
                <c:pt idx="1053" formatCode="m/d/yyyy\ h:mm">
                  <c:v>36850.60416666745</c:v>
                </c:pt>
                <c:pt idx="1054" formatCode="m/d/yyyy\ h:mm">
                  <c:v>36850.625000000786</c:v>
                </c:pt>
                <c:pt idx="1055" formatCode="m/d/yyyy\ h:mm">
                  <c:v>36850.645833334122</c:v>
                </c:pt>
                <c:pt idx="1056" formatCode="m/d/yyyy\ h:mm">
                  <c:v>36850.666666667457</c:v>
                </c:pt>
                <c:pt idx="1057" formatCode="m/d/yyyy\ h:mm">
                  <c:v>36850.687500000793</c:v>
                </c:pt>
                <c:pt idx="1058" formatCode="m/d/yyyy\ h:mm">
                  <c:v>36850.708333334129</c:v>
                </c:pt>
                <c:pt idx="1059" formatCode="m/d/yyyy\ h:mm">
                  <c:v>36850.729166667465</c:v>
                </c:pt>
                <c:pt idx="1060" formatCode="m/d/yyyy\ h:mm">
                  <c:v>36850.7500000008</c:v>
                </c:pt>
                <c:pt idx="1061" formatCode="m/d/yyyy\ h:mm">
                  <c:v>36850.770833334136</c:v>
                </c:pt>
                <c:pt idx="1062" formatCode="m/d/yyyy\ h:mm">
                  <c:v>36850.791666667472</c:v>
                </c:pt>
                <c:pt idx="1063" formatCode="m/d/yyyy\ h:mm">
                  <c:v>36850.812500000808</c:v>
                </c:pt>
                <c:pt idx="1064" formatCode="m/d/yyyy\ h:mm">
                  <c:v>36850.833333334143</c:v>
                </c:pt>
                <c:pt idx="1065" formatCode="m/d/yyyy\ h:mm">
                  <c:v>36850.854166667479</c:v>
                </c:pt>
                <c:pt idx="1066" formatCode="m/d/yyyy\ h:mm">
                  <c:v>36850.875000000815</c:v>
                </c:pt>
                <c:pt idx="1067" formatCode="m/d/yyyy\ h:mm">
                  <c:v>36850.895833334151</c:v>
                </c:pt>
                <c:pt idx="1068" formatCode="m/d/yyyy\ h:mm">
                  <c:v>36850.916666667486</c:v>
                </c:pt>
                <c:pt idx="1069" formatCode="m/d/yyyy\ h:mm">
                  <c:v>36850.937500000822</c:v>
                </c:pt>
                <c:pt idx="1070" formatCode="m/d/yyyy\ h:mm">
                  <c:v>36850.958333334158</c:v>
                </c:pt>
                <c:pt idx="1071" formatCode="m/d/yyyy\ h:mm">
                  <c:v>36850.979166667494</c:v>
                </c:pt>
                <c:pt idx="1072" formatCode="m/d/yyyy\ h:mm">
                  <c:v>36851.000000000829</c:v>
                </c:pt>
                <c:pt idx="1073" formatCode="m/d/yyyy\ h:mm">
                  <c:v>36851.020833334165</c:v>
                </c:pt>
                <c:pt idx="1074" formatCode="m/d/yyyy\ h:mm">
                  <c:v>36851.041666667501</c:v>
                </c:pt>
                <c:pt idx="1075" formatCode="m/d/yyyy\ h:mm">
                  <c:v>36851.062500000837</c:v>
                </c:pt>
                <c:pt idx="1076" formatCode="m/d/yyyy\ h:mm">
                  <c:v>36851.083333334172</c:v>
                </c:pt>
                <c:pt idx="1077" formatCode="m/d/yyyy\ h:mm">
                  <c:v>36851.104166667508</c:v>
                </c:pt>
                <c:pt idx="1078" formatCode="m/d/yyyy\ h:mm">
                  <c:v>36851.125000000844</c:v>
                </c:pt>
                <c:pt idx="1079" formatCode="m/d/yyyy\ h:mm">
                  <c:v>36851.14583333418</c:v>
                </c:pt>
                <c:pt idx="1080" formatCode="m/d/yyyy\ h:mm">
                  <c:v>36851.166666667516</c:v>
                </c:pt>
                <c:pt idx="1081" formatCode="m/d/yyyy\ h:mm">
                  <c:v>36851.187500000851</c:v>
                </c:pt>
                <c:pt idx="1082" formatCode="m/d/yyyy\ h:mm">
                  <c:v>36851.208333334187</c:v>
                </c:pt>
                <c:pt idx="1083" formatCode="m/d/yyyy\ h:mm">
                  <c:v>36851.229166667523</c:v>
                </c:pt>
                <c:pt idx="1084" formatCode="m/d/yyyy\ h:mm">
                  <c:v>36851.250000000859</c:v>
                </c:pt>
                <c:pt idx="1085" formatCode="m/d/yyyy\ h:mm">
                  <c:v>36851.270833334194</c:v>
                </c:pt>
                <c:pt idx="1086" formatCode="m/d/yyyy\ h:mm">
                  <c:v>36851.29166666753</c:v>
                </c:pt>
                <c:pt idx="1087" formatCode="m/d/yyyy\ h:mm">
                  <c:v>36851.312500000866</c:v>
                </c:pt>
                <c:pt idx="1088" formatCode="m/d/yyyy\ h:mm">
                  <c:v>36851.333333334202</c:v>
                </c:pt>
                <c:pt idx="1089" formatCode="m/d/yyyy\ h:mm">
                  <c:v>36851.354166667537</c:v>
                </c:pt>
                <c:pt idx="1090" formatCode="m/d/yyyy\ h:mm">
                  <c:v>36851.375000000873</c:v>
                </c:pt>
                <c:pt idx="1091" formatCode="m/d/yyyy\ h:mm">
                  <c:v>36851.395833334209</c:v>
                </c:pt>
                <c:pt idx="1092" formatCode="m/d/yyyy\ h:mm">
                  <c:v>36851.416666667545</c:v>
                </c:pt>
                <c:pt idx="1093" formatCode="m/d/yyyy\ h:mm">
                  <c:v>36851.43750000088</c:v>
                </c:pt>
                <c:pt idx="1094" formatCode="m/d/yyyy\ h:mm">
                  <c:v>36851.458333334216</c:v>
                </c:pt>
                <c:pt idx="1095" formatCode="m/d/yyyy\ h:mm">
                  <c:v>36851.479166667552</c:v>
                </c:pt>
                <c:pt idx="1096" formatCode="m/d/yyyy\ h:mm">
                  <c:v>36851.500000000888</c:v>
                </c:pt>
                <c:pt idx="1097" formatCode="m/d/yyyy\ h:mm">
                  <c:v>36851.520833334223</c:v>
                </c:pt>
                <c:pt idx="1098" formatCode="m/d/yyyy\ h:mm">
                  <c:v>36851.541666667559</c:v>
                </c:pt>
                <c:pt idx="1099" formatCode="m/d/yyyy\ h:mm">
                  <c:v>36851.562500000895</c:v>
                </c:pt>
                <c:pt idx="1100" formatCode="m/d/yyyy\ h:mm">
                  <c:v>36851.583333334231</c:v>
                </c:pt>
                <c:pt idx="1101" formatCode="m/d/yyyy\ h:mm">
                  <c:v>36851.604166667566</c:v>
                </c:pt>
                <c:pt idx="1102" formatCode="m/d/yyyy\ h:mm">
                  <c:v>36851.625000000902</c:v>
                </c:pt>
                <c:pt idx="1103" formatCode="m/d/yyyy\ h:mm">
                  <c:v>36851.645833334238</c:v>
                </c:pt>
                <c:pt idx="1104" formatCode="m/d/yyyy\ h:mm">
                  <c:v>36851.666666667574</c:v>
                </c:pt>
                <c:pt idx="1105" formatCode="m/d/yyyy\ h:mm">
                  <c:v>36851.687500000909</c:v>
                </c:pt>
                <c:pt idx="1106" formatCode="m/d/yyyy\ h:mm">
                  <c:v>36851.708333334245</c:v>
                </c:pt>
                <c:pt idx="1107" formatCode="m/d/yyyy\ h:mm">
                  <c:v>36851.729166667581</c:v>
                </c:pt>
                <c:pt idx="1108" formatCode="m/d/yyyy\ h:mm">
                  <c:v>36851.750000000917</c:v>
                </c:pt>
                <c:pt idx="1109" formatCode="m/d/yyyy\ h:mm">
                  <c:v>36851.770833334253</c:v>
                </c:pt>
                <c:pt idx="1110" formatCode="m/d/yyyy\ h:mm">
                  <c:v>36851.791666667588</c:v>
                </c:pt>
                <c:pt idx="1111" formatCode="m/d/yyyy\ h:mm">
                  <c:v>36851.812500000924</c:v>
                </c:pt>
                <c:pt idx="1112" formatCode="m/d/yyyy\ h:mm">
                  <c:v>36851.83333333426</c:v>
                </c:pt>
                <c:pt idx="1113" formatCode="m/d/yyyy\ h:mm">
                  <c:v>36851.854166667596</c:v>
                </c:pt>
                <c:pt idx="1114" formatCode="m/d/yyyy\ h:mm">
                  <c:v>36851.875000000931</c:v>
                </c:pt>
                <c:pt idx="1115" formatCode="m/d/yyyy\ h:mm">
                  <c:v>36851.895833334267</c:v>
                </c:pt>
                <c:pt idx="1116" formatCode="m/d/yyyy\ h:mm">
                  <c:v>36851.916666667603</c:v>
                </c:pt>
                <c:pt idx="1117" formatCode="m/d/yyyy\ h:mm">
                  <c:v>36851.937500000939</c:v>
                </c:pt>
                <c:pt idx="1118" formatCode="m/d/yyyy\ h:mm">
                  <c:v>36851.958333334274</c:v>
                </c:pt>
                <c:pt idx="1119" formatCode="m/d/yyyy\ h:mm">
                  <c:v>36851.97916666761</c:v>
                </c:pt>
                <c:pt idx="1120" formatCode="m/d/yyyy\ h:mm">
                  <c:v>36852.000000000946</c:v>
                </c:pt>
                <c:pt idx="1121" formatCode="m/d/yyyy\ h:mm">
                  <c:v>36852.020833334282</c:v>
                </c:pt>
                <c:pt idx="1122" formatCode="m/d/yyyy\ h:mm">
                  <c:v>36852.041666667617</c:v>
                </c:pt>
                <c:pt idx="1123" formatCode="m/d/yyyy\ h:mm">
                  <c:v>36852.062500000953</c:v>
                </c:pt>
                <c:pt idx="1124" formatCode="m/d/yyyy\ h:mm">
                  <c:v>36852.083333334289</c:v>
                </c:pt>
                <c:pt idx="1125" formatCode="m/d/yyyy\ h:mm">
                  <c:v>36852.104166667625</c:v>
                </c:pt>
                <c:pt idx="1126" formatCode="m/d/yyyy\ h:mm">
                  <c:v>36852.12500000096</c:v>
                </c:pt>
                <c:pt idx="1127" formatCode="m/d/yyyy\ h:mm">
                  <c:v>36852.145833334296</c:v>
                </c:pt>
                <c:pt idx="1128" formatCode="m/d/yyyy\ h:mm">
                  <c:v>36852.166666667632</c:v>
                </c:pt>
                <c:pt idx="1129" formatCode="m/d/yyyy\ h:mm">
                  <c:v>36852.187500000968</c:v>
                </c:pt>
                <c:pt idx="1130" formatCode="m/d/yyyy\ h:mm">
                  <c:v>36852.208333334303</c:v>
                </c:pt>
                <c:pt idx="1131" formatCode="m/d/yyyy\ h:mm">
                  <c:v>36852.229166667639</c:v>
                </c:pt>
                <c:pt idx="1132" formatCode="m/d/yyyy\ h:mm">
                  <c:v>36852.250000000975</c:v>
                </c:pt>
                <c:pt idx="1133" formatCode="m/d/yyyy\ h:mm">
                  <c:v>36852.270833334311</c:v>
                </c:pt>
                <c:pt idx="1134" formatCode="m/d/yyyy\ h:mm">
                  <c:v>36852.291666667646</c:v>
                </c:pt>
                <c:pt idx="1135" formatCode="m/d/yyyy\ h:mm">
                  <c:v>36852.312500000982</c:v>
                </c:pt>
                <c:pt idx="1136" formatCode="m/d/yyyy\ h:mm">
                  <c:v>36852.333333334318</c:v>
                </c:pt>
                <c:pt idx="1137" formatCode="m/d/yyyy\ h:mm">
                  <c:v>36852.354166667654</c:v>
                </c:pt>
                <c:pt idx="1138" formatCode="m/d/yyyy\ h:mm">
                  <c:v>36852.37500000099</c:v>
                </c:pt>
                <c:pt idx="1139" formatCode="m/d/yyyy\ h:mm">
                  <c:v>36852.395833334325</c:v>
                </c:pt>
                <c:pt idx="1140" formatCode="m/d/yyyy\ h:mm">
                  <c:v>36852.416666667661</c:v>
                </c:pt>
                <c:pt idx="1141" formatCode="m/d/yyyy\ h:mm">
                  <c:v>36852.437500000997</c:v>
                </c:pt>
                <c:pt idx="1142" formatCode="m/d/yyyy\ h:mm">
                  <c:v>36852.458333334333</c:v>
                </c:pt>
                <c:pt idx="1143" formatCode="m/d/yyyy\ h:mm">
                  <c:v>36852.479166667668</c:v>
                </c:pt>
                <c:pt idx="1144" formatCode="m/d/yyyy\ h:mm">
                  <c:v>36852.500000001004</c:v>
                </c:pt>
                <c:pt idx="1145" formatCode="m/d/yyyy\ h:mm">
                  <c:v>36852.52083333434</c:v>
                </c:pt>
                <c:pt idx="1146" formatCode="m/d/yyyy\ h:mm">
                  <c:v>36852.541666667676</c:v>
                </c:pt>
                <c:pt idx="1147" formatCode="m/d/yyyy\ h:mm">
                  <c:v>36852.562500001011</c:v>
                </c:pt>
                <c:pt idx="1148" formatCode="m/d/yyyy\ h:mm">
                  <c:v>36852.583333334347</c:v>
                </c:pt>
                <c:pt idx="1149" formatCode="m/d/yyyy\ h:mm">
                  <c:v>36852.604166667683</c:v>
                </c:pt>
                <c:pt idx="1150" formatCode="m/d/yyyy\ h:mm">
                  <c:v>36852.625000001019</c:v>
                </c:pt>
                <c:pt idx="1151" formatCode="m/d/yyyy\ h:mm">
                  <c:v>36852.645833334354</c:v>
                </c:pt>
                <c:pt idx="1152" formatCode="m/d/yyyy\ h:mm">
                  <c:v>36852.66666666769</c:v>
                </c:pt>
                <c:pt idx="1153" formatCode="m/d/yyyy\ h:mm">
                  <c:v>36852.687500001026</c:v>
                </c:pt>
                <c:pt idx="1154" formatCode="m/d/yyyy\ h:mm">
                  <c:v>36852.708333334362</c:v>
                </c:pt>
                <c:pt idx="1155" formatCode="m/d/yyyy\ h:mm">
                  <c:v>36852.729166667697</c:v>
                </c:pt>
                <c:pt idx="1156" formatCode="m/d/yyyy\ h:mm">
                  <c:v>36852.750000001033</c:v>
                </c:pt>
                <c:pt idx="1157" formatCode="m/d/yyyy\ h:mm">
                  <c:v>36852.770833334369</c:v>
                </c:pt>
                <c:pt idx="1158" formatCode="m/d/yyyy\ h:mm">
                  <c:v>36852.791666667705</c:v>
                </c:pt>
                <c:pt idx="1159" formatCode="m/d/yyyy\ h:mm">
                  <c:v>36852.81250000104</c:v>
                </c:pt>
                <c:pt idx="1160" formatCode="m/d/yyyy\ h:mm">
                  <c:v>36852.833333334376</c:v>
                </c:pt>
                <c:pt idx="1161" formatCode="m/d/yyyy\ h:mm">
                  <c:v>36852.854166667712</c:v>
                </c:pt>
                <c:pt idx="1162" formatCode="m/d/yyyy\ h:mm">
                  <c:v>36852.875000001048</c:v>
                </c:pt>
                <c:pt idx="1163" formatCode="m/d/yyyy\ h:mm">
                  <c:v>36852.895833334383</c:v>
                </c:pt>
                <c:pt idx="1164" formatCode="m/d/yyyy\ h:mm">
                  <c:v>36852.916666667719</c:v>
                </c:pt>
                <c:pt idx="1165" formatCode="m/d/yyyy\ h:mm">
                  <c:v>36852.937500001055</c:v>
                </c:pt>
                <c:pt idx="1166" formatCode="m/d/yyyy\ h:mm">
                  <c:v>36852.958333334391</c:v>
                </c:pt>
                <c:pt idx="1167" formatCode="m/d/yyyy\ h:mm">
                  <c:v>36852.979166667727</c:v>
                </c:pt>
                <c:pt idx="1168" formatCode="m/d/yyyy\ h:mm">
                  <c:v>36853.000000001062</c:v>
                </c:pt>
                <c:pt idx="1169" formatCode="m/d/yyyy\ h:mm">
                  <c:v>36853.020833334398</c:v>
                </c:pt>
                <c:pt idx="1170" formatCode="m/d/yyyy\ h:mm">
                  <c:v>36853.041666667734</c:v>
                </c:pt>
                <c:pt idx="1171" formatCode="m/d/yyyy\ h:mm">
                  <c:v>36853.06250000107</c:v>
                </c:pt>
                <c:pt idx="1172" formatCode="m/d/yyyy\ h:mm">
                  <c:v>36853.083333334405</c:v>
                </c:pt>
                <c:pt idx="1173" formatCode="m/d/yyyy\ h:mm">
                  <c:v>36853.104166667741</c:v>
                </c:pt>
                <c:pt idx="1174" formatCode="m/d/yyyy\ h:mm">
                  <c:v>36853.125000001077</c:v>
                </c:pt>
                <c:pt idx="1175" formatCode="m/d/yyyy\ h:mm">
                  <c:v>36853.145833334413</c:v>
                </c:pt>
                <c:pt idx="1176" formatCode="m/d/yyyy\ h:mm">
                  <c:v>36853.166666667748</c:v>
                </c:pt>
                <c:pt idx="1177" formatCode="m/d/yyyy\ h:mm">
                  <c:v>36853.187500001084</c:v>
                </c:pt>
                <c:pt idx="1178" formatCode="m/d/yyyy\ h:mm">
                  <c:v>36853.20833333442</c:v>
                </c:pt>
                <c:pt idx="1179" formatCode="m/d/yyyy\ h:mm">
                  <c:v>36853.229166667756</c:v>
                </c:pt>
                <c:pt idx="1180" formatCode="m/d/yyyy\ h:mm">
                  <c:v>36853.250000001091</c:v>
                </c:pt>
                <c:pt idx="1181" formatCode="m/d/yyyy\ h:mm">
                  <c:v>36853.270833334427</c:v>
                </c:pt>
                <c:pt idx="1182" formatCode="m/d/yyyy\ h:mm">
                  <c:v>36853.291666667763</c:v>
                </c:pt>
                <c:pt idx="1183" formatCode="m/d/yyyy\ h:mm">
                  <c:v>36853.312500001099</c:v>
                </c:pt>
                <c:pt idx="1184" formatCode="m/d/yyyy\ h:mm">
                  <c:v>36853.333333334434</c:v>
                </c:pt>
                <c:pt idx="1185" formatCode="m/d/yyyy\ h:mm">
                  <c:v>36853.35416666777</c:v>
                </c:pt>
                <c:pt idx="1186" formatCode="m/d/yyyy\ h:mm">
                  <c:v>36853.375000001106</c:v>
                </c:pt>
                <c:pt idx="1187" formatCode="m/d/yyyy\ h:mm">
                  <c:v>36853.395833334442</c:v>
                </c:pt>
                <c:pt idx="1188" formatCode="m/d/yyyy\ h:mm">
                  <c:v>36853.416666667777</c:v>
                </c:pt>
                <c:pt idx="1189" formatCode="m/d/yyyy\ h:mm">
                  <c:v>36853.437500001113</c:v>
                </c:pt>
                <c:pt idx="1190" formatCode="m/d/yyyy\ h:mm">
                  <c:v>36853.458333334449</c:v>
                </c:pt>
                <c:pt idx="1191" formatCode="m/d/yyyy\ h:mm">
                  <c:v>36853.479166667785</c:v>
                </c:pt>
                <c:pt idx="1192" formatCode="m/d/yyyy\ h:mm">
                  <c:v>36853.50000000112</c:v>
                </c:pt>
                <c:pt idx="1193" formatCode="m/d/yyyy\ h:mm">
                  <c:v>36853.520833334456</c:v>
                </c:pt>
                <c:pt idx="1194" formatCode="m/d/yyyy\ h:mm">
                  <c:v>36853.541666667792</c:v>
                </c:pt>
                <c:pt idx="1195" formatCode="m/d/yyyy\ h:mm">
                  <c:v>36853.562500001128</c:v>
                </c:pt>
                <c:pt idx="1196" formatCode="m/d/yyyy\ h:mm">
                  <c:v>36853.583333334464</c:v>
                </c:pt>
                <c:pt idx="1197" formatCode="m/d/yyyy\ h:mm">
                  <c:v>36853.604166667799</c:v>
                </c:pt>
                <c:pt idx="1198" formatCode="m/d/yyyy\ h:mm">
                  <c:v>36853.625000001135</c:v>
                </c:pt>
                <c:pt idx="1199" formatCode="m/d/yyyy\ h:mm">
                  <c:v>36853.645833334471</c:v>
                </c:pt>
                <c:pt idx="1200" formatCode="m/d/yyyy\ h:mm">
                  <c:v>36853.666666667807</c:v>
                </c:pt>
                <c:pt idx="1201" formatCode="m/d/yyyy\ h:mm">
                  <c:v>36853.687500001142</c:v>
                </c:pt>
                <c:pt idx="1202" formatCode="m/d/yyyy\ h:mm">
                  <c:v>36853.708333334478</c:v>
                </c:pt>
                <c:pt idx="1203" formatCode="m/d/yyyy\ h:mm">
                  <c:v>36853.729166667814</c:v>
                </c:pt>
                <c:pt idx="1204" formatCode="m/d/yyyy\ h:mm">
                  <c:v>36853.75000000115</c:v>
                </c:pt>
                <c:pt idx="1205" formatCode="m/d/yyyy\ h:mm">
                  <c:v>36853.770833334485</c:v>
                </c:pt>
                <c:pt idx="1206" formatCode="m/d/yyyy\ h:mm">
                  <c:v>36853.791666667821</c:v>
                </c:pt>
                <c:pt idx="1207" formatCode="m/d/yyyy\ h:mm">
                  <c:v>36853.812500001157</c:v>
                </c:pt>
                <c:pt idx="1208" formatCode="m/d/yyyy\ h:mm">
                  <c:v>36853.833333334493</c:v>
                </c:pt>
                <c:pt idx="1209" formatCode="m/d/yyyy\ h:mm">
                  <c:v>36853.854166667828</c:v>
                </c:pt>
                <c:pt idx="1210" formatCode="m/d/yyyy\ h:mm">
                  <c:v>36853.875000001164</c:v>
                </c:pt>
                <c:pt idx="1211" formatCode="m/d/yyyy\ h:mm">
                  <c:v>36853.8958333345</c:v>
                </c:pt>
                <c:pt idx="1212" formatCode="m/d/yyyy\ h:mm">
                  <c:v>36853.916666667836</c:v>
                </c:pt>
                <c:pt idx="1213" formatCode="m/d/yyyy\ h:mm">
                  <c:v>36853.937500001171</c:v>
                </c:pt>
                <c:pt idx="1214" formatCode="m/d/yyyy\ h:mm">
                  <c:v>36853.958333334507</c:v>
                </c:pt>
                <c:pt idx="1215" formatCode="m/d/yyyy\ h:mm">
                  <c:v>36853.979166667843</c:v>
                </c:pt>
                <c:pt idx="1216" formatCode="m/d/yyyy\ h:mm">
                  <c:v>36854.000000001179</c:v>
                </c:pt>
                <c:pt idx="1217" formatCode="m/d/yyyy\ h:mm">
                  <c:v>36854.020833334514</c:v>
                </c:pt>
                <c:pt idx="1218" formatCode="m/d/yyyy\ h:mm">
                  <c:v>36854.04166666785</c:v>
                </c:pt>
                <c:pt idx="1219" formatCode="m/d/yyyy\ h:mm">
                  <c:v>36854.062500001186</c:v>
                </c:pt>
                <c:pt idx="1220" formatCode="m/d/yyyy\ h:mm">
                  <c:v>36854.083333334522</c:v>
                </c:pt>
                <c:pt idx="1221" formatCode="m/d/yyyy\ h:mm">
                  <c:v>36854.104166667857</c:v>
                </c:pt>
                <c:pt idx="1222" formatCode="m/d/yyyy\ h:mm">
                  <c:v>36854.125000001193</c:v>
                </c:pt>
                <c:pt idx="1223" formatCode="m/d/yyyy\ h:mm">
                  <c:v>36854.145833334529</c:v>
                </c:pt>
                <c:pt idx="1224" formatCode="m/d/yyyy\ h:mm">
                  <c:v>36854.166666667865</c:v>
                </c:pt>
                <c:pt idx="1225" formatCode="m/d/yyyy\ h:mm">
                  <c:v>36854.187500001201</c:v>
                </c:pt>
                <c:pt idx="1226" formatCode="m/d/yyyy\ h:mm">
                  <c:v>36854.208333334536</c:v>
                </c:pt>
                <c:pt idx="1227" formatCode="m/d/yyyy\ h:mm">
                  <c:v>36854.229166667872</c:v>
                </c:pt>
                <c:pt idx="1228" formatCode="m/d/yyyy\ h:mm">
                  <c:v>36854.250000001208</c:v>
                </c:pt>
                <c:pt idx="1229" formatCode="m/d/yyyy\ h:mm">
                  <c:v>36854.270833334544</c:v>
                </c:pt>
                <c:pt idx="1230" formatCode="m/d/yyyy\ h:mm">
                  <c:v>36854.291666667879</c:v>
                </c:pt>
                <c:pt idx="1231" formatCode="m/d/yyyy\ h:mm">
                  <c:v>36854.312500001215</c:v>
                </c:pt>
                <c:pt idx="1232" formatCode="m/d/yyyy\ h:mm">
                  <c:v>36854.333333334551</c:v>
                </c:pt>
                <c:pt idx="1233" formatCode="m/d/yyyy\ h:mm">
                  <c:v>36854.354166667887</c:v>
                </c:pt>
                <c:pt idx="1234" formatCode="m/d/yyyy\ h:mm">
                  <c:v>36854.375000001222</c:v>
                </c:pt>
                <c:pt idx="1235" formatCode="m/d/yyyy\ h:mm">
                  <c:v>36854.395833334558</c:v>
                </c:pt>
                <c:pt idx="1236" formatCode="m/d/yyyy\ h:mm">
                  <c:v>36854.416666667894</c:v>
                </c:pt>
                <c:pt idx="1237" formatCode="m/d/yyyy\ h:mm">
                  <c:v>36854.43750000123</c:v>
                </c:pt>
                <c:pt idx="1238" formatCode="m/d/yyyy\ h:mm">
                  <c:v>36854.458333334565</c:v>
                </c:pt>
                <c:pt idx="1239" formatCode="m/d/yyyy\ h:mm">
                  <c:v>36854.479166667901</c:v>
                </c:pt>
                <c:pt idx="1240" formatCode="m/d/yyyy\ h:mm">
                  <c:v>36854.500000001237</c:v>
                </c:pt>
                <c:pt idx="1241" formatCode="m/d/yyyy\ h:mm">
                  <c:v>36854.520833334573</c:v>
                </c:pt>
                <c:pt idx="1242" formatCode="m/d/yyyy\ h:mm">
                  <c:v>36854.541666667908</c:v>
                </c:pt>
                <c:pt idx="1243" formatCode="m/d/yyyy\ h:mm">
                  <c:v>36854.562500001244</c:v>
                </c:pt>
                <c:pt idx="1244" formatCode="m/d/yyyy\ h:mm">
                  <c:v>36854.58333333458</c:v>
                </c:pt>
                <c:pt idx="1245" formatCode="m/d/yyyy\ h:mm">
                  <c:v>36854.604166667916</c:v>
                </c:pt>
                <c:pt idx="1246" formatCode="m/d/yyyy\ h:mm">
                  <c:v>36854.625000001251</c:v>
                </c:pt>
                <c:pt idx="1247" formatCode="m/d/yyyy\ h:mm">
                  <c:v>36854.645833334587</c:v>
                </c:pt>
                <c:pt idx="1248" formatCode="m/d/yyyy\ h:mm">
                  <c:v>36854.666666667923</c:v>
                </c:pt>
                <c:pt idx="1249" formatCode="m/d/yyyy\ h:mm">
                  <c:v>36854.687500001259</c:v>
                </c:pt>
                <c:pt idx="1250" formatCode="m/d/yyyy\ h:mm">
                  <c:v>36854.708333334594</c:v>
                </c:pt>
                <c:pt idx="1251" formatCode="m/d/yyyy\ h:mm">
                  <c:v>36854.72916666793</c:v>
                </c:pt>
                <c:pt idx="1252" formatCode="m/d/yyyy\ h:mm">
                  <c:v>36854.750000001266</c:v>
                </c:pt>
                <c:pt idx="1253" formatCode="m/d/yyyy\ h:mm">
                  <c:v>36854.770833334602</c:v>
                </c:pt>
                <c:pt idx="1254" formatCode="m/d/yyyy\ h:mm">
                  <c:v>36854.791666667938</c:v>
                </c:pt>
                <c:pt idx="1255" formatCode="m/d/yyyy\ h:mm">
                  <c:v>36854.812500001273</c:v>
                </c:pt>
                <c:pt idx="1256" formatCode="m/d/yyyy\ h:mm">
                  <c:v>36854.833333334609</c:v>
                </c:pt>
                <c:pt idx="1257" formatCode="m/d/yyyy\ h:mm">
                  <c:v>36854.854166667945</c:v>
                </c:pt>
                <c:pt idx="1258" formatCode="m/d/yyyy\ h:mm">
                  <c:v>36854.875000001281</c:v>
                </c:pt>
                <c:pt idx="1259" formatCode="m/d/yyyy\ h:mm">
                  <c:v>36854.895833334616</c:v>
                </c:pt>
                <c:pt idx="1260" formatCode="m/d/yyyy\ h:mm">
                  <c:v>36854.916666667952</c:v>
                </c:pt>
                <c:pt idx="1261" formatCode="m/d/yyyy\ h:mm">
                  <c:v>36854.937500001288</c:v>
                </c:pt>
                <c:pt idx="1262" formatCode="m/d/yyyy\ h:mm">
                  <c:v>36854.958333334624</c:v>
                </c:pt>
                <c:pt idx="1263" formatCode="m/d/yyyy\ h:mm">
                  <c:v>36854.979166667959</c:v>
                </c:pt>
                <c:pt idx="1264" formatCode="m/d/yyyy\ h:mm">
                  <c:v>36855.000000001295</c:v>
                </c:pt>
                <c:pt idx="1265" formatCode="m/d/yyyy\ h:mm">
                  <c:v>36855.020833334631</c:v>
                </c:pt>
                <c:pt idx="1266" formatCode="m/d/yyyy\ h:mm">
                  <c:v>36855.041666667967</c:v>
                </c:pt>
                <c:pt idx="1267" formatCode="m/d/yyyy\ h:mm">
                  <c:v>36855.062500001302</c:v>
                </c:pt>
                <c:pt idx="1268" formatCode="m/d/yyyy\ h:mm">
                  <c:v>36855.083333334638</c:v>
                </c:pt>
                <c:pt idx="1269" formatCode="m/d/yyyy\ h:mm">
                  <c:v>36855.104166667974</c:v>
                </c:pt>
                <c:pt idx="1270" formatCode="m/d/yyyy\ h:mm">
                  <c:v>36855.12500000131</c:v>
                </c:pt>
                <c:pt idx="1271" formatCode="m/d/yyyy\ h:mm">
                  <c:v>36855.145833334645</c:v>
                </c:pt>
                <c:pt idx="1272" formatCode="m/d/yyyy\ h:mm">
                  <c:v>36855.166666667981</c:v>
                </c:pt>
                <c:pt idx="1273" formatCode="m/d/yyyy\ h:mm">
                  <c:v>36855.187500001317</c:v>
                </c:pt>
                <c:pt idx="1274" formatCode="m/d/yyyy\ h:mm">
                  <c:v>36855.208333334653</c:v>
                </c:pt>
                <c:pt idx="1275" formatCode="m/d/yyyy\ h:mm">
                  <c:v>36855.229166667988</c:v>
                </c:pt>
                <c:pt idx="1276" formatCode="m/d/yyyy\ h:mm">
                  <c:v>36855.250000001324</c:v>
                </c:pt>
                <c:pt idx="1277" formatCode="m/d/yyyy\ h:mm">
                  <c:v>36855.27083333466</c:v>
                </c:pt>
                <c:pt idx="1278" formatCode="m/d/yyyy\ h:mm">
                  <c:v>36855.291666667996</c:v>
                </c:pt>
                <c:pt idx="1279" formatCode="m/d/yyyy\ h:mm">
                  <c:v>36855.312500001332</c:v>
                </c:pt>
                <c:pt idx="1280" formatCode="m/d/yyyy\ h:mm">
                  <c:v>36855.333333334667</c:v>
                </c:pt>
                <c:pt idx="1281" formatCode="m/d/yyyy\ h:mm">
                  <c:v>36855.354166668003</c:v>
                </c:pt>
                <c:pt idx="1282" formatCode="m/d/yyyy\ h:mm">
                  <c:v>36855.375000001339</c:v>
                </c:pt>
                <c:pt idx="1283" formatCode="m/d/yyyy\ h:mm">
                  <c:v>36855.395833334675</c:v>
                </c:pt>
                <c:pt idx="1284" formatCode="m/d/yyyy\ h:mm">
                  <c:v>36855.41666666801</c:v>
                </c:pt>
                <c:pt idx="1285" formatCode="m/d/yyyy\ h:mm">
                  <c:v>36855.437500001346</c:v>
                </c:pt>
                <c:pt idx="1286" formatCode="m/d/yyyy\ h:mm">
                  <c:v>36855.458333334682</c:v>
                </c:pt>
                <c:pt idx="1287" formatCode="m/d/yyyy\ h:mm">
                  <c:v>36855.479166668018</c:v>
                </c:pt>
                <c:pt idx="1288" formatCode="m/d/yyyy\ h:mm">
                  <c:v>36855.500000001353</c:v>
                </c:pt>
                <c:pt idx="1289" formatCode="m/d/yyyy\ h:mm">
                  <c:v>36855.520833334689</c:v>
                </c:pt>
                <c:pt idx="1290" formatCode="m/d/yyyy\ h:mm">
                  <c:v>36855.541666668025</c:v>
                </c:pt>
                <c:pt idx="1291" formatCode="m/d/yyyy\ h:mm">
                  <c:v>36855.562500001361</c:v>
                </c:pt>
              </c:numCache>
            </c:numRef>
          </c:xVal>
          <c:yVal>
            <c:numRef>
              <c:f>AADATA!$L$2:$L$1303</c:f>
              <c:numCache>
                <c:formatCode>General</c:formatCode>
                <c:ptCount val="1302"/>
                <c:pt idx="2">
                  <c:v>-0.99446998000000253</c:v>
                </c:pt>
                <c:pt idx="3">
                  <c:v>-0.9039199200000021</c:v>
                </c:pt>
                <c:pt idx="4">
                  <c:v>-1.3564698200000054</c:v>
                </c:pt>
                <c:pt idx="5">
                  <c:v>-1.3564698200000054</c:v>
                </c:pt>
                <c:pt idx="6">
                  <c:v>-1.2659999200000045</c:v>
                </c:pt>
                <c:pt idx="7">
                  <c:v>-1.2659999200000045</c:v>
                </c:pt>
                <c:pt idx="8">
                  <c:v>-0.99446998000000253</c:v>
                </c:pt>
                <c:pt idx="9">
                  <c:v>-0.81334982000000133</c:v>
                </c:pt>
                <c:pt idx="10">
                  <c:v>-0.45086902000000562</c:v>
                </c:pt>
                <c:pt idx="11">
                  <c:v>0.63849721999999565</c:v>
                </c:pt>
                <c:pt idx="12">
                  <c:v>1.7307492199999968</c:v>
                </c:pt>
                <c:pt idx="13">
                  <c:v>0.36588512000000062</c:v>
                </c:pt>
                <c:pt idx="14">
                  <c:v>3.7407061799999974</c:v>
                </c:pt>
                <c:pt idx="15">
                  <c:v>3.8322983199999983</c:v>
                </c:pt>
                <c:pt idx="16">
                  <c:v>2.5518319999999957</c:v>
                </c:pt>
                <c:pt idx="17">
                  <c:v>4.5657568799999968</c:v>
                </c:pt>
                <c:pt idx="18">
                  <c:v>-0.36019872000000497</c:v>
                </c:pt>
                <c:pt idx="19">
                  <c:v>6.128614820000001</c:v>
                </c:pt>
                <c:pt idx="20">
                  <c:v>-1.1755099800000037</c:v>
                </c:pt>
                <c:pt idx="21">
                  <c:v>-2.5307548799999999</c:v>
                </c:pt>
                <c:pt idx="22">
                  <c:v>-2.5307548799999999</c:v>
                </c:pt>
                <c:pt idx="23">
                  <c:v>-2.7111135200000014</c:v>
                </c:pt>
                <c:pt idx="24">
                  <c:v>-3.2517084800000053</c:v>
                </c:pt>
                <c:pt idx="25">
                  <c:v>-2.8913920000000028</c:v>
                </c:pt>
                <c:pt idx="26">
                  <c:v>-2.5307548799999999</c:v>
                </c:pt>
                <c:pt idx="27">
                  <c:v>-3.3417374999999989</c:v>
                </c:pt>
                <c:pt idx="28">
                  <c:v>-2.1697971200000041</c:v>
                </c:pt>
                <c:pt idx="29">
                  <c:v>-3.3417374999999989</c:v>
                </c:pt>
                <c:pt idx="30">
                  <c:v>-2.3503160800000056</c:v>
                </c:pt>
                <c:pt idx="31">
                  <c:v>-0.54151927999999927</c:v>
                </c:pt>
                <c:pt idx="32">
                  <c:v>0.72940799999999628</c:v>
                </c:pt>
                <c:pt idx="33">
                  <c:v>-1.5373494999999995</c:v>
                </c:pt>
                <c:pt idx="34">
                  <c:v>-2.0795075800000036</c:v>
                </c:pt>
                <c:pt idx="35">
                  <c:v>-1.8988683800000024</c:v>
                </c:pt>
                <c:pt idx="36">
                  <c:v>-1.4469196799999988</c:v>
                </c:pt>
                <c:pt idx="37">
                  <c:v>-1.3564698200000054</c:v>
                </c:pt>
                <c:pt idx="38">
                  <c:v>-2.2600666200000052</c:v>
                </c:pt>
                <c:pt idx="39">
                  <c:v>-2.2600666200000052</c:v>
                </c:pt>
                <c:pt idx="40">
                  <c:v>-2.0795075800000036</c:v>
                </c:pt>
                <c:pt idx="41">
                  <c:v>-2.4405454999999994</c:v>
                </c:pt>
                <c:pt idx="42">
                  <c:v>-1.7181490200000011</c:v>
                </c:pt>
                <c:pt idx="43">
                  <c:v>-1.6277592800000003</c:v>
                </c:pt>
                <c:pt idx="44">
                  <c:v>-2.5307548799999999</c:v>
                </c:pt>
                <c:pt idx="45">
                  <c:v>-2.5307548799999999</c:v>
                </c:pt>
                <c:pt idx="46">
                  <c:v>-2.4405454999999994</c:v>
                </c:pt>
                <c:pt idx="47">
                  <c:v>-3.1616594200000048</c:v>
                </c:pt>
                <c:pt idx="48">
                  <c:v>-3.1616594200000048</c:v>
                </c:pt>
                <c:pt idx="49">
                  <c:v>-3.0715903200000039</c:v>
                </c:pt>
                <c:pt idx="50">
                  <c:v>-3.4317464799999997</c:v>
                </c:pt>
                <c:pt idx="51">
                  <c:v>-3.1616594200000048</c:v>
                </c:pt>
                <c:pt idx="52">
                  <c:v>-3.1616594200000048</c:v>
                </c:pt>
                <c:pt idx="53">
                  <c:v>-3.7016531800000019</c:v>
                </c:pt>
                <c:pt idx="54">
                  <c:v>-3.8814907800000031</c:v>
                </c:pt>
                <c:pt idx="55">
                  <c:v>-3.7016531800000019</c:v>
                </c:pt>
                <c:pt idx="56">
                  <c:v>-4.6897680000000026</c:v>
                </c:pt>
                <c:pt idx="57">
                  <c:v>-5.6754579800000027</c:v>
                </c:pt>
                <c:pt idx="58">
                  <c:v>-5.4068739200000007</c:v>
                </c:pt>
                <c:pt idx="59">
                  <c:v>-5.1381095000000059</c:v>
                </c:pt>
                <c:pt idx="60">
                  <c:v>-5.1381095000000059</c:v>
                </c:pt>
                <c:pt idx="61">
                  <c:v>-5.4068739200000007</c:v>
                </c:pt>
                <c:pt idx="62">
                  <c:v>-5.1381095000000059</c:v>
                </c:pt>
                <c:pt idx="63">
                  <c:v>-5.0484812800000043</c:v>
                </c:pt>
                <c:pt idx="64">
                  <c:v>-5.9438616800000048</c:v>
                </c:pt>
                <c:pt idx="65">
                  <c:v>-5.6754579800000027</c:v>
                </c:pt>
                <c:pt idx="66">
                  <c:v>-6.21208502</c:v>
                </c:pt>
                <c:pt idx="67">
                  <c:v>-5.2277176799999996</c:v>
                </c:pt>
                <c:pt idx="68">
                  <c:v>-6.21208502</c:v>
                </c:pt>
                <c:pt idx="69">
                  <c:v>-6.0332895000000057</c:v>
                </c:pt>
                <c:pt idx="70">
                  <c:v>-5.7649459200000033</c:v>
                </c:pt>
                <c:pt idx="71">
                  <c:v>-5.5859500000000022</c:v>
                </c:pt>
                <c:pt idx="72">
                  <c:v>-4.8691647200000041</c:v>
                </c:pt>
                <c:pt idx="73">
                  <c:v>-4.7794763800000029</c:v>
                </c:pt>
                <c:pt idx="74">
                  <c:v>-3.8814907800000031</c:v>
                </c:pt>
                <c:pt idx="75">
                  <c:v>-4.0612482200000048</c:v>
                </c:pt>
                <c:pt idx="76">
                  <c:v>1.0022605799999984</c:v>
                </c:pt>
                <c:pt idx="77">
                  <c:v>-0.17879800000000357</c:v>
                </c:pt>
                <c:pt idx="78">
                  <c:v>0.72940799999999628</c:v>
                </c:pt>
                <c:pt idx="79">
                  <c:v>0.72940799999999628</c:v>
                </c:pt>
                <c:pt idx="80">
                  <c:v>0.63849721999999565</c:v>
                </c:pt>
                <c:pt idx="81">
                  <c:v>3.3745380199999948</c:v>
                </c:pt>
                <c:pt idx="82">
                  <c:v>2.0042631199999987</c:v>
                </c:pt>
                <c:pt idx="83">
                  <c:v>4.4740044199999964</c:v>
                </c:pt>
                <c:pt idx="84">
                  <c:v>5.6683495199999978</c:v>
                </c:pt>
                <c:pt idx="85">
                  <c:v>3.7407061799999974</c:v>
                </c:pt>
                <c:pt idx="86">
                  <c:v>4.7493219199999981</c:v>
                </c:pt>
                <c:pt idx="87">
                  <c:v>0.91128967999999766</c:v>
                </c:pt>
                <c:pt idx="88">
                  <c:v>5.9444485799999995</c:v>
                </c:pt>
                <c:pt idx="89">
                  <c:v>4.6575293799999971</c:v>
                </c:pt>
                <c:pt idx="90">
                  <c:v>7.2352956199999952</c:v>
                </c:pt>
                <c:pt idx="91">
                  <c:v>0.8203388199999968</c:v>
                </c:pt>
                <c:pt idx="92">
                  <c:v>1.4574156799999947</c:v>
                </c:pt>
                <c:pt idx="93">
                  <c:v>1.093251519999999</c:v>
                </c:pt>
                <c:pt idx="94">
                  <c:v>0.27505449999999998</c:v>
                </c:pt>
                <c:pt idx="95">
                  <c:v>2.2779573800000006</c:v>
                </c:pt>
                <c:pt idx="96">
                  <c:v>5.2085852200000016</c:v>
                </c:pt>
                <c:pt idx="97">
                  <c:v>4.1988672800000009</c:v>
                </c:pt>
                <c:pt idx="98">
                  <c:v>0.45673578000000115</c:v>
                </c:pt>
                <c:pt idx="99">
                  <c:v>-0.54151927999999927</c:v>
                </c:pt>
                <c:pt idx="100">
                  <c:v>-0.36019872000000497</c:v>
                </c:pt>
                <c:pt idx="101">
                  <c:v>-0.72275968000000068</c:v>
                </c:pt>
                <c:pt idx="102">
                  <c:v>0.18424391999999923</c:v>
                </c:pt>
                <c:pt idx="103">
                  <c:v>-0.9039199200000021</c:v>
                </c:pt>
                <c:pt idx="104">
                  <c:v>2.0042631199999987</c:v>
                </c:pt>
                <c:pt idx="105">
                  <c:v>-1.0850000000000031</c:v>
                </c:pt>
                <c:pt idx="106">
                  <c:v>-1.5373494999999995</c:v>
                </c:pt>
                <c:pt idx="107">
                  <c:v>-0.99446998000000253</c:v>
                </c:pt>
                <c:pt idx="108">
                  <c:v>-1.6277592800000003</c:v>
                </c:pt>
                <c:pt idx="109">
                  <c:v>-1.8988683800000024</c:v>
                </c:pt>
                <c:pt idx="110">
                  <c:v>-1.8988683800000024</c:v>
                </c:pt>
                <c:pt idx="111">
                  <c:v>-1.8085187200000017</c:v>
                </c:pt>
                <c:pt idx="112">
                  <c:v>-1.6277592800000003</c:v>
                </c:pt>
                <c:pt idx="113">
                  <c:v>-2.5307548799999999</c:v>
                </c:pt>
                <c:pt idx="114">
                  <c:v>-2.6209442200000006</c:v>
                </c:pt>
                <c:pt idx="115">
                  <c:v>-2.7111135200000014</c:v>
                </c:pt>
                <c:pt idx="116">
                  <c:v>-2.8012627800000018</c:v>
                </c:pt>
                <c:pt idx="117">
                  <c:v>-2.9815011800000035</c:v>
                </c:pt>
                <c:pt idx="118">
                  <c:v>-2.2600666200000052</c:v>
                </c:pt>
                <c:pt idx="119">
                  <c:v>-3.1616594200000048</c:v>
                </c:pt>
                <c:pt idx="120">
                  <c:v>-3.4317464799999997</c:v>
                </c:pt>
                <c:pt idx="121">
                  <c:v>-3.2517084800000053</c:v>
                </c:pt>
                <c:pt idx="122">
                  <c:v>-3.2517084800000053</c:v>
                </c:pt>
                <c:pt idx="123">
                  <c:v>-3.8814907800000031</c:v>
                </c:pt>
                <c:pt idx="124">
                  <c:v>-3.7016531800000019</c:v>
                </c:pt>
                <c:pt idx="125">
                  <c:v>-3.3417374999999989</c:v>
                </c:pt>
                <c:pt idx="126">
                  <c:v>-2.3503160800000056</c:v>
                </c:pt>
                <c:pt idx="127">
                  <c:v>-3.2517084800000053</c:v>
                </c:pt>
                <c:pt idx="128">
                  <c:v>-2.3503160800000056</c:v>
                </c:pt>
                <c:pt idx="129">
                  <c:v>-2.7111135200000014</c:v>
                </c:pt>
                <c:pt idx="130">
                  <c:v>-1.7181490200000011</c:v>
                </c:pt>
                <c:pt idx="131">
                  <c:v>-2.5307548799999999</c:v>
                </c:pt>
                <c:pt idx="132">
                  <c:v>-2.3503160800000056</c:v>
                </c:pt>
                <c:pt idx="133">
                  <c:v>-1.8988683800000024</c:v>
                </c:pt>
                <c:pt idx="134">
                  <c:v>-2.0795075800000036</c:v>
                </c:pt>
                <c:pt idx="135">
                  <c:v>-1.8085187200000017</c:v>
                </c:pt>
                <c:pt idx="136">
                  <c:v>-1.7181490200000011</c:v>
                </c:pt>
                <c:pt idx="137">
                  <c:v>-1.8085187200000017</c:v>
                </c:pt>
                <c:pt idx="138">
                  <c:v>-1.6277592800000003</c:v>
                </c:pt>
                <c:pt idx="139">
                  <c:v>-3.0715903200000039</c:v>
                </c:pt>
                <c:pt idx="140">
                  <c:v>-3.3417374999999989</c:v>
                </c:pt>
                <c:pt idx="141">
                  <c:v>-3.5217354200000002</c:v>
                </c:pt>
                <c:pt idx="142">
                  <c:v>-3.6117043200000012</c:v>
                </c:pt>
                <c:pt idx="143">
                  <c:v>-3.9713795200000037</c:v>
                </c:pt>
                <c:pt idx="144">
                  <c:v>-4.3307340799999992</c:v>
                </c:pt>
                <c:pt idx="145">
                  <c:v>-3.8814907800000031</c:v>
                </c:pt>
                <c:pt idx="146">
                  <c:v>-3.7915820000000022</c:v>
                </c:pt>
                <c:pt idx="147">
                  <c:v>-4.0612482200000048</c:v>
                </c:pt>
                <c:pt idx="148">
                  <c:v>-4.6897680000000026</c:v>
                </c:pt>
                <c:pt idx="149">
                  <c:v>-4.7794763800000029</c:v>
                </c:pt>
                <c:pt idx="150">
                  <c:v>-4.3307340799999992</c:v>
                </c:pt>
                <c:pt idx="151">
                  <c:v>-4.5102911200000007</c:v>
                </c:pt>
                <c:pt idx="152">
                  <c:v>-5.2277176799999996</c:v>
                </c:pt>
                <c:pt idx="153">
                  <c:v>-4.8691647200000041</c:v>
                </c:pt>
                <c:pt idx="154">
                  <c:v>-4.8691647200000041</c:v>
                </c:pt>
                <c:pt idx="155">
                  <c:v>-4.8691647200000041</c:v>
                </c:pt>
                <c:pt idx="156">
                  <c:v>-4.9588330200000037</c:v>
                </c:pt>
                <c:pt idx="157">
                  <c:v>-4.9588330200000037</c:v>
                </c:pt>
                <c:pt idx="158">
                  <c:v>-5.5859500000000022</c:v>
                </c:pt>
                <c:pt idx="159">
                  <c:v>-4.9588330200000037</c:v>
                </c:pt>
                <c:pt idx="160">
                  <c:v>-5.2277176799999996</c:v>
                </c:pt>
                <c:pt idx="161">
                  <c:v>-5.5859500000000022</c:v>
                </c:pt>
                <c:pt idx="162">
                  <c:v>-5.7649459200000033</c:v>
                </c:pt>
                <c:pt idx="163">
                  <c:v>-5.4964219800000009</c:v>
                </c:pt>
                <c:pt idx="164">
                  <c:v>-5.4068739200000007</c:v>
                </c:pt>
                <c:pt idx="165">
                  <c:v>-5.3173058199999996</c:v>
                </c:pt>
                <c:pt idx="166">
                  <c:v>-5.4068739200000007</c:v>
                </c:pt>
                <c:pt idx="167">
                  <c:v>-5.5859500000000022</c:v>
                </c:pt>
                <c:pt idx="168">
                  <c:v>-6.1226972799999988</c:v>
                </c:pt>
                <c:pt idx="169">
                  <c:v>-5.7649459200000033</c:v>
                </c:pt>
                <c:pt idx="170">
                  <c:v>-5.6754579800000027</c:v>
                </c:pt>
                <c:pt idx="171">
                  <c:v>-5.5859500000000022</c:v>
                </c:pt>
                <c:pt idx="172">
                  <c:v>-6.3014527200000003</c:v>
                </c:pt>
                <c:pt idx="173">
                  <c:v>-6.3014527200000003</c:v>
                </c:pt>
                <c:pt idx="174">
                  <c:v>-6.21208502</c:v>
                </c:pt>
                <c:pt idx="175">
                  <c:v>-6.1226972799999988</c:v>
                </c:pt>
                <c:pt idx="176">
                  <c:v>-5.3173058199999996</c:v>
                </c:pt>
                <c:pt idx="177">
                  <c:v>-5.2277176799999996</c:v>
                </c:pt>
                <c:pt idx="178">
                  <c:v>-5.9438616800000048</c:v>
                </c:pt>
                <c:pt idx="179">
                  <c:v>-4.6897680000000026</c:v>
                </c:pt>
                <c:pt idx="180">
                  <c:v>-5.2277176799999996</c:v>
                </c:pt>
                <c:pt idx="181">
                  <c:v>-5.5859500000000022</c:v>
                </c:pt>
                <c:pt idx="182">
                  <c:v>-6.0332895000000057</c:v>
                </c:pt>
                <c:pt idx="183">
                  <c:v>-3.6117043200000012</c:v>
                </c:pt>
                <c:pt idx="184">
                  <c:v>-4.6897680000000026</c:v>
                </c:pt>
                <c:pt idx="185">
                  <c:v>-4.7794763800000029</c:v>
                </c:pt>
                <c:pt idx="186">
                  <c:v>-4.8691647200000041</c:v>
                </c:pt>
                <c:pt idx="187">
                  <c:v>-4.5102911200000007</c:v>
                </c:pt>
                <c:pt idx="188">
                  <c:v>-4.8691647200000041</c:v>
                </c:pt>
                <c:pt idx="189">
                  <c:v>-5.4068739200000007</c:v>
                </c:pt>
                <c:pt idx="190">
                  <c:v>-5.4964219800000009</c:v>
                </c:pt>
                <c:pt idx="191">
                  <c:v>-5.2277176799999996</c:v>
                </c:pt>
                <c:pt idx="192">
                  <c:v>-5.2277176799999996</c:v>
                </c:pt>
                <c:pt idx="193">
                  <c:v>-4.3307340799999992</c:v>
                </c:pt>
                <c:pt idx="194">
                  <c:v>-4.2409255000000057</c:v>
                </c:pt>
                <c:pt idx="195">
                  <c:v>-4.4205226199999998</c:v>
                </c:pt>
                <c:pt idx="196">
                  <c:v>-4.5102911200000007</c:v>
                </c:pt>
                <c:pt idx="197">
                  <c:v>-4.6000395800000016</c:v>
                </c:pt>
                <c:pt idx="198">
                  <c:v>-5.6754579800000027</c:v>
                </c:pt>
                <c:pt idx="199">
                  <c:v>-4.8691647200000041</c:v>
                </c:pt>
                <c:pt idx="200">
                  <c:v>-5.5859500000000022</c:v>
                </c:pt>
                <c:pt idx="201">
                  <c:v>-5.854413820000004</c:v>
                </c:pt>
                <c:pt idx="202">
                  <c:v>-6.8372380800000041</c:v>
                </c:pt>
                <c:pt idx="203">
                  <c:v>-7.1048602199999991</c:v>
                </c:pt>
                <c:pt idx="204">
                  <c:v>-7.1048602199999991</c:v>
                </c:pt>
                <c:pt idx="205">
                  <c:v>-7.3723020000000012</c:v>
                </c:pt>
                <c:pt idx="206">
                  <c:v>-6.8372380800000041</c:v>
                </c:pt>
                <c:pt idx="207">
                  <c:v>-7.8176375000000045</c:v>
                </c:pt>
                <c:pt idx="208">
                  <c:v>-8.0845983199999996</c:v>
                </c:pt>
                <c:pt idx="209">
                  <c:v>-7.3723020000000012</c:v>
                </c:pt>
                <c:pt idx="210">
                  <c:v>-8.351378780000001</c:v>
                </c:pt>
                <c:pt idx="211">
                  <c:v>-8.1735451799999996</c:v>
                </c:pt>
                <c:pt idx="212">
                  <c:v>-7.9066444800000051</c:v>
                </c:pt>
                <c:pt idx="213">
                  <c:v>-8.351378780000001</c:v>
                </c:pt>
                <c:pt idx="214">
                  <c:v>-8.6179788800000043</c:v>
                </c:pt>
                <c:pt idx="215">
                  <c:v>-8.9731651199999991</c:v>
                </c:pt>
                <c:pt idx="216">
                  <c:v>-9.4166970200000026</c:v>
                </c:pt>
                <c:pt idx="217">
                  <c:v>-9.1506380000000007</c:v>
                </c:pt>
                <c:pt idx="218">
                  <c:v>-8.884398620000006</c:v>
                </c:pt>
                <c:pt idx="219">
                  <c:v>-9.4166970200000026</c:v>
                </c:pt>
                <c:pt idx="220">
                  <c:v>-9.0619115800000003</c:v>
                </c:pt>
                <c:pt idx="221">
                  <c:v>-8.7956120800000051</c:v>
                </c:pt>
                <c:pt idx="222">
                  <c:v>-8.884398620000006</c:v>
                </c:pt>
                <c:pt idx="223">
                  <c:v>-8.6179788800000043</c:v>
                </c:pt>
                <c:pt idx="224">
                  <c:v>-9.0619115800000003</c:v>
                </c:pt>
                <c:pt idx="225">
                  <c:v>-8.5291322200000028</c:v>
                </c:pt>
                <c:pt idx="226">
                  <c:v>-8.884398620000006</c:v>
                </c:pt>
                <c:pt idx="227">
                  <c:v>-8.7068055000000051</c:v>
                </c:pt>
                <c:pt idx="228">
                  <c:v>-8.1735451799999996</c:v>
                </c:pt>
                <c:pt idx="229">
                  <c:v>-8.6179788800000043</c:v>
                </c:pt>
                <c:pt idx="230">
                  <c:v>-7.7286104800000039</c:v>
                </c:pt>
                <c:pt idx="231">
                  <c:v>-7.9066444800000051</c:v>
                </c:pt>
                <c:pt idx="232">
                  <c:v>-7.6395634200000035</c:v>
                </c:pt>
                <c:pt idx="233">
                  <c:v>-7.4614091800000022</c:v>
                </c:pt>
                <c:pt idx="234">
                  <c:v>-7.4614091800000022</c:v>
                </c:pt>
                <c:pt idx="235">
                  <c:v>-7.3723020000000012</c:v>
                </c:pt>
                <c:pt idx="236">
                  <c:v>-7.1048602199999991</c:v>
                </c:pt>
                <c:pt idx="237">
                  <c:v>-7.8176375000000045</c:v>
                </c:pt>
                <c:pt idx="238">
                  <c:v>-7.4614091800000022</c:v>
                </c:pt>
                <c:pt idx="239">
                  <c:v>-7.3723020000000012</c:v>
                </c:pt>
                <c:pt idx="240">
                  <c:v>-7.8176375000000045</c:v>
                </c:pt>
                <c:pt idx="241">
                  <c:v>-7.5504963200000024</c:v>
                </c:pt>
                <c:pt idx="242">
                  <c:v>-7.7286104800000039</c:v>
                </c:pt>
                <c:pt idx="243">
                  <c:v>-7.3723020000000012</c:v>
                </c:pt>
                <c:pt idx="244">
                  <c:v>-7.5504963200000024</c:v>
                </c:pt>
                <c:pt idx="245">
                  <c:v>-7.4614091800000022</c:v>
                </c:pt>
                <c:pt idx="246">
                  <c:v>-7.4614091800000022</c:v>
                </c:pt>
                <c:pt idx="247">
                  <c:v>-7.1048602199999991</c:v>
                </c:pt>
                <c:pt idx="248">
                  <c:v>-6.9264655000000053</c:v>
                </c:pt>
                <c:pt idx="249">
                  <c:v>-6.8372380800000041</c:v>
                </c:pt>
                <c:pt idx="250">
                  <c:v>-6.8372380800000041</c:v>
                </c:pt>
                <c:pt idx="251">
                  <c:v>-6.8372380800000041</c:v>
                </c:pt>
                <c:pt idx="254">
                  <c:v>-6.7479906200000039</c:v>
                </c:pt>
                <c:pt idx="255">
                  <c:v>-6.9264655000000053</c:v>
                </c:pt>
                <c:pt idx="256">
                  <c:v>-7.0156728800000057</c:v>
                </c:pt>
                <c:pt idx="257">
                  <c:v>-7.0156728800000057</c:v>
                </c:pt>
                <c:pt idx="258">
                  <c:v>-6.9264655000000053</c:v>
                </c:pt>
                <c:pt idx="259">
                  <c:v>-7.0156728800000057</c:v>
                </c:pt>
                <c:pt idx="260">
                  <c:v>-7.2831747800000004</c:v>
                </c:pt>
                <c:pt idx="261">
                  <c:v>-7.3723020000000012</c:v>
                </c:pt>
                <c:pt idx="262">
                  <c:v>-7.2831747800000004</c:v>
                </c:pt>
                <c:pt idx="263">
                  <c:v>-6.9264655000000053</c:v>
                </c:pt>
                <c:pt idx="264">
                  <c:v>-7.7286104800000039</c:v>
                </c:pt>
                <c:pt idx="265">
                  <c:v>-8.0845983199999996</c:v>
                </c:pt>
                <c:pt idx="266">
                  <c:v>-7.4614091800000022</c:v>
                </c:pt>
                <c:pt idx="267">
                  <c:v>-7.8176375000000045</c:v>
                </c:pt>
                <c:pt idx="268">
                  <c:v>-8.2624720000000007</c:v>
                </c:pt>
                <c:pt idx="269">
                  <c:v>-7.2831747800000004</c:v>
                </c:pt>
                <c:pt idx="270">
                  <c:v>-7.4614091800000022</c:v>
                </c:pt>
                <c:pt idx="271">
                  <c:v>-6.8372380800000041</c:v>
                </c:pt>
                <c:pt idx="272">
                  <c:v>-6.4801280000000014</c:v>
                </c:pt>
                <c:pt idx="273">
                  <c:v>-6.21208502</c:v>
                </c:pt>
                <c:pt idx="274">
                  <c:v>-5.6754579800000027</c:v>
                </c:pt>
                <c:pt idx="275">
                  <c:v>-5.0484812800000043</c:v>
                </c:pt>
                <c:pt idx="276">
                  <c:v>-4.5102911200000007</c:v>
                </c:pt>
                <c:pt idx="277">
                  <c:v>-4.1510968800000052</c:v>
                </c:pt>
                <c:pt idx="278">
                  <c:v>-0.72275968000000068</c:v>
                </c:pt>
                <c:pt idx="279">
                  <c:v>-2.1697971200000041</c:v>
                </c:pt>
                <c:pt idx="280">
                  <c:v>-1.8988683800000024</c:v>
                </c:pt>
                <c:pt idx="281">
                  <c:v>-1.7181490200000011</c:v>
                </c:pt>
                <c:pt idx="282">
                  <c:v>-2.1697971200000041</c:v>
                </c:pt>
                <c:pt idx="283">
                  <c:v>-1.9891980000000031</c:v>
                </c:pt>
                <c:pt idx="284">
                  <c:v>-1.4469196799999988</c:v>
                </c:pt>
                <c:pt idx="285">
                  <c:v>-1.2659999200000045</c:v>
                </c:pt>
                <c:pt idx="286">
                  <c:v>-1.2659999200000045</c:v>
                </c:pt>
                <c:pt idx="287">
                  <c:v>-1.8085187200000017</c:v>
                </c:pt>
                <c:pt idx="288">
                  <c:v>-3.5217354200000002</c:v>
                </c:pt>
                <c:pt idx="289">
                  <c:v>-4.6000395800000016</c:v>
                </c:pt>
                <c:pt idx="290">
                  <c:v>-3.9713795200000037</c:v>
                </c:pt>
                <c:pt idx="291">
                  <c:v>-4.4205226199999998</c:v>
                </c:pt>
                <c:pt idx="292">
                  <c:v>-4.5102911200000007</c:v>
                </c:pt>
                <c:pt idx="293">
                  <c:v>-4.5102911200000007</c:v>
                </c:pt>
                <c:pt idx="294">
                  <c:v>-4.8691647200000041</c:v>
                </c:pt>
                <c:pt idx="295">
                  <c:v>-4.8691647200000041</c:v>
                </c:pt>
                <c:pt idx="296">
                  <c:v>-5.2277176799999996</c:v>
                </c:pt>
                <c:pt idx="297">
                  <c:v>-5.0484812800000043</c:v>
                </c:pt>
                <c:pt idx="298">
                  <c:v>-5.0484812800000043</c:v>
                </c:pt>
                <c:pt idx="299">
                  <c:v>-5.4068739200000007</c:v>
                </c:pt>
                <c:pt idx="300">
                  <c:v>-5.1381095000000059</c:v>
                </c:pt>
                <c:pt idx="301">
                  <c:v>-5.4068739200000007</c:v>
                </c:pt>
                <c:pt idx="302">
                  <c:v>-5.0484812800000043</c:v>
                </c:pt>
                <c:pt idx="303">
                  <c:v>-4.8691647200000041</c:v>
                </c:pt>
                <c:pt idx="304">
                  <c:v>-4.8691647200000041</c:v>
                </c:pt>
                <c:pt idx="305">
                  <c:v>-4.8691647200000041</c:v>
                </c:pt>
                <c:pt idx="306">
                  <c:v>-4.7794763800000029</c:v>
                </c:pt>
                <c:pt idx="307">
                  <c:v>-5.1381095000000059</c:v>
                </c:pt>
                <c:pt idx="308">
                  <c:v>-4.8691647200000041</c:v>
                </c:pt>
                <c:pt idx="309">
                  <c:v>-4.9588330200000037</c:v>
                </c:pt>
                <c:pt idx="310">
                  <c:v>-4.9588330200000037</c:v>
                </c:pt>
                <c:pt idx="311">
                  <c:v>-4.9588330200000037</c:v>
                </c:pt>
                <c:pt idx="312">
                  <c:v>-4.8691647200000041</c:v>
                </c:pt>
                <c:pt idx="313">
                  <c:v>-4.5102911200000007</c:v>
                </c:pt>
                <c:pt idx="314">
                  <c:v>-4.6000395800000016</c:v>
                </c:pt>
                <c:pt idx="315">
                  <c:v>-4.5102911200000007</c:v>
                </c:pt>
                <c:pt idx="316">
                  <c:v>-4.7794763800000029</c:v>
                </c:pt>
                <c:pt idx="317">
                  <c:v>-4.7794763800000029</c:v>
                </c:pt>
                <c:pt idx="318">
                  <c:v>-4.8691647200000041</c:v>
                </c:pt>
                <c:pt idx="319">
                  <c:v>-4.8691647200000041</c:v>
                </c:pt>
                <c:pt idx="320">
                  <c:v>-4.9588330200000037</c:v>
                </c:pt>
                <c:pt idx="321">
                  <c:v>-5.2277176799999996</c:v>
                </c:pt>
                <c:pt idx="322">
                  <c:v>-5.2277176799999996</c:v>
                </c:pt>
                <c:pt idx="323">
                  <c:v>-5.3173058199999996</c:v>
                </c:pt>
                <c:pt idx="324">
                  <c:v>-5.0484812800000043</c:v>
                </c:pt>
                <c:pt idx="325">
                  <c:v>-4.7794763800000029</c:v>
                </c:pt>
                <c:pt idx="326">
                  <c:v>-5.0484812800000043</c:v>
                </c:pt>
                <c:pt idx="327">
                  <c:v>-5.0484812800000043</c:v>
                </c:pt>
                <c:pt idx="328">
                  <c:v>-5.0484812800000043</c:v>
                </c:pt>
                <c:pt idx="329">
                  <c:v>-4.4205226199999998</c:v>
                </c:pt>
                <c:pt idx="330">
                  <c:v>-4.6897680000000026</c:v>
                </c:pt>
                <c:pt idx="331">
                  <c:v>-4.8691647200000041</c:v>
                </c:pt>
                <c:pt idx="332">
                  <c:v>-4.7794763800000029</c:v>
                </c:pt>
                <c:pt idx="333">
                  <c:v>-4.9588330200000037</c:v>
                </c:pt>
                <c:pt idx="334">
                  <c:v>-4.6000395800000016</c:v>
                </c:pt>
                <c:pt idx="335">
                  <c:v>-4.6000395800000016</c:v>
                </c:pt>
                <c:pt idx="336">
                  <c:v>-4.2409255000000057</c:v>
                </c:pt>
                <c:pt idx="337">
                  <c:v>-4.6897680000000026</c:v>
                </c:pt>
                <c:pt idx="338">
                  <c:v>-5.2277176799999996</c:v>
                </c:pt>
                <c:pt idx="339">
                  <c:v>-5.3173058199999996</c:v>
                </c:pt>
                <c:pt idx="340">
                  <c:v>-4.5102911200000007</c:v>
                </c:pt>
                <c:pt idx="341">
                  <c:v>-5.4964219800000009</c:v>
                </c:pt>
                <c:pt idx="342">
                  <c:v>-4.5102911200000007</c:v>
                </c:pt>
                <c:pt idx="343">
                  <c:v>-4.7794763800000029</c:v>
                </c:pt>
                <c:pt idx="344">
                  <c:v>-4.0612482200000048</c:v>
                </c:pt>
                <c:pt idx="345">
                  <c:v>-4.8691647200000041</c:v>
                </c:pt>
                <c:pt idx="346">
                  <c:v>-3.7016531800000019</c:v>
                </c:pt>
                <c:pt idx="347">
                  <c:v>-4.9588330200000037</c:v>
                </c:pt>
                <c:pt idx="348">
                  <c:v>-4.9588330200000037</c:v>
                </c:pt>
                <c:pt idx="349">
                  <c:v>-4.3307340799999992</c:v>
                </c:pt>
                <c:pt idx="350">
                  <c:v>-5.4964219800000009</c:v>
                </c:pt>
                <c:pt idx="351">
                  <c:v>-4.4205226199999998</c:v>
                </c:pt>
                <c:pt idx="352">
                  <c:v>-4.9588330200000037</c:v>
                </c:pt>
                <c:pt idx="353">
                  <c:v>-5.4964219800000009</c:v>
                </c:pt>
                <c:pt idx="354">
                  <c:v>-5.1381095000000059</c:v>
                </c:pt>
                <c:pt idx="355">
                  <c:v>-5.1381095000000059</c:v>
                </c:pt>
                <c:pt idx="356">
                  <c:v>-5.9438616800000048</c:v>
                </c:pt>
                <c:pt idx="357">
                  <c:v>-5.9438616800000048</c:v>
                </c:pt>
                <c:pt idx="358">
                  <c:v>-4.7794763800000029</c:v>
                </c:pt>
                <c:pt idx="359">
                  <c:v>-5.5859500000000022</c:v>
                </c:pt>
                <c:pt idx="360">
                  <c:v>-6.5694355800000022</c:v>
                </c:pt>
                <c:pt idx="361">
                  <c:v>-5.9438616800000048</c:v>
                </c:pt>
                <c:pt idx="362">
                  <c:v>-5.5859500000000022</c:v>
                </c:pt>
                <c:pt idx="363">
                  <c:v>-5.4964219800000009</c:v>
                </c:pt>
                <c:pt idx="364">
                  <c:v>-4.5102911200000007</c:v>
                </c:pt>
                <c:pt idx="365">
                  <c:v>-4.7794763800000029</c:v>
                </c:pt>
                <c:pt idx="366">
                  <c:v>-4.2409255000000057</c:v>
                </c:pt>
                <c:pt idx="367">
                  <c:v>-4.4205226199999998</c:v>
                </c:pt>
                <c:pt idx="368">
                  <c:v>-3.8814907800000031</c:v>
                </c:pt>
                <c:pt idx="369">
                  <c:v>-3.4317464799999997</c:v>
                </c:pt>
                <c:pt idx="370">
                  <c:v>-3.0715903200000039</c:v>
                </c:pt>
                <c:pt idx="371">
                  <c:v>-3.3417374999999989</c:v>
                </c:pt>
                <c:pt idx="372">
                  <c:v>-2.0795075800000036</c:v>
                </c:pt>
                <c:pt idx="373">
                  <c:v>-1.8085187200000017</c:v>
                </c:pt>
                <c:pt idx="374">
                  <c:v>-1.6277592800000003</c:v>
                </c:pt>
                <c:pt idx="375">
                  <c:v>-1.3564698200000054</c:v>
                </c:pt>
                <c:pt idx="376">
                  <c:v>-0.72275968000000068</c:v>
                </c:pt>
                <c:pt idx="377">
                  <c:v>-1.0850000000000031</c:v>
                </c:pt>
                <c:pt idx="378">
                  <c:v>-0.72275968000000068</c:v>
                </c:pt>
                <c:pt idx="379">
                  <c:v>-0.72275968000000068</c:v>
                </c:pt>
                <c:pt idx="380">
                  <c:v>-0.26950838000000443</c:v>
                </c:pt>
                <c:pt idx="381">
                  <c:v>1.0022605799999984</c:v>
                </c:pt>
                <c:pt idx="382">
                  <c:v>-0.17879800000000357</c:v>
                </c:pt>
                <c:pt idx="383">
                  <c:v>-0.36019872000000497</c:v>
                </c:pt>
                <c:pt idx="384">
                  <c:v>0.5476064799999949</c:v>
                </c:pt>
                <c:pt idx="385">
                  <c:v>1.7307492199999968</c:v>
                </c:pt>
                <c:pt idx="386">
                  <c:v>1.9130717799999979</c:v>
                </c:pt>
                <c:pt idx="387">
                  <c:v>2.2779573800000006</c:v>
                </c:pt>
                <c:pt idx="388">
                  <c:v>2.6431636199999962</c:v>
                </c:pt>
                <c:pt idx="389">
                  <c:v>2.460520419999995</c:v>
                </c:pt>
                <c:pt idx="390">
                  <c:v>2.6431636199999962</c:v>
                </c:pt>
                <c:pt idx="391">
                  <c:v>2.9172787199999983</c:v>
                </c:pt>
                <c:pt idx="392">
                  <c:v>2.5518319999999957</c:v>
                </c:pt>
                <c:pt idx="393">
                  <c:v>3.0086904999999993</c:v>
                </c:pt>
                <c:pt idx="394">
                  <c:v>2.1867059200000001</c:v>
                </c:pt>
                <c:pt idx="395">
                  <c:v>2.6431636199999962</c:v>
                </c:pt>
                <c:pt idx="396">
                  <c:v>2.0042631199999987</c:v>
                </c:pt>
                <c:pt idx="397">
                  <c:v>1.639617999999996</c:v>
                </c:pt>
                <c:pt idx="398">
                  <c:v>2.0954744999999995</c:v>
                </c:pt>
                <c:pt idx="399">
                  <c:v>1.8219004799999974</c:v>
                </c:pt>
                <c:pt idx="400">
                  <c:v>1.8219004799999974</c:v>
                </c:pt>
                <c:pt idx="401">
                  <c:v>1.2752935200000004</c:v>
                </c:pt>
                <c:pt idx="402">
                  <c:v>1.2752935200000004</c:v>
                </c:pt>
                <c:pt idx="403">
                  <c:v>1.8219004799999974</c:v>
                </c:pt>
                <c:pt idx="404">
                  <c:v>1.0022605799999984</c:v>
                </c:pt>
                <c:pt idx="405">
                  <c:v>0.5476064799999949</c:v>
                </c:pt>
                <c:pt idx="406">
                  <c:v>0.36588512000000062</c:v>
                </c:pt>
                <c:pt idx="407">
                  <c:v>1.0022605799999984</c:v>
                </c:pt>
                <c:pt idx="408">
                  <c:v>0.63849721999999565</c:v>
                </c:pt>
                <c:pt idx="409">
                  <c:v>9.3453379999998365E-2</c:v>
                </c:pt>
                <c:pt idx="410">
                  <c:v>-0.36019872000000497</c:v>
                </c:pt>
                <c:pt idx="411">
                  <c:v>0.18424391999999923</c:v>
                </c:pt>
                <c:pt idx="412">
                  <c:v>2.6828799999978337E-3</c:v>
                </c:pt>
                <c:pt idx="413">
                  <c:v>-0.17879800000000357</c:v>
                </c:pt>
                <c:pt idx="414">
                  <c:v>-0.17879800000000357</c:v>
                </c:pt>
                <c:pt idx="415">
                  <c:v>9.3453379999998365E-2</c:v>
                </c:pt>
                <c:pt idx="416">
                  <c:v>0.18424391999999923</c:v>
                </c:pt>
                <c:pt idx="417">
                  <c:v>9.3453379999998365E-2</c:v>
                </c:pt>
                <c:pt idx="418">
                  <c:v>0.45673578000000115</c:v>
                </c:pt>
                <c:pt idx="419">
                  <c:v>1.0022605799999984</c:v>
                </c:pt>
                <c:pt idx="420">
                  <c:v>1.5485068199999952</c:v>
                </c:pt>
                <c:pt idx="421">
                  <c:v>1.1842624999999996</c:v>
                </c:pt>
                <c:pt idx="422">
                  <c:v>1.4574156799999947</c:v>
                </c:pt>
                <c:pt idx="423">
                  <c:v>1.093251519999999</c:v>
                </c:pt>
                <c:pt idx="424">
                  <c:v>1.093251519999999</c:v>
                </c:pt>
                <c:pt idx="425">
                  <c:v>1.3663445800000011</c:v>
                </c:pt>
                <c:pt idx="426">
                  <c:v>1.093251519999999</c:v>
                </c:pt>
                <c:pt idx="427">
                  <c:v>1.5485068199999952</c:v>
                </c:pt>
                <c:pt idx="428">
                  <c:v>3.1001223199999997</c:v>
                </c:pt>
                <c:pt idx="429">
                  <c:v>4.6575293799999971</c:v>
                </c:pt>
                <c:pt idx="430">
                  <c:v>1.2752935200000004</c:v>
                </c:pt>
                <c:pt idx="431">
                  <c:v>1.0022605799999984</c:v>
                </c:pt>
                <c:pt idx="432">
                  <c:v>9.3453379999998365E-2</c:v>
                </c:pt>
                <c:pt idx="433">
                  <c:v>-0.17879800000000357</c:v>
                </c:pt>
                <c:pt idx="434">
                  <c:v>1.2752935200000004</c:v>
                </c:pt>
                <c:pt idx="435">
                  <c:v>0.36588512000000062</c:v>
                </c:pt>
                <c:pt idx="436">
                  <c:v>-8.806758000000281E-2</c:v>
                </c:pt>
                <c:pt idx="437">
                  <c:v>-0.6321494999999997</c:v>
                </c:pt>
                <c:pt idx="438">
                  <c:v>0.45673578000000115</c:v>
                </c:pt>
                <c:pt idx="439">
                  <c:v>-0.17879800000000357</c:v>
                </c:pt>
                <c:pt idx="440">
                  <c:v>-1.1755099800000037</c:v>
                </c:pt>
                <c:pt idx="441">
                  <c:v>-0.81334982000000133</c:v>
                </c:pt>
                <c:pt idx="442">
                  <c:v>-1.6277592800000003</c:v>
                </c:pt>
                <c:pt idx="443">
                  <c:v>-0.9039199200000021</c:v>
                </c:pt>
                <c:pt idx="444">
                  <c:v>-1.7181490200000011</c:v>
                </c:pt>
                <c:pt idx="445">
                  <c:v>-1.8085187200000017</c:v>
                </c:pt>
                <c:pt idx="446">
                  <c:v>-1.4469196799999988</c:v>
                </c:pt>
                <c:pt idx="447">
                  <c:v>-2.2600666200000052</c:v>
                </c:pt>
                <c:pt idx="448">
                  <c:v>-2.3503160800000056</c:v>
                </c:pt>
                <c:pt idx="449">
                  <c:v>-2.8012627800000018</c:v>
                </c:pt>
                <c:pt idx="450">
                  <c:v>-2.8012627800000018</c:v>
                </c:pt>
                <c:pt idx="451">
                  <c:v>-2.8913920000000028</c:v>
                </c:pt>
                <c:pt idx="452">
                  <c:v>-4.3307340799999992</c:v>
                </c:pt>
                <c:pt idx="453">
                  <c:v>-3.7915820000000022</c:v>
                </c:pt>
                <c:pt idx="454">
                  <c:v>-2.8012627800000018</c:v>
                </c:pt>
                <c:pt idx="455">
                  <c:v>-3.2517084800000053</c:v>
                </c:pt>
                <c:pt idx="456">
                  <c:v>-3.1616594200000048</c:v>
                </c:pt>
                <c:pt idx="457">
                  <c:v>-4.2409255000000057</c:v>
                </c:pt>
                <c:pt idx="458">
                  <c:v>-3.8814907800000031</c:v>
                </c:pt>
                <c:pt idx="459">
                  <c:v>-4.2409255000000057</c:v>
                </c:pt>
                <c:pt idx="460">
                  <c:v>-3.9713795200000037</c:v>
                </c:pt>
                <c:pt idx="461">
                  <c:v>-3.9713795200000037</c:v>
                </c:pt>
                <c:pt idx="462">
                  <c:v>-3.8814907800000031</c:v>
                </c:pt>
                <c:pt idx="463">
                  <c:v>-3.5217354200000002</c:v>
                </c:pt>
                <c:pt idx="464">
                  <c:v>-3.3417374999999989</c:v>
                </c:pt>
                <c:pt idx="465">
                  <c:v>-3.5217354200000002</c:v>
                </c:pt>
                <c:pt idx="466">
                  <c:v>-4.0612482200000048</c:v>
                </c:pt>
                <c:pt idx="467">
                  <c:v>-4.1510968800000052</c:v>
                </c:pt>
                <c:pt idx="468">
                  <c:v>-3.8814907800000031</c:v>
                </c:pt>
                <c:pt idx="469">
                  <c:v>-3.5217354200000002</c:v>
                </c:pt>
                <c:pt idx="470">
                  <c:v>-3.8814907800000031</c:v>
                </c:pt>
                <c:pt idx="471">
                  <c:v>-3.7016531800000019</c:v>
                </c:pt>
                <c:pt idx="472">
                  <c:v>-4.2409255000000057</c:v>
                </c:pt>
                <c:pt idx="473">
                  <c:v>-3.8814907800000031</c:v>
                </c:pt>
                <c:pt idx="474">
                  <c:v>-4.3307340799999992</c:v>
                </c:pt>
                <c:pt idx="475">
                  <c:v>-4.1510968800000052</c:v>
                </c:pt>
                <c:pt idx="476">
                  <c:v>-4.0612482200000048</c:v>
                </c:pt>
                <c:pt idx="477">
                  <c:v>-3.5217354200000002</c:v>
                </c:pt>
                <c:pt idx="478">
                  <c:v>-3.6117043200000012</c:v>
                </c:pt>
                <c:pt idx="479">
                  <c:v>-2.9815011800000035</c:v>
                </c:pt>
                <c:pt idx="480">
                  <c:v>-3.5217354200000002</c:v>
                </c:pt>
                <c:pt idx="481">
                  <c:v>-4.0612482200000048</c:v>
                </c:pt>
                <c:pt idx="482">
                  <c:v>-5.0484812800000043</c:v>
                </c:pt>
                <c:pt idx="483">
                  <c:v>-4.8691647200000041</c:v>
                </c:pt>
                <c:pt idx="488">
                  <c:v>-4.0612482200000048</c:v>
                </c:pt>
                <c:pt idx="489">
                  <c:v>-3.6117043200000012</c:v>
                </c:pt>
                <c:pt idx="490">
                  <c:v>-3.6117043200000012</c:v>
                </c:pt>
                <c:pt idx="491">
                  <c:v>-3.3417374999999989</c:v>
                </c:pt>
                <c:pt idx="492">
                  <c:v>-4.1510968800000052</c:v>
                </c:pt>
                <c:pt idx="493">
                  <c:v>-3.8814907800000031</c:v>
                </c:pt>
                <c:pt idx="494">
                  <c:v>-3.9713795200000037</c:v>
                </c:pt>
                <c:pt idx="495">
                  <c:v>-4.2409255000000057</c:v>
                </c:pt>
                <c:pt idx="496">
                  <c:v>-4.4205226199999998</c:v>
                </c:pt>
                <c:pt idx="497">
                  <c:v>-4.4205226199999998</c:v>
                </c:pt>
                <c:pt idx="498">
                  <c:v>-5.0484812800000043</c:v>
                </c:pt>
                <c:pt idx="499">
                  <c:v>-4.6000395800000016</c:v>
                </c:pt>
                <c:pt idx="500">
                  <c:v>-4.6897680000000026</c:v>
                </c:pt>
                <c:pt idx="501">
                  <c:v>-4.5102911200000007</c:v>
                </c:pt>
                <c:pt idx="502">
                  <c:v>-4.5102911200000007</c:v>
                </c:pt>
                <c:pt idx="503">
                  <c:v>-4.9588330200000037</c:v>
                </c:pt>
                <c:pt idx="504">
                  <c:v>-5.1381095000000059</c:v>
                </c:pt>
                <c:pt idx="505">
                  <c:v>-5.6754579800000027</c:v>
                </c:pt>
                <c:pt idx="506">
                  <c:v>-4.5102911200000007</c:v>
                </c:pt>
                <c:pt idx="507">
                  <c:v>-4.5102911200000007</c:v>
                </c:pt>
                <c:pt idx="508">
                  <c:v>-5.1381095000000059</c:v>
                </c:pt>
                <c:pt idx="509">
                  <c:v>-5.0484812800000043</c:v>
                </c:pt>
                <c:pt idx="510">
                  <c:v>-4.4205226199999998</c:v>
                </c:pt>
                <c:pt idx="511">
                  <c:v>-4.1510968800000052</c:v>
                </c:pt>
                <c:pt idx="512">
                  <c:v>-4.6000395800000016</c:v>
                </c:pt>
                <c:pt idx="513">
                  <c:v>-4.1510968800000052</c:v>
                </c:pt>
                <c:pt idx="514">
                  <c:v>-4.5102911200000007</c:v>
                </c:pt>
                <c:pt idx="515">
                  <c:v>-3.8814907800000031</c:v>
                </c:pt>
                <c:pt idx="516">
                  <c:v>-3.1616594200000048</c:v>
                </c:pt>
                <c:pt idx="517">
                  <c:v>-3.7016531800000019</c:v>
                </c:pt>
                <c:pt idx="518">
                  <c:v>-3.1616594200000048</c:v>
                </c:pt>
                <c:pt idx="519">
                  <c:v>-3.5217354200000002</c:v>
                </c:pt>
                <c:pt idx="520">
                  <c:v>-2.9815011800000035</c:v>
                </c:pt>
                <c:pt idx="521">
                  <c:v>-3.5217354200000002</c:v>
                </c:pt>
                <c:pt idx="522">
                  <c:v>-3.5217354200000002</c:v>
                </c:pt>
                <c:pt idx="523">
                  <c:v>-2.8913920000000028</c:v>
                </c:pt>
                <c:pt idx="524">
                  <c:v>-3.6117043200000012</c:v>
                </c:pt>
                <c:pt idx="525">
                  <c:v>-3.7016531800000019</c:v>
                </c:pt>
                <c:pt idx="526">
                  <c:v>-3.5217354200000002</c:v>
                </c:pt>
                <c:pt idx="527">
                  <c:v>-3.6117043200000012</c:v>
                </c:pt>
                <c:pt idx="528">
                  <c:v>-3.6117043200000012</c:v>
                </c:pt>
                <c:pt idx="529">
                  <c:v>-3.7016531800000019</c:v>
                </c:pt>
                <c:pt idx="530">
                  <c:v>-3.6117043200000012</c:v>
                </c:pt>
                <c:pt idx="531">
                  <c:v>-3.8814907800000031</c:v>
                </c:pt>
                <c:pt idx="532">
                  <c:v>-4.0612482200000048</c:v>
                </c:pt>
                <c:pt idx="533">
                  <c:v>-4.1510968800000052</c:v>
                </c:pt>
                <c:pt idx="534">
                  <c:v>-4.1510968800000052</c:v>
                </c:pt>
                <c:pt idx="535">
                  <c:v>-4.3307340799999992</c:v>
                </c:pt>
                <c:pt idx="536">
                  <c:v>-4.4205226199999998</c:v>
                </c:pt>
                <c:pt idx="537">
                  <c:v>-4.5102911200000007</c:v>
                </c:pt>
                <c:pt idx="538">
                  <c:v>-4.9588330200000037</c:v>
                </c:pt>
                <c:pt idx="539">
                  <c:v>-4.6000395800000016</c:v>
                </c:pt>
                <c:pt idx="540">
                  <c:v>-4.6000395800000016</c:v>
                </c:pt>
                <c:pt idx="541">
                  <c:v>-4.6000395800000016</c:v>
                </c:pt>
                <c:pt idx="542">
                  <c:v>-4.6897680000000026</c:v>
                </c:pt>
                <c:pt idx="543">
                  <c:v>-4.6000395800000016</c:v>
                </c:pt>
                <c:pt idx="544">
                  <c:v>-4.7794763800000029</c:v>
                </c:pt>
                <c:pt idx="545">
                  <c:v>-4.6897680000000026</c:v>
                </c:pt>
                <c:pt idx="546">
                  <c:v>-4.9588330200000037</c:v>
                </c:pt>
                <c:pt idx="547">
                  <c:v>-4.6897680000000026</c:v>
                </c:pt>
                <c:pt idx="548">
                  <c:v>-4.7794763800000029</c:v>
                </c:pt>
                <c:pt idx="549">
                  <c:v>-5.0484812800000043</c:v>
                </c:pt>
                <c:pt idx="550">
                  <c:v>-5.0484812800000043</c:v>
                </c:pt>
                <c:pt idx="551">
                  <c:v>-4.9588330200000037</c:v>
                </c:pt>
                <c:pt idx="552">
                  <c:v>-4.9588330200000037</c:v>
                </c:pt>
                <c:pt idx="553">
                  <c:v>-5.0484812800000043</c:v>
                </c:pt>
                <c:pt idx="554">
                  <c:v>-5.2277176799999996</c:v>
                </c:pt>
                <c:pt idx="555">
                  <c:v>-5.1381095000000059</c:v>
                </c:pt>
                <c:pt idx="556">
                  <c:v>-4.9588330200000037</c:v>
                </c:pt>
                <c:pt idx="557">
                  <c:v>-4.4205226199999998</c:v>
                </c:pt>
                <c:pt idx="558">
                  <c:v>-4.0612482200000048</c:v>
                </c:pt>
                <c:pt idx="559">
                  <c:v>-3.7016531800000019</c:v>
                </c:pt>
                <c:pt idx="560">
                  <c:v>-3.5217354200000002</c:v>
                </c:pt>
                <c:pt idx="561">
                  <c:v>-3.4317464799999997</c:v>
                </c:pt>
                <c:pt idx="562">
                  <c:v>-3.5217354200000002</c:v>
                </c:pt>
                <c:pt idx="563">
                  <c:v>-3.6117043200000012</c:v>
                </c:pt>
                <c:pt idx="564">
                  <c:v>-3.4317464799999997</c:v>
                </c:pt>
                <c:pt idx="565">
                  <c:v>-3.3417374999999989</c:v>
                </c:pt>
                <c:pt idx="566">
                  <c:v>-3.2517084800000053</c:v>
                </c:pt>
                <c:pt idx="567">
                  <c:v>-3.1616594200000048</c:v>
                </c:pt>
                <c:pt idx="568">
                  <c:v>-2.8012627800000018</c:v>
                </c:pt>
                <c:pt idx="569">
                  <c:v>-2.4405454999999994</c:v>
                </c:pt>
                <c:pt idx="570">
                  <c:v>-3.5217354200000002</c:v>
                </c:pt>
                <c:pt idx="571">
                  <c:v>-3.8814907800000031</c:v>
                </c:pt>
                <c:pt idx="572">
                  <c:v>-3.5217354200000002</c:v>
                </c:pt>
                <c:pt idx="573">
                  <c:v>-3.5217354200000002</c:v>
                </c:pt>
                <c:pt idx="574">
                  <c:v>-3.4317464799999997</c:v>
                </c:pt>
                <c:pt idx="575">
                  <c:v>-3.4317464799999997</c:v>
                </c:pt>
                <c:pt idx="576">
                  <c:v>-3.5217354200000002</c:v>
                </c:pt>
                <c:pt idx="585">
                  <c:v>-3.9713795200000037</c:v>
                </c:pt>
                <c:pt idx="586">
                  <c:v>-4.0612482200000048</c:v>
                </c:pt>
                <c:pt idx="587">
                  <c:v>-4.1510968800000052</c:v>
                </c:pt>
                <c:pt idx="588">
                  <c:v>-3.1616594200000048</c:v>
                </c:pt>
                <c:pt idx="589">
                  <c:v>-4.3307340799999992</c:v>
                </c:pt>
                <c:pt idx="590">
                  <c:v>-4.2409255000000057</c:v>
                </c:pt>
                <c:pt idx="591">
                  <c:v>-4.4205226199999998</c:v>
                </c:pt>
                <c:pt idx="592">
                  <c:v>-4.7794763800000029</c:v>
                </c:pt>
                <c:pt idx="593">
                  <c:v>-5.1381095000000059</c:v>
                </c:pt>
                <c:pt idx="594">
                  <c:v>-5.2277176799999996</c:v>
                </c:pt>
                <c:pt idx="595">
                  <c:v>-4.6897680000000026</c:v>
                </c:pt>
                <c:pt idx="596">
                  <c:v>-5.0484812800000043</c:v>
                </c:pt>
                <c:pt idx="597">
                  <c:v>-4.4205226199999998</c:v>
                </c:pt>
                <c:pt idx="598">
                  <c:v>-4.8691647200000041</c:v>
                </c:pt>
                <c:pt idx="599">
                  <c:v>-5.0484812800000043</c:v>
                </c:pt>
                <c:pt idx="600">
                  <c:v>-5.0484812800000043</c:v>
                </c:pt>
                <c:pt idx="601">
                  <c:v>-5.0484812800000043</c:v>
                </c:pt>
                <c:pt idx="602">
                  <c:v>-5.2277176799999996</c:v>
                </c:pt>
                <c:pt idx="603">
                  <c:v>-5.5859500000000022</c:v>
                </c:pt>
                <c:pt idx="604">
                  <c:v>-5.2277176799999996</c:v>
                </c:pt>
                <c:pt idx="605">
                  <c:v>-4.7794763800000029</c:v>
                </c:pt>
                <c:pt idx="606">
                  <c:v>-4.8691647200000041</c:v>
                </c:pt>
                <c:pt idx="607">
                  <c:v>-5.1381095000000059</c:v>
                </c:pt>
                <c:pt idx="608">
                  <c:v>-5.3173058199999996</c:v>
                </c:pt>
                <c:pt idx="609">
                  <c:v>-5.3173058199999996</c:v>
                </c:pt>
                <c:pt idx="610">
                  <c:v>-5.1381095000000059</c:v>
                </c:pt>
                <c:pt idx="611">
                  <c:v>-4.6897680000000026</c:v>
                </c:pt>
                <c:pt idx="612">
                  <c:v>-4.6897680000000026</c:v>
                </c:pt>
                <c:pt idx="613">
                  <c:v>-5.2277176799999996</c:v>
                </c:pt>
                <c:pt idx="614">
                  <c:v>-5.3173058199999996</c:v>
                </c:pt>
                <c:pt idx="615">
                  <c:v>-4.9588330200000037</c:v>
                </c:pt>
                <c:pt idx="616">
                  <c:v>-4.5102911200000007</c:v>
                </c:pt>
                <c:pt idx="617">
                  <c:v>-4.9588330200000037</c:v>
                </c:pt>
                <c:pt idx="618">
                  <c:v>-4.7794763800000029</c:v>
                </c:pt>
                <c:pt idx="619">
                  <c:v>-4.2409255000000057</c:v>
                </c:pt>
                <c:pt idx="620">
                  <c:v>-4.6000395800000016</c:v>
                </c:pt>
                <c:pt idx="621">
                  <c:v>-5.3173058199999996</c:v>
                </c:pt>
                <c:pt idx="622">
                  <c:v>-5.5859500000000022</c:v>
                </c:pt>
                <c:pt idx="623">
                  <c:v>-4.1510968800000052</c:v>
                </c:pt>
                <c:pt idx="624">
                  <c:v>-3.4317464799999997</c:v>
                </c:pt>
                <c:pt idx="625">
                  <c:v>-4.4205226199999998</c:v>
                </c:pt>
                <c:pt idx="626">
                  <c:v>-4.2409255000000057</c:v>
                </c:pt>
                <c:pt idx="627">
                  <c:v>-4.0612482200000048</c:v>
                </c:pt>
                <c:pt idx="628">
                  <c:v>-4.2409255000000057</c:v>
                </c:pt>
                <c:pt idx="629">
                  <c:v>-4.1510968800000052</c:v>
                </c:pt>
                <c:pt idx="630">
                  <c:v>-5.2277176799999996</c:v>
                </c:pt>
                <c:pt idx="631">
                  <c:v>-4.6000395800000016</c:v>
                </c:pt>
                <c:pt idx="632">
                  <c:v>-6.3908003800000008</c:v>
                </c:pt>
                <c:pt idx="633">
                  <c:v>-5.4068739200000007</c:v>
                </c:pt>
                <c:pt idx="634">
                  <c:v>-5.7649459200000033</c:v>
                </c:pt>
                <c:pt idx="635">
                  <c:v>-5.4068739200000007</c:v>
                </c:pt>
                <c:pt idx="636">
                  <c:v>-5.4964219800000009</c:v>
                </c:pt>
                <c:pt idx="637">
                  <c:v>-4.7794763800000029</c:v>
                </c:pt>
                <c:pt idx="638">
                  <c:v>-4.9588330200000037</c:v>
                </c:pt>
                <c:pt idx="639">
                  <c:v>-5.7649459200000033</c:v>
                </c:pt>
                <c:pt idx="640">
                  <c:v>-4.2409255000000057</c:v>
                </c:pt>
                <c:pt idx="641">
                  <c:v>-5.4964219800000009</c:v>
                </c:pt>
                <c:pt idx="642">
                  <c:v>-5.3173058199999996</c:v>
                </c:pt>
                <c:pt idx="643">
                  <c:v>-4.9588330200000037</c:v>
                </c:pt>
                <c:pt idx="644">
                  <c:v>-5.4964219800000009</c:v>
                </c:pt>
                <c:pt idx="645">
                  <c:v>-7.0156728800000057</c:v>
                </c:pt>
                <c:pt idx="646">
                  <c:v>-5.0484812800000043</c:v>
                </c:pt>
                <c:pt idx="647">
                  <c:v>-5.0484812800000043</c:v>
                </c:pt>
                <c:pt idx="648">
                  <c:v>-5.1381095000000059</c:v>
                </c:pt>
                <c:pt idx="649">
                  <c:v>-5.9438616800000048</c:v>
                </c:pt>
                <c:pt idx="650">
                  <c:v>-5.1381095000000059</c:v>
                </c:pt>
                <c:pt idx="651">
                  <c:v>-5.3173058199999996</c:v>
                </c:pt>
                <c:pt idx="652">
                  <c:v>-5.9438616800000048</c:v>
                </c:pt>
                <c:pt idx="653">
                  <c:v>-5.4964219800000009</c:v>
                </c:pt>
                <c:pt idx="654">
                  <c:v>-5.1381095000000059</c:v>
                </c:pt>
                <c:pt idx="655">
                  <c:v>-4.9588330200000037</c:v>
                </c:pt>
                <c:pt idx="656">
                  <c:v>-3.7016531800000019</c:v>
                </c:pt>
                <c:pt idx="657">
                  <c:v>-2.9815011800000035</c:v>
                </c:pt>
                <c:pt idx="658">
                  <c:v>-2.2600666200000052</c:v>
                </c:pt>
                <c:pt idx="659">
                  <c:v>-0.36019872000000497</c:v>
                </c:pt>
                <c:pt idx="660">
                  <c:v>-1.9891980000000031</c:v>
                </c:pt>
                <c:pt idx="661">
                  <c:v>-0.9039199200000021</c:v>
                </c:pt>
                <c:pt idx="662">
                  <c:v>-1.4469196799999988</c:v>
                </c:pt>
                <c:pt idx="663">
                  <c:v>-2.0795075800000036</c:v>
                </c:pt>
                <c:pt idx="664">
                  <c:v>-2.2600666200000052</c:v>
                </c:pt>
                <c:pt idx="665">
                  <c:v>-2.4405454999999994</c:v>
                </c:pt>
                <c:pt idx="666">
                  <c:v>-1.9891980000000031</c:v>
                </c:pt>
                <c:pt idx="667">
                  <c:v>-1.0850000000000031</c:v>
                </c:pt>
                <c:pt idx="668">
                  <c:v>-2.0795075800000036</c:v>
                </c:pt>
                <c:pt idx="669">
                  <c:v>-2.5307548799999999</c:v>
                </c:pt>
                <c:pt idx="670">
                  <c:v>-2.0795075800000036</c:v>
                </c:pt>
                <c:pt idx="671">
                  <c:v>-2.6209442200000006</c:v>
                </c:pt>
                <c:pt idx="672">
                  <c:v>-2.3503160800000056</c:v>
                </c:pt>
                <c:pt idx="673">
                  <c:v>-1.8988683800000024</c:v>
                </c:pt>
                <c:pt idx="674">
                  <c:v>-2.4405454999999994</c:v>
                </c:pt>
                <c:pt idx="675">
                  <c:v>-2.5307548799999999</c:v>
                </c:pt>
                <c:pt idx="676">
                  <c:v>-2.7111135200000014</c:v>
                </c:pt>
                <c:pt idx="677">
                  <c:v>-3.1616594200000048</c:v>
                </c:pt>
                <c:pt idx="678">
                  <c:v>-3.3417374999999989</c:v>
                </c:pt>
                <c:pt idx="679">
                  <c:v>-3.3417374999999989</c:v>
                </c:pt>
                <c:pt idx="680">
                  <c:v>-3.2517084800000053</c:v>
                </c:pt>
                <c:pt idx="681">
                  <c:v>-3.2517084800000053</c:v>
                </c:pt>
                <c:pt idx="682">
                  <c:v>-3.3417374999999989</c:v>
                </c:pt>
                <c:pt idx="683">
                  <c:v>-3.4317464799999997</c:v>
                </c:pt>
                <c:pt idx="684">
                  <c:v>-3.4317464799999997</c:v>
                </c:pt>
                <c:pt idx="685">
                  <c:v>-3.4317464799999997</c:v>
                </c:pt>
                <c:pt idx="686">
                  <c:v>-3.5217354200000002</c:v>
                </c:pt>
                <c:pt idx="687">
                  <c:v>-3.3417374999999989</c:v>
                </c:pt>
                <c:pt idx="688">
                  <c:v>-3.4317464799999997</c:v>
                </c:pt>
                <c:pt idx="689">
                  <c:v>-3.3417374999999989</c:v>
                </c:pt>
                <c:pt idx="690">
                  <c:v>-3.3417374999999989</c:v>
                </c:pt>
                <c:pt idx="691">
                  <c:v>-3.7915820000000022</c:v>
                </c:pt>
                <c:pt idx="692">
                  <c:v>-4.0612482200000048</c:v>
                </c:pt>
                <c:pt idx="693">
                  <c:v>-3.7016531800000019</c:v>
                </c:pt>
                <c:pt idx="694">
                  <c:v>-3.3417374999999989</c:v>
                </c:pt>
                <c:pt idx="695">
                  <c:v>-3.5217354200000002</c:v>
                </c:pt>
                <c:pt idx="696">
                  <c:v>-3.4317464799999997</c:v>
                </c:pt>
                <c:pt idx="697">
                  <c:v>-3.4317464799999997</c:v>
                </c:pt>
                <c:pt idx="698">
                  <c:v>-3.6117043200000012</c:v>
                </c:pt>
                <c:pt idx="699">
                  <c:v>-3.2517084800000053</c:v>
                </c:pt>
                <c:pt idx="700">
                  <c:v>-3.4317464799999997</c:v>
                </c:pt>
                <c:pt idx="701">
                  <c:v>-4.0612482200000048</c:v>
                </c:pt>
                <c:pt idx="702">
                  <c:v>-3.7016531800000019</c:v>
                </c:pt>
                <c:pt idx="703">
                  <c:v>-4.2409255000000057</c:v>
                </c:pt>
                <c:pt idx="704">
                  <c:v>-3.7016531800000019</c:v>
                </c:pt>
                <c:pt idx="705">
                  <c:v>-3.9713795200000037</c:v>
                </c:pt>
                <c:pt idx="706">
                  <c:v>-4.1510968800000052</c:v>
                </c:pt>
                <c:pt idx="707">
                  <c:v>-4.0612482200000048</c:v>
                </c:pt>
                <c:pt idx="708">
                  <c:v>-5.6754579800000027</c:v>
                </c:pt>
                <c:pt idx="709">
                  <c:v>-5.4964219800000009</c:v>
                </c:pt>
                <c:pt idx="710">
                  <c:v>-5.2277176799999996</c:v>
                </c:pt>
                <c:pt idx="711">
                  <c:v>-5.4964219800000009</c:v>
                </c:pt>
                <c:pt idx="712">
                  <c:v>-4.6897680000000026</c:v>
                </c:pt>
                <c:pt idx="713">
                  <c:v>-5.3173058199999996</c:v>
                </c:pt>
                <c:pt idx="714">
                  <c:v>-4.1510968800000052</c:v>
                </c:pt>
                <c:pt idx="715">
                  <c:v>-3.9713795200000037</c:v>
                </c:pt>
                <c:pt idx="716">
                  <c:v>-4.9588330200000037</c:v>
                </c:pt>
                <c:pt idx="717">
                  <c:v>-3.2517084800000053</c:v>
                </c:pt>
                <c:pt idx="718">
                  <c:v>-4.2409255000000057</c:v>
                </c:pt>
                <c:pt idx="719">
                  <c:v>-3.5217354200000002</c:v>
                </c:pt>
                <c:pt idx="720">
                  <c:v>-4.1510968800000052</c:v>
                </c:pt>
                <c:pt idx="721">
                  <c:v>-3.5217354200000002</c:v>
                </c:pt>
                <c:pt idx="724">
                  <c:v>-3.6117043200000012</c:v>
                </c:pt>
                <c:pt idx="725">
                  <c:v>-4.2409255000000057</c:v>
                </c:pt>
                <c:pt idx="726">
                  <c:v>-4.8691647200000041</c:v>
                </c:pt>
                <c:pt idx="727">
                  <c:v>-4.8691647200000041</c:v>
                </c:pt>
                <c:pt idx="728">
                  <c:v>-5.7649459200000033</c:v>
                </c:pt>
                <c:pt idx="729">
                  <c:v>-5.4964219800000009</c:v>
                </c:pt>
                <c:pt idx="730">
                  <c:v>-4.9588330200000037</c:v>
                </c:pt>
                <c:pt idx="731">
                  <c:v>-5.1381095000000059</c:v>
                </c:pt>
                <c:pt idx="732">
                  <c:v>-6.1226972799999988</c:v>
                </c:pt>
                <c:pt idx="733">
                  <c:v>-5.0484812800000043</c:v>
                </c:pt>
                <c:pt idx="734">
                  <c:v>-4.7794763800000029</c:v>
                </c:pt>
                <c:pt idx="735">
                  <c:v>-5.0484812800000043</c:v>
                </c:pt>
                <c:pt idx="736">
                  <c:v>-4.9588330200000037</c:v>
                </c:pt>
                <c:pt idx="737">
                  <c:v>-5.3173058199999996</c:v>
                </c:pt>
                <c:pt idx="738">
                  <c:v>-5.2277176799999996</c:v>
                </c:pt>
                <c:pt idx="739">
                  <c:v>-5.0484812800000043</c:v>
                </c:pt>
                <c:pt idx="740">
                  <c:v>-5.0484812800000043</c:v>
                </c:pt>
                <c:pt idx="741">
                  <c:v>-5.2277176799999996</c:v>
                </c:pt>
                <c:pt idx="742">
                  <c:v>-4.8691647200000041</c:v>
                </c:pt>
                <c:pt idx="743">
                  <c:v>-4.9588330200000037</c:v>
                </c:pt>
                <c:pt idx="744">
                  <c:v>-4.8691647200000041</c:v>
                </c:pt>
                <c:pt idx="745">
                  <c:v>-4.7794763800000029</c:v>
                </c:pt>
                <c:pt idx="746">
                  <c:v>-4.6897680000000026</c:v>
                </c:pt>
                <c:pt idx="747">
                  <c:v>-4.6897680000000026</c:v>
                </c:pt>
                <c:pt idx="748">
                  <c:v>-4.5102911200000007</c:v>
                </c:pt>
                <c:pt idx="749">
                  <c:v>-4.1510968800000052</c:v>
                </c:pt>
                <c:pt idx="750">
                  <c:v>-3.8814907800000031</c:v>
                </c:pt>
                <c:pt idx="751">
                  <c:v>-3.8814907800000031</c:v>
                </c:pt>
                <c:pt idx="752">
                  <c:v>-3.8814907800000031</c:v>
                </c:pt>
                <c:pt idx="753">
                  <c:v>-3.7915820000000022</c:v>
                </c:pt>
                <c:pt idx="754">
                  <c:v>-3.6117043200000012</c:v>
                </c:pt>
                <c:pt idx="755">
                  <c:v>-3.4317464799999997</c:v>
                </c:pt>
                <c:pt idx="756">
                  <c:v>-3.1616594200000048</c:v>
                </c:pt>
                <c:pt idx="757">
                  <c:v>-2.9815011800000035</c:v>
                </c:pt>
                <c:pt idx="758">
                  <c:v>-2.8012627800000018</c:v>
                </c:pt>
                <c:pt idx="759">
                  <c:v>-2.6209442200000006</c:v>
                </c:pt>
                <c:pt idx="760">
                  <c:v>-2.5307548799999999</c:v>
                </c:pt>
                <c:pt idx="761">
                  <c:v>-2.4405454999999994</c:v>
                </c:pt>
                <c:pt idx="762">
                  <c:v>-2.3503160800000056</c:v>
                </c:pt>
                <c:pt idx="763">
                  <c:v>-2.1697971200000041</c:v>
                </c:pt>
                <c:pt idx="764">
                  <c:v>-1.8085187200000017</c:v>
                </c:pt>
                <c:pt idx="765">
                  <c:v>-1.3564698200000054</c:v>
                </c:pt>
                <c:pt idx="766">
                  <c:v>-0.99446998000000253</c:v>
                </c:pt>
                <c:pt idx="767">
                  <c:v>-0.45086902000000562</c:v>
                </c:pt>
                <c:pt idx="768">
                  <c:v>-0.54151927999999927</c:v>
                </c:pt>
                <c:pt idx="769">
                  <c:v>-0.99446998000000253</c:v>
                </c:pt>
                <c:pt idx="770">
                  <c:v>-1.0850000000000031</c:v>
                </c:pt>
                <c:pt idx="771">
                  <c:v>-1.3564698200000054</c:v>
                </c:pt>
                <c:pt idx="772">
                  <c:v>-1.2659999200000045</c:v>
                </c:pt>
                <c:pt idx="773">
                  <c:v>-1.4469196799999988</c:v>
                </c:pt>
                <c:pt idx="774">
                  <c:v>-1.5373494999999995</c:v>
                </c:pt>
                <c:pt idx="775">
                  <c:v>-1.7181490200000011</c:v>
                </c:pt>
                <c:pt idx="776">
                  <c:v>-1.6277592800000003</c:v>
                </c:pt>
                <c:pt idx="777">
                  <c:v>-1.8085187200000017</c:v>
                </c:pt>
                <c:pt idx="778">
                  <c:v>-2.0795075800000036</c:v>
                </c:pt>
                <c:pt idx="779">
                  <c:v>-2.3503160800000056</c:v>
                </c:pt>
                <c:pt idx="780">
                  <c:v>-2.3503160800000056</c:v>
                </c:pt>
                <c:pt idx="781">
                  <c:v>-2.3503160800000056</c:v>
                </c:pt>
                <c:pt idx="782">
                  <c:v>-2.3503160800000056</c:v>
                </c:pt>
                <c:pt idx="783">
                  <c:v>-2.3503160800000056</c:v>
                </c:pt>
                <c:pt idx="785">
                  <c:v>-2.8913920000000028</c:v>
                </c:pt>
                <c:pt idx="786">
                  <c:v>-4.5102911200000007</c:v>
                </c:pt>
                <c:pt idx="787">
                  <c:v>-4.7794763800000029</c:v>
                </c:pt>
                <c:pt idx="788">
                  <c:v>-4.0612482200000048</c:v>
                </c:pt>
                <c:pt idx="789">
                  <c:v>-3.1616594200000048</c:v>
                </c:pt>
                <c:pt idx="790">
                  <c:v>-3.0715903200000039</c:v>
                </c:pt>
                <c:pt idx="791">
                  <c:v>-2.8012627800000018</c:v>
                </c:pt>
                <c:pt idx="792">
                  <c:v>-2.7111135200000014</c:v>
                </c:pt>
                <c:pt idx="793">
                  <c:v>-3.2517084800000053</c:v>
                </c:pt>
                <c:pt idx="794">
                  <c:v>-2.6209442200000006</c:v>
                </c:pt>
                <c:pt idx="795">
                  <c:v>-2.7111135200000014</c:v>
                </c:pt>
                <c:pt idx="796">
                  <c:v>-2.5307548799999999</c:v>
                </c:pt>
                <c:pt idx="797">
                  <c:v>-2.4405454999999994</c:v>
                </c:pt>
                <c:pt idx="798">
                  <c:v>-2.2600666200000052</c:v>
                </c:pt>
                <c:pt idx="799">
                  <c:v>-2.1697971200000041</c:v>
                </c:pt>
                <c:pt idx="800">
                  <c:v>-1.9891980000000031</c:v>
                </c:pt>
                <c:pt idx="801">
                  <c:v>-0.9039199200000021</c:v>
                </c:pt>
                <c:pt idx="802">
                  <c:v>-0.36019872000000497</c:v>
                </c:pt>
                <c:pt idx="803">
                  <c:v>-0.36019872000000497</c:v>
                </c:pt>
                <c:pt idx="804">
                  <c:v>-0.54151927999999927</c:v>
                </c:pt>
                <c:pt idx="805">
                  <c:v>-1.3564698200000054</c:v>
                </c:pt>
                <c:pt idx="806">
                  <c:v>-1.5373494999999995</c:v>
                </c:pt>
                <c:pt idx="807">
                  <c:v>-1.6277592800000003</c:v>
                </c:pt>
                <c:pt idx="808">
                  <c:v>-1.6277592800000003</c:v>
                </c:pt>
                <c:pt idx="809">
                  <c:v>-1.8085187200000017</c:v>
                </c:pt>
                <c:pt idx="810">
                  <c:v>-1.9891980000000031</c:v>
                </c:pt>
                <c:pt idx="811">
                  <c:v>-1.8085187200000017</c:v>
                </c:pt>
                <c:pt idx="812">
                  <c:v>-1.7181490200000011</c:v>
                </c:pt>
                <c:pt idx="813">
                  <c:v>-1.8085187200000017</c:v>
                </c:pt>
                <c:pt idx="814">
                  <c:v>-1.8988683800000024</c:v>
                </c:pt>
                <c:pt idx="815">
                  <c:v>-1.9891980000000031</c:v>
                </c:pt>
                <c:pt idx="816">
                  <c:v>-1.9891980000000031</c:v>
                </c:pt>
                <c:pt idx="817">
                  <c:v>-2.1697971200000041</c:v>
                </c:pt>
                <c:pt idx="818">
                  <c:v>-2.3503160800000056</c:v>
                </c:pt>
                <c:pt idx="819">
                  <c:v>-2.4405454999999994</c:v>
                </c:pt>
                <c:pt idx="820">
                  <c:v>-2.4405454999999994</c:v>
                </c:pt>
                <c:pt idx="821">
                  <c:v>-2.4405454999999994</c:v>
                </c:pt>
                <c:pt idx="822">
                  <c:v>-2.8012627800000018</c:v>
                </c:pt>
                <c:pt idx="823">
                  <c:v>-3.1616594200000048</c:v>
                </c:pt>
                <c:pt idx="824">
                  <c:v>-3.7016531800000019</c:v>
                </c:pt>
                <c:pt idx="825">
                  <c:v>-3.8814907800000031</c:v>
                </c:pt>
                <c:pt idx="826">
                  <c:v>-4.2409255000000057</c:v>
                </c:pt>
                <c:pt idx="827">
                  <c:v>-4.7794763800000029</c:v>
                </c:pt>
                <c:pt idx="828">
                  <c:v>-5.1381095000000059</c:v>
                </c:pt>
                <c:pt idx="829">
                  <c:v>-5.3173058199999996</c:v>
                </c:pt>
                <c:pt idx="830">
                  <c:v>-5.7649459200000033</c:v>
                </c:pt>
                <c:pt idx="831">
                  <c:v>-6.21208502</c:v>
                </c:pt>
                <c:pt idx="832">
                  <c:v>-6.4801280000000014</c:v>
                </c:pt>
                <c:pt idx="833">
                  <c:v>-7.7286104800000039</c:v>
                </c:pt>
                <c:pt idx="834">
                  <c:v>-7.2831747800000004</c:v>
                </c:pt>
                <c:pt idx="835">
                  <c:v>-6.9264655000000053</c:v>
                </c:pt>
                <c:pt idx="836">
                  <c:v>-6.7479906200000039</c:v>
                </c:pt>
                <c:pt idx="837">
                  <c:v>-5.3173058199999996</c:v>
                </c:pt>
                <c:pt idx="838">
                  <c:v>-4.9588330200000037</c:v>
                </c:pt>
                <c:pt idx="839">
                  <c:v>-4.9588330200000037</c:v>
                </c:pt>
                <c:pt idx="840">
                  <c:v>-4.9588330200000037</c:v>
                </c:pt>
                <c:pt idx="841">
                  <c:v>-4.7794763800000029</c:v>
                </c:pt>
                <c:pt idx="842">
                  <c:v>-4.7794763800000029</c:v>
                </c:pt>
                <c:pt idx="843">
                  <c:v>-4.7794763800000029</c:v>
                </c:pt>
                <c:pt idx="844">
                  <c:v>-4.7794763800000029</c:v>
                </c:pt>
                <c:pt idx="845">
                  <c:v>-4.4205226199999998</c:v>
                </c:pt>
                <c:pt idx="846">
                  <c:v>-4.1510968800000052</c:v>
                </c:pt>
                <c:pt idx="847">
                  <c:v>-3.7915820000000022</c:v>
                </c:pt>
                <c:pt idx="848">
                  <c:v>-3.6117043200000012</c:v>
                </c:pt>
                <c:pt idx="849">
                  <c:v>-3.3417374999999989</c:v>
                </c:pt>
                <c:pt idx="850">
                  <c:v>-3.2517084800000053</c:v>
                </c:pt>
                <c:pt idx="851">
                  <c:v>-2.8012627800000018</c:v>
                </c:pt>
                <c:pt idx="852">
                  <c:v>-2.7111135200000014</c:v>
                </c:pt>
                <c:pt idx="853">
                  <c:v>-1.9891980000000031</c:v>
                </c:pt>
                <c:pt idx="854">
                  <c:v>-1.7181490200000011</c:v>
                </c:pt>
                <c:pt idx="855">
                  <c:v>-1.8085187200000017</c:v>
                </c:pt>
                <c:pt idx="856">
                  <c:v>-2.1697971200000041</c:v>
                </c:pt>
                <c:pt idx="857">
                  <c:v>-1.7181490200000011</c:v>
                </c:pt>
                <c:pt idx="858">
                  <c:v>-1.3564698200000054</c:v>
                </c:pt>
                <c:pt idx="859">
                  <c:v>-1.3564698200000054</c:v>
                </c:pt>
                <c:pt idx="860">
                  <c:v>-1.2659999200000045</c:v>
                </c:pt>
                <c:pt idx="861">
                  <c:v>-1.1755099800000037</c:v>
                </c:pt>
                <c:pt idx="862">
                  <c:v>-1.1755099800000037</c:v>
                </c:pt>
                <c:pt idx="863">
                  <c:v>-1.1755099800000037</c:v>
                </c:pt>
                <c:pt idx="864">
                  <c:v>-1.2659999200000045</c:v>
                </c:pt>
                <c:pt idx="865">
                  <c:v>-0.9039199200000021</c:v>
                </c:pt>
                <c:pt idx="866">
                  <c:v>-1.1755099800000037</c:v>
                </c:pt>
                <c:pt idx="867">
                  <c:v>-0.99446998000000253</c:v>
                </c:pt>
                <c:pt idx="868">
                  <c:v>-1.2659999200000045</c:v>
                </c:pt>
                <c:pt idx="869">
                  <c:v>-1.7181490200000011</c:v>
                </c:pt>
                <c:pt idx="870">
                  <c:v>-1.4469196799999988</c:v>
                </c:pt>
                <c:pt idx="871">
                  <c:v>-1.1755099800000037</c:v>
                </c:pt>
                <c:pt idx="872">
                  <c:v>-1.8085187200000017</c:v>
                </c:pt>
                <c:pt idx="873">
                  <c:v>-1.8085187200000017</c:v>
                </c:pt>
                <c:pt idx="874">
                  <c:v>-2.0795075800000036</c:v>
                </c:pt>
                <c:pt idx="875">
                  <c:v>-2.2600666200000052</c:v>
                </c:pt>
                <c:pt idx="876">
                  <c:v>-2.4405454999999994</c:v>
                </c:pt>
                <c:pt idx="877">
                  <c:v>-2.4405454999999994</c:v>
                </c:pt>
                <c:pt idx="878">
                  <c:v>-2.5307548799999999</c:v>
                </c:pt>
                <c:pt idx="879">
                  <c:v>-2.8913920000000028</c:v>
                </c:pt>
                <c:pt idx="880">
                  <c:v>-3.2517084800000053</c:v>
                </c:pt>
                <c:pt idx="881">
                  <c:v>-3.0715903200000039</c:v>
                </c:pt>
                <c:pt idx="882">
                  <c:v>-3.2517084800000053</c:v>
                </c:pt>
                <c:pt idx="883">
                  <c:v>-3.4317464799999997</c:v>
                </c:pt>
                <c:pt idx="884">
                  <c:v>-3.6117043200000012</c:v>
                </c:pt>
                <c:pt idx="885">
                  <c:v>-4.9588330200000037</c:v>
                </c:pt>
                <c:pt idx="886">
                  <c:v>-4.2409255000000057</c:v>
                </c:pt>
                <c:pt idx="887">
                  <c:v>-4.2409255000000057</c:v>
                </c:pt>
                <c:pt idx="888">
                  <c:v>-3.8814907800000031</c:v>
                </c:pt>
                <c:pt idx="889">
                  <c:v>-4.3307340799999992</c:v>
                </c:pt>
                <c:pt idx="890">
                  <c:v>-4.5102911200000007</c:v>
                </c:pt>
                <c:pt idx="891">
                  <c:v>-4.5102911200000007</c:v>
                </c:pt>
                <c:pt idx="892">
                  <c:v>-4.3307340799999992</c:v>
                </c:pt>
                <c:pt idx="893">
                  <c:v>-4.1510968800000052</c:v>
                </c:pt>
                <c:pt idx="894">
                  <c:v>-3.7915820000000022</c:v>
                </c:pt>
                <c:pt idx="895">
                  <c:v>-3.2517084800000053</c:v>
                </c:pt>
                <c:pt idx="896">
                  <c:v>-2.8913920000000028</c:v>
                </c:pt>
                <c:pt idx="897">
                  <c:v>-1.9891980000000031</c:v>
                </c:pt>
                <c:pt idx="898">
                  <c:v>-1.3564698200000054</c:v>
                </c:pt>
                <c:pt idx="899">
                  <c:v>-1.5373494999999995</c:v>
                </c:pt>
                <c:pt idx="900">
                  <c:v>-2.0795075800000036</c:v>
                </c:pt>
                <c:pt idx="901">
                  <c:v>-1.8085187200000017</c:v>
                </c:pt>
                <c:pt idx="902">
                  <c:v>-0.9039199200000021</c:v>
                </c:pt>
                <c:pt idx="903">
                  <c:v>-0.26950838000000443</c:v>
                </c:pt>
                <c:pt idx="904">
                  <c:v>2.6828799999978337E-3</c:v>
                </c:pt>
                <c:pt idx="905">
                  <c:v>9.3453379999998365E-2</c:v>
                </c:pt>
                <c:pt idx="906">
                  <c:v>9.3453379999998365E-2</c:v>
                </c:pt>
                <c:pt idx="907">
                  <c:v>-0.17879800000000357</c:v>
                </c:pt>
                <c:pt idx="908">
                  <c:v>-1.7181490200000011</c:v>
                </c:pt>
                <c:pt idx="909">
                  <c:v>-2.1697971200000041</c:v>
                </c:pt>
                <c:pt idx="910">
                  <c:v>-1.9891980000000031</c:v>
                </c:pt>
                <c:pt idx="911">
                  <c:v>-1.0850000000000031</c:v>
                </c:pt>
                <c:pt idx="912">
                  <c:v>-1.4469196799999988</c:v>
                </c:pt>
                <c:pt idx="913">
                  <c:v>-1.5373494999999995</c:v>
                </c:pt>
                <c:pt idx="914">
                  <c:v>-2.2600666200000052</c:v>
                </c:pt>
                <c:pt idx="915">
                  <c:v>-2.3503160800000056</c:v>
                </c:pt>
                <c:pt idx="916">
                  <c:v>-2.4405454999999994</c:v>
                </c:pt>
                <c:pt idx="917">
                  <c:v>-2.5307548799999999</c:v>
                </c:pt>
                <c:pt idx="918">
                  <c:v>-2.2600666200000052</c:v>
                </c:pt>
                <c:pt idx="919">
                  <c:v>-2.6209442200000006</c:v>
                </c:pt>
                <c:pt idx="920">
                  <c:v>-3.3417374999999989</c:v>
                </c:pt>
                <c:pt idx="921">
                  <c:v>-4.1510968800000052</c:v>
                </c:pt>
                <c:pt idx="922">
                  <c:v>-3.9713795200000037</c:v>
                </c:pt>
                <c:pt idx="923">
                  <c:v>-3.7915820000000022</c:v>
                </c:pt>
                <c:pt idx="924">
                  <c:v>-3.3417374999999989</c:v>
                </c:pt>
                <c:pt idx="925">
                  <c:v>-3.2517084800000053</c:v>
                </c:pt>
                <c:pt idx="926">
                  <c:v>-3.0715903200000039</c:v>
                </c:pt>
                <c:pt idx="927">
                  <c:v>-4.8691647200000041</c:v>
                </c:pt>
                <c:pt idx="928">
                  <c:v>-4.5102911200000007</c:v>
                </c:pt>
                <c:pt idx="929">
                  <c:v>-4.0612482200000048</c:v>
                </c:pt>
                <c:pt idx="930">
                  <c:v>-4.2409255000000057</c:v>
                </c:pt>
                <c:pt idx="931">
                  <c:v>-3.4317464799999997</c:v>
                </c:pt>
                <c:pt idx="932">
                  <c:v>-3.6117043200000012</c:v>
                </c:pt>
                <c:pt idx="933">
                  <c:v>-3.6117043200000012</c:v>
                </c:pt>
                <c:pt idx="934">
                  <c:v>-3.6117043200000012</c:v>
                </c:pt>
                <c:pt idx="935">
                  <c:v>-3.6117043200000012</c:v>
                </c:pt>
                <c:pt idx="936">
                  <c:v>-3.9713795200000037</c:v>
                </c:pt>
                <c:pt idx="937">
                  <c:v>-3.6117043200000012</c:v>
                </c:pt>
                <c:pt idx="938">
                  <c:v>-4.0612482200000048</c:v>
                </c:pt>
                <c:pt idx="939">
                  <c:v>-4.3307340799999992</c:v>
                </c:pt>
                <c:pt idx="940">
                  <c:v>-4.0612482200000048</c:v>
                </c:pt>
                <c:pt idx="941">
                  <c:v>-4.3307340799999992</c:v>
                </c:pt>
                <c:pt idx="942">
                  <c:v>-4.3307340799999992</c:v>
                </c:pt>
                <c:pt idx="943">
                  <c:v>-4.4205226199999998</c:v>
                </c:pt>
                <c:pt idx="944">
                  <c:v>-4.3307340799999992</c:v>
                </c:pt>
                <c:pt idx="945">
                  <c:v>-4.4205226199999998</c:v>
                </c:pt>
                <c:pt idx="946">
                  <c:v>-4.3307340799999992</c:v>
                </c:pt>
                <c:pt idx="947">
                  <c:v>-4.2409255000000057</c:v>
                </c:pt>
                <c:pt idx="948">
                  <c:v>-4.2409255000000057</c:v>
                </c:pt>
                <c:pt idx="949">
                  <c:v>-4.3307340799999992</c:v>
                </c:pt>
                <c:pt idx="950">
                  <c:v>-3.9713795200000037</c:v>
                </c:pt>
                <c:pt idx="951">
                  <c:v>-2.9815011800000035</c:v>
                </c:pt>
                <c:pt idx="952">
                  <c:v>-3.5217354200000002</c:v>
                </c:pt>
                <c:pt idx="953">
                  <c:v>-2.7111135200000014</c:v>
                </c:pt>
                <c:pt idx="954">
                  <c:v>-2.2600666200000052</c:v>
                </c:pt>
                <c:pt idx="955">
                  <c:v>-2.6209442200000006</c:v>
                </c:pt>
                <c:pt idx="956">
                  <c:v>-2.6209442200000006</c:v>
                </c:pt>
                <c:pt idx="957">
                  <c:v>-1.5373494999999995</c:v>
                </c:pt>
                <c:pt idx="958">
                  <c:v>-3.1616594200000048</c:v>
                </c:pt>
                <c:pt idx="959">
                  <c:v>-2.6209442200000006</c:v>
                </c:pt>
                <c:pt idx="960">
                  <c:v>-2.6209442200000006</c:v>
                </c:pt>
                <c:pt idx="961">
                  <c:v>-2.8012627800000018</c:v>
                </c:pt>
                <c:pt idx="962">
                  <c:v>-3.0715903200000039</c:v>
                </c:pt>
                <c:pt idx="963">
                  <c:v>-3.4317464799999997</c:v>
                </c:pt>
                <c:pt idx="964">
                  <c:v>-3.4317464799999997</c:v>
                </c:pt>
                <c:pt idx="965">
                  <c:v>-3.7016531800000019</c:v>
                </c:pt>
                <c:pt idx="966">
                  <c:v>-4.0612482200000048</c:v>
                </c:pt>
                <c:pt idx="976">
                  <c:v>-4.9588330200000037</c:v>
                </c:pt>
                <c:pt idx="977">
                  <c:v>-4.9588330200000037</c:v>
                </c:pt>
                <c:pt idx="978">
                  <c:v>-5.0484812800000043</c:v>
                </c:pt>
                <c:pt idx="979">
                  <c:v>-5.0484812800000043</c:v>
                </c:pt>
                <c:pt idx="980">
                  <c:v>-5.1381095000000059</c:v>
                </c:pt>
                <c:pt idx="981">
                  <c:v>-5.2277176799999996</c:v>
                </c:pt>
                <c:pt idx="982">
                  <c:v>-5.4068739200000007</c:v>
                </c:pt>
                <c:pt idx="983">
                  <c:v>-5.1381095000000059</c:v>
                </c:pt>
                <c:pt idx="984">
                  <c:v>-5.1381095000000059</c:v>
                </c:pt>
                <c:pt idx="985">
                  <c:v>-5.4068739200000007</c:v>
                </c:pt>
                <c:pt idx="986">
                  <c:v>-5.4068739200000007</c:v>
                </c:pt>
                <c:pt idx="987">
                  <c:v>-5.2277176799999996</c:v>
                </c:pt>
                <c:pt idx="988">
                  <c:v>-5.4068739200000007</c:v>
                </c:pt>
                <c:pt idx="989">
                  <c:v>-5.1381095000000059</c:v>
                </c:pt>
                <c:pt idx="990">
                  <c:v>-5.1381095000000059</c:v>
                </c:pt>
                <c:pt idx="991">
                  <c:v>-5.1381095000000059</c:v>
                </c:pt>
                <c:pt idx="992">
                  <c:v>-5.0484812800000043</c:v>
                </c:pt>
                <c:pt idx="993">
                  <c:v>-4.8691647200000041</c:v>
                </c:pt>
                <c:pt idx="994">
                  <c:v>-3.7016531800000019</c:v>
                </c:pt>
                <c:pt idx="995">
                  <c:v>-3.7915820000000022</c:v>
                </c:pt>
                <c:pt idx="996">
                  <c:v>-4.4205226199999998</c:v>
                </c:pt>
                <c:pt idx="997">
                  <c:v>-4.7794763800000029</c:v>
                </c:pt>
                <c:pt idx="998">
                  <c:v>-4.5102911200000007</c:v>
                </c:pt>
                <c:pt idx="999">
                  <c:v>-3.4317464799999997</c:v>
                </c:pt>
                <c:pt idx="1000">
                  <c:v>-3.9713795200000037</c:v>
                </c:pt>
                <c:pt idx="1001">
                  <c:v>-3.4317464799999997</c:v>
                </c:pt>
                <c:pt idx="1002">
                  <c:v>-2.5307548799999999</c:v>
                </c:pt>
                <c:pt idx="1003">
                  <c:v>-3.3417374999999989</c:v>
                </c:pt>
                <c:pt idx="1004">
                  <c:v>-3.3417374999999989</c:v>
                </c:pt>
                <c:pt idx="1005">
                  <c:v>-3.1616594200000048</c:v>
                </c:pt>
                <c:pt idx="1006">
                  <c:v>-2.8012627800000018</c:v>
                </c:pt>
                <c:pt idx="1007">
                  <c:v>-2.8012627800000018</c:v>
                </c:pt>
                <c:pt idx="1008">
                  <c:v>-2.9815011800000035</c:v>
                </c:pt>
                <c:pt idx="1009">
                  <c:v>-2.8012627800000018</c:v>
                </c:pt>
                <c:pt idx="1010">
                  <c:v>-2.7111135200000014</c:v>
                </c:pt>
                <c:pt idx="1011">
                  <c:v>-2.8012627800000018</c:v>
                </c:pt>
                <c:pt idx="1012">
                  <c:v>-3.0715903200000039</c:v>
                </c:pt>
                <c:pt idx="1013">
                  <c:v>-3.2517084800000053</c:v>
                </c:pt>
                <c:pt idx="1014">
                  <c:v>-3.1616594200000048</c:v>
                </c:pt>
                <c:pt idx="1015">
                  <c:v>-3.5217354200000002</c:v>
                </c:pt>
                <c:pt idx="1016">
                  <c:v>-3.3417374999999989</c:v>
                </c:pt>
                <c:pt idx="1017">
                  <c:v>-3.4317464799999997</c:v>
                </c:pt>
                <c:pt idx="1018">
                  <c:v>-3.6117043200000012</c:v>
                </c:pt>
                <c:pt idx="1019">
                  <c:v>-3.6117043200000012</c:v>
                </c:pt>
                <c:pt idx="1020">
                  <c:v>-3.4317464799999997</c:v>
                </c:pt>
                <c:pt idx="1021">
                  <c:v>-3.9713795200000037</c:v>
                </c:pt>
                <c:pt idx="1022">
                  <c:v>-4.1510968800000052</c:v>
                </c:pt>
                <c:pt idx="1023">
                  <c:v>-3.3417374999999989</c:v>
                </c:pt>
                <c:pt idx="1024">
                  <c:v>-3.0715903200000039</c:v>
                </c:pt>
                <c:pt idx="1025">
                  <c:v>-3.0715903200000039</c:v>
                </c:pt>
                <c:pt idx="1026">
                  <c:v>-3.1616594200000048</c:v>
                </c:pt>
                <c:pt idx="1027">
                  <c:v>-3.1616594200000048</c:v>
                </c:pt>
                <c:pt idx="1028">
                  <c:v>-3.1616594200000048</c:v>
                </c:pt>
                <c:pt idx="1029">
                  <c:v>-3.2517084800000053</c:v>
                </c:pt>
                <c:pt idx="1030">
                  <c:v>-2.8913920000000028</c:v>
                </c:pt>
                <c:pt idx="1031">
                  <c:v>-2.6209442200000006</c:v>
                </c:pt>
                <c:pt idx="1032">
                  <c:v>-2.3503160800000056</c:v>
                </c:pt>
                <c:pt idx="1033">
                  <c:v>-2.3503160800000056</c:v>
                </c:pt>
                <c:pt idx="1034">
                  <c:v>-3.7016531800000019</c:v>
                </c:pt>
                <c:pt idx="1035">
                  <c:v>-4.1510968800000052</c:v>
                </c:pt>
                <c:pt idx="1036">
                  <c:v>-4.1510968800000052</c:v>
                </c:pt>
                <c:pt idx="1037">
                  <c:v>-2.6209442200000006</c:v>
                </c:pt>
                <c:pt idx="1038">
                  <c:v>-2.4405454999999994</c:v>
                </c:pt>
                <c:pt idx="1039">
                  <c:v>-2.2600666200000052</c:v>
                </c:pt>
                <c:pt idx="1040">
                  <c:v>-1.8988683800000024</c:v>
                </c:pt>
                <c:pt idx="1041">
                  <c:v>-2.0795075800000036</c:v>
                </c:pt>
                <c:pt idx="1042">
                  <c:v>-1.9891980000000031</c:v>
                </c:pt>
                <c:pt idx="1043">
                  <c:v>-2.4405454999999994</c:v>
                </c:pt>
                <c:pt idx="1044">
                  <c:v>-2.1697971200000041</c:v>
                </c:pt>
                <c:pt idx="1045">
                  <c:v>-1.8988683800000024</c:v>
                </c:pt>
                <c:pt idx="1046">
                  <c:v>-2.4405454999999994</c:v>
                </c:pt>
                <c:pt idx="1047">
                  <c:v>-1.8085187200000017</c:v>
                </c:pt>
                <c:pt idx="1048">
                  <c:v>-1.4469196799999988</c:v>
                </c:pt>
                <c:pt idx="1049">
                  <c:v>-1.8085187200000017</c:v>
                </c:pt>
                <c:pt idx="1050">
                  <c:v>-1.9891980000000031</c:v>
                </c:pt>
                <c:pt idx="1051">
                  <c:v>-2.2600666200000052</c:v>
                </c:pt>
                <c:pt idx="1052">
                  <c:v>-1.2659999200000045</c:v>
                </c:pt>
                <c:pt idx="1053">
                  <c:v>-2.1697971200000041</c:v>
                </c:pt>
                <c:pt idx="1054">
                  <c:v>-0.99446998000000253</c:v>
                </c:pt>
                <c:pt idx="1055">
                  <c:v>-0.9039199200000021</c:v>
                </c:pt>
                <c:pt idx="1056">
                  <c:v>-1.2659999200000045</c:v>
                </c:pt>
                <c:pt idx="1057">
                  <c:v>-0.6321494999999997</c:v>
                </c:pt>
                <c:pt idx="1058">
                  <c:v>-0.6321494999999997</c:v>
                </c:pt>
                <c:pt idx="1059">
                  <c:v>0.36588512000000062</c:v>
                </c:pt>
                <c:pt idx="1060">
                  <c:v>9.3453379999998365E-2</c:v>
                </c:pt>
                <c:pt idx="1061">
                  <c:v>9.3453379999998365E-2</c:v>
                </c:pt>
                <c:pt idx="1062">
                  <c:v>0.36588512000000062</c:v>
                </c:pt>
                <c:pt idx="1063">
                  <c:v>0.27505449999999998</c:v>
                </c:pt>
                <c:pt idx="1064">
                  <c:v>-0.45086902000000562</c:v>
                </c:pt>
                <c:pt idx="1065">
                  <c:v>-8.806758000000281E-2</c:v>
                </c:pt>
                <c:pt idx="1066">
                  <c:v>2.6828799999978337E-3</c:v>
                </c:pt>
                <c:pt idx="1067">
                  <c:v>0.91128967999999766</c:v>
                </c:pt>
                <c:pt idx="1068">
                  <c:v>0.63849721999999565</c:v>
                </c:pt>
                <c:pt idx="1069">
                  <c:v>0.91128967999999766</c:v>
                </c:pt>
                <c:pt idx="1070">
                  <c:v>1.1842624999999996</c:v>
                </c:pt>
                <c:pt idx="1071">
                  <c:v>2.0042631199999987</c:v>
                </c:pt>
                <c:pt idx="1072">
                  <c:v>0.5476064799999949</c:v>
                </c:pt>
                <c:pt idx="1073">
                  <c:v>1.639617999999996</c:v>
                </c:pt>
                <c:pt idx="1074">
                  <c:v>0.63849721999999565</c:v>
                </c:pt>
                <c:pt idx="1075">
                  <c:v>0.63849721999999565</c:v>
                </c:pt>
                <c:pt idx="1076">
                  <c:v>2.6431636199999962</c:v>
                </c:pt>
                <c:pt idx="1077">
                  <c:v>-0.36019872000000497</c:v>
                </c:pt>
                <c:pt idx="1078">
                  <c:v>1.2752935200000004</c:v>
                </c:pt>
                <c:pt idx="1079">
                  <c:v>-0.45086902000000562</c:v>
                </c:pt>
                <c:pt idx="1080">
                  <c:v>-0.81334982000000133</c:v>
                </c:pt>
                <c:pt idx="1081">
                  <c:v>-0.36019872000000497</c:v>
                </c:pt>
                <c:pt idx="1082">
                  <c:v>-0.99446998000000253</c:v>
                </c:pt>
                <c:pt idx="1083">
                  <c:v>0.36588512000000062</c:v>
                </c:pt>
                <c:pt idx="1084">
                  <c:v>-0.9039199200000021</c:v>
                </c:pt>
                <c:pt idx="1085">
                  <c:v>-1.3564698200000054</c:v>
                </c:pt>
                <c:pt idx="1086">
                  <c:v>-0.99446998000000253</c:v>
                </c:pt>
                <c:pt idx="1087">
                  <c:v>-1.1755099800000037</c:v>
                </c:pt>
                <c:pt idx="1088">
                  <c:v>-0.9039199200000021</c:v>
                </c:pt>
                <c:pt idx="1089">
                  <c:v>-0.6321494999999997</c:v>
                </c:pt>
                <c:pt idx="1090">
                  <c:v>-0.99446998000000253</c:v>
                </c:pt>
                <c:pt idx="1091">
                  <c:v>-0.99446998000000253</c:v>
                </c:pt>
                <c:pt idx="1092">
                  <c:v>-0.6321494999999997</c:v>
                </c:pt>
                <c:pt idx="1093">
                  <c:v>-0.54151927999999927</c:v>
                </c:pt>
                <c:pt idx="1094">
                  <c:v>1.2752935200000004</c:v>
                </c:pt>
                <c:pt idx="1095">
                  <c:v>0.72940799999999628</c:v>
                </c:pt>
                <c:pt idx="1096">
                  <c:v>-0.99446998000000253</c:v>
                </c:pt>
                <c:pt idx="1097">
                  <c:v>-1.5373494999999995</c:v>
                </c:pt>
                <c:pt idx="1098">
                  <c:v>-1.9891980000000031</c:v>
                </c:pt>
                <c:pt idx="1099">
                  <c:v>-3.0715903200000039</c:v>
                </c:pt>
                <c:pt idx="1100">
                  <c:v>-3.3417374999999989</c:v>
                </c:pt>
                <c:pt idx="1101">
                  <c:v>-3.2517084800000053</c:v>
                </c:pt>
                <c:pt idx="1102">
                  <c:v>-3.1616594200000048</c:v>
                </c:pt>
                <c:pt idx="1103">
                  <c:v>-2.2600666200000052</c:v>
                </c:pt>
                <c:pt idx="1104">
                  <c:v>-1.4469196799999988</c:v>
                </c:pt>
                <c:pt idx="1105">
                  <c:v>-1.4469196799999988</c:v>
                </c:pt>
                <c:pt idx="1106">
                  <c:v>-0.54151927999999927</c:v>
                </c:pt>
                <c:pt idx="1107">
                  <c:v>-2.0795075800000036</c:v>
                </c:pt>
                <c:pt idx="1108">
                  <c:v>-1.6277592800000003</c:v>
                </c:pt>
                <c:pt idx="1109">
                  <c:v>-2.5307548799999999</c:v>
                </c:pt>
                <c:pt idx="1110">
                  <c:v>-2.9815011800000035</c:v>
                </c:pt>
                <c:pt idx="1111">
                  <c:v>-1.8085187200000017</c:v>
                </c:pt>
                <c:pt idx="1112">
                  <c:v>-4.1510968800000052</c:v>
                </c:pt>
                <c:pt idx="1113">
                  <c:v>-3.6117043200000012</c:v>
                </c:pt>
                <c:pt idx="1114">
                  <c:v>-4.6000395800000016</c:v>
                </c:pt>
                <c:pt idx="1115">
                  <c:v>-4.0612482200000048</c:v>
                </c:pt>
                <c:pt idx="1116">
                  <c:v>-4.7794763800000029</c:v>
                </c:pt>
                <c:pt idx="1117">
                  <c:v>-4.5102911200000007</c:v>
                </c:pt>
                <c:pt idx="1118">
                  <c:v>-4.4205226199999998</c:v>
                </c:pt>
                <c:pt idx="1119">
                  <c:v>-4.3307340799999992</c:v>
                </c:pt>
                <c:pt idx="1120">
                  <c:v>-3.7915820000000022</c:v>
                </c:pt>
                <c:pt idx="1121">
                  <c:v>-4.0612482200000048</c:v>
                </c:pt>
                <c:pt idx="1122">
                  <c:v>-2.8913920000000028</c:v>
                </c:pt>
                <c:pt idx="1123">
                  <c:v>-1.4469196799999988</c:v>
                </c:pt>
                <c:pt idx="1124">
                  <c:v>-2.6209442200000006</c:v>
                </c:pt>
                <c:pt idx="1125">
                  <c:v>-3.3417374999999989</c:v>
                </c:pt>
                <c:pt idx="1126">
                  <c:v>-3.9713795200000037</c:v>
                </c:pt>
                <c:pt idx="1127">
                  <c:v>-3.3417374999999989</c:v>
                </c:pt>
                <c:pt idx="1128">
                  <c:v>-3.2517084800000053</c:v>
                </c:pt>
                <c:pt idx="1129">
                  <c:v>-3.7915820000000022</c:v>
                </c:pt>
                <c:pt idx="1130">
                  <c:v>-2.8012627800000018</c:v>
                </c:pt>
                <c:pt idx="1131">
                  <c:v>-0.72275968000000068</c:v>
                </c:pt>
                <c:pt idx="1132">
                  <c:v>-2.2600666200000052</c:v>
                </c:pt>
                <c:pt idx="1133">
                  <c:v>1.093251519999999</c:v>
                </c:pt>
                <c:pt idx="1134">
                  <c:v>-2.3503160800000056</c:v>
                </c:pt>
                <c:pt idx="1135">
                  <c:v>-2.0795075800000036</c:v>
                </c:pt>
                <c:pt idx="1136">
                  <c:v>-2.0795075800000036</c:v>
                </c:pt>
                <c:pt idx="1137">
                  <c:v>-1.9891980000000031</c:v>
                </c:pt>
                <c:pt idx="1138">
                  <c:v>-1.8085187200000017</c:v>
                </c:pt>
                <c:pt idx="1139">
                  <c:v>-1.0850000000000031</c:v>
                </c:pt>
                <c:pt idx="1140">
                  <c:v>-0.81334982000000133</c:v>
                </c:pt>
                <c:pt idx="1141">
                  <c:v>-1.0850000000000031</c:v>
                </c:pt>
                <c:pt idx="1142">
                  <c:v>-0.99446998000000253</c:v>
                </c:pt>
                <c:pt idx="1143">
                  <c:v>-0.6321494999999997</c:v>
                </c:pt>
                <c:pt idx="1144">
                  <c:v>0.27505449999999998</c:v>
                </c:pt>
                <c:pt idx="1145">
                  <c:v>-0.26950838000000443</c:v>
                </c:pt>
                <c:pt idx="1146">
                  <c:v>-0.6321494999999997</c:v>
                </c:pt>
                <c:pt idx="1147">
                  <c:v>-0.26950838000000443</c:v>
                </c:pt>
                <c:pt idx="1148">
                  <c:v>1.093251519999999</c:v>
                </c:pt>
                <c:pt idx="1149">
                  <c:v>-0.54151927999999927</c:v>
                </c:pt>
                <c:pt idx="1150">
                  <c:v>0.18424391999999923</c:v>
                </c:pt>
                <c:pt idx="1151">
                  <c:v>-1.2659999200000045</c:v>
                </c:pt>
                <c:pt idx="1152">
                  <c:v>0.36588512000000062</c:v>
                </c:pt>
                <c:pt idx="1153">
                  <c:v>1.8219004799999974</c:v>
                </c:pt>
                <c:pt idx="1154">
                  <c:v>9.3453379999998365E-2</c:v>
                </c:pt>
                <c:pt idx="1155">
                  <c:v>3.1001223199999997</c:v>
                </c:pt>
                <c:pt idx="1156">
                  <c:v>-0.6321494999999997</c:v>
                </c:pt>
                <c:pt idx="1157">
                  <c:v>-1.4469196799999988</c:v>
                </c:pt>
                <c:pt idx="1158">
                  <c:v>-1.3564698200000054</c:v>
                </c:pt>
                <c:pt idx="1159">
                  <c:v>-1.5373494999999995</c:v>
                </c:pt>
                <c:pt idx="1160">
                  <c:v>-1.3564698200000054</c:v>
                </c:pt>
                <c:pt idx="1161">
                  <c:v>-1.7181490200000011</c:v>
                </c:pt>
                <c:pt idx="1162">
                  <c:v>2.6431636199999962</c:v>
                </c:pt>
                <c:pt idx="1163">
                  <c:v>1.9130717799999979</c:v>
                </c:pt>
                <c:pt idx="1164">
                  <c:v>-8.806758000000281E-2</c:v>
                </c:pt>
                <c:pt idx="1165">
                  <c:v>1.093251519999999</c:v>
                </c:pt>
                <c:pt idx="1166">
                  <c:v>0.45673578000000115</c:v>
                </c:pt>
                <c:pt idx="1167">
                  <c:v>-0.45086902000000562</c:v>
                </c:pt>
                <c:pt idx="1168">
                  <c:v>-1.8988683800000024</c:v>
                </c:pt>
                <c:pt idx="1169">
                  <c:v>-2.0795075800000036</c:v>
                </c:pt>
                <c:pt idx="1170">
                  <c:v>-1.9891980000000031</c:v>
                </c:pt>
                <c:pt idx="1171">
                  <c:v>-1.9891980000000031</c:v>
                </c:pt>
                <c:pt idx="1172">
                  <c:v>-0.9039199200000021</c:v>
                </c:pt>
                <c:pt idx="1173">
                  <c:v>-0.9039199200000021</c:v>
                </c:pt>
                <c:pt idx="1174">
                  <c:v>-0.72275968000000068</c:v>
                </c:pt>
                <c:pt idx="1175">
                  <c:v>-0.9039199200000021</c:v>
                </c:pt>
                <c:pt idx="1176">
                  <c:v>-0.81334982000000133</c:v>
                </c:pt>
                <c:pt idx="1177">
                  <c:v>-0.6321494999999997</c:v>
                </c:pt>
                <c:pt idx="1178">
                  <c:v>-0.6321494999999997</c:v>
                </c:pt>
                <c:pt idx="1179">
                  <c:v>-0.99446998000000253</c:v>
                </c:pt>
                <c:pt idx="1180">
                  <c:v>-0.9039199200000021</c:v>
                </c:pt>
                <c:pt idx="1181">
                  <c:v>-0.6321494999999997</c:v>
                </c:pt>
                <c:pt idx="1182">
                  <c:v>-0.54151927999999927</c:v>
                </c:pt>
                <c:pt idx="1183">
                  <c:v>-0.26950838000000443</c:v>
                </c:pt>
                <c:pt idx="1184">
                  <c:v>0.18424391999999923</c:v>
                </c:pt>
                <c:pt idx="1185">
                  <c:v>0.45673578000000115</c:v>
                </c:pt>
                <c:pt idx="1186">
                  <c:v>0.36588512000000062</c:v>
                </c:pt>
                <c:pt idx="1187">
                  <c:v>0.5476064799999949</c:v>
                </c:pt>
                <c:pt idx="1188">
                  <c:v>0.8203388199999968</c:v>
                </c:pt>
                <c:pt idx="1189">
                  <c:v>1.1842624999999996</c:v>
                </c:pt>
                <c:pt idx="1190">
                  <c:v>1.5485068199999952</c:v>
                </c:pt>
                <c:pt idx="1191">
                  <c:v>1.093251519999999</c:v>
                </c:pt>
                <c:pt idx="1192">
                  <c:v>0.36588512000000062</c:v>
                </c:pt>
                <c:pt idx="1193">
                  <c:v>0.91128967999999766</c:v>
                </c:pt>
                <c:pt idx="1194">
                  <c:v>0.18424391999999923</c:v>
                </c:pt>
                <c:pt idx="1195">
                  <c:v>2.6828799999978337E-3</c:v>
                </c:pt>
                <c:pt idx="1196">
                  <c:v>0.45673578000000115</c:v>
                </c:pt>
                <c:pt idx="1197">
                  <c:v>0.5476064799999949</c:v>
                </c:pt>
                <c:pt idx="1198">
                  <c:v>0.63849721999999565</c:v>
                </c:pt>
                <c:pt idx="1199">
                  <c:v>-8.806758000000281E-2</c:v>
                </c:pt>
                <c:pt idx="1200">
                  <c:v>0.36588512000000062</c:v>
                </c:pt>
                <c:pt idx="1201">
                  <c:v>-0.26950838000000443</c:v>
                </c:pt>
                <c:pt idx="1202">
                  <c:v>-0.26950838000000443</c:v>
                </c:pt>
                <c:pt idx="1203">
                  <c:v>-0.6321494999999997</c:v>
                </c:pt>
                <c:pt idx="1204">
                  <c:v>-0.9039199200000021</c:v>
                </c:pt>
                <c:pt idx="1205">
                  <c:v>-0.81334982000000133</c:v>
                </c:pt>
                <c:pt idx="1206">
                  <c:v>-0.9039199200000021</c:v>
                </c:pt>
                <c:pt idx="1207">
                  <c:v>-1.1755099800000037</c:v>
                </c:pt>
                <c:pt idx="1208">
                  <c:v>-0.99446998000000253</c:v>
                </c:pt>
                <c:pt idx="1209">
                  <c:v>-1.2659999200000045</c:v>
                </c:pt>
                <c:pt idx="1210">
                  <c:v>-1.5373494999999995</c:v>
                </c:pt>
                <c:pt idx="1211">
                  <c:v>-1.5373494999999995</c:v>
                </c:pt>
                <c:pt idx="1212">
                  <c:v>-1.4469196799999988</c:v>
                </c:pt>
                <c:pt idx="1213">
                  <c:v>-1.8085187200000017</c:v>
                </c:pt>
                <c:pt idx="1214">
                  <c:v>-0.9039199200000021</c:v>
                </c:pt>
                <c:pt idx="1215">
                  <c:v>-2.0795075800000036</c:v>
                </c:pt>
                <c:pt idx="1216">
                  <c:v>-2.0795075800000036</c:v>
                </c:pt>
                <c:pt idx="1217">
                  <c:v>-2.0795075800000036</c:v>
                </c:pt>
                <c:pt idx="1218">
                  <c:v>-2.0795075800000036</c:v>
                </c:pt>
                <c:pt idx="1219">
                  <c:v>-2.1697971200000041</c:v>
                </c:pt>
                <c:pt idx="1220">
                  <c:v>-2.1697971200000041</c:v>
                </c:pt>
                <c:pt idx="1221">
                  <c:v>-2.1697971200000041</c:v>
                </c:pt>
                <c:pt idx="1222">
                  <c:v>-2.2600666200000052</c:v>
                </c:pt>
                <c:pt idx="1223">
                  <c:v>-2.3503160800000056</c:v>
                </c:pt>
                <c:pt idx="1224">
                  <c:v>-2.3503160800000056</c:v>
                </c:pt>
                <c:pt idx="1225">
                  <c:v>-2.1697971200000041</c:v>
                </c:pt>
                <c:pt idx="1226">
                  <c:v>-2.3503160800000056</c:v>
                </c:pt>
                <c:pt idx="1227">
                  <c:v>-2.3503160800000056</c:v>
                </c:pt>
                <c:pt idx="1228">
                  <c:v>-2.2600666200000052</c:v>
                </c:pt>
                <c:pt idx="1229">
                  <c:v>-2.0795075800000036</c:v>
                </c:pt>
                <c:pt idx="1230">
                  <c:v>-2.1697971200000041</c:v>
                </c:pt>
                <c:pt idx="1231">
                  <c:v>-1.9891980000000031</c:v>
                </c:pt>
                <c:pt idx="1232">
                  <c:v>-1.8988683800000024</c:v>
                </c:pt>
                <c:pt idx="1233">
                  <c:v>-1.1755099800000037</c:v>
                </c:pt>
                <c:pt idx="1234">
                  <c:v>-1.8988683800000024</c:v>
                </c:pt>
                <c:pt idx="1235">
                  <c:v>-1.5373494999999995</c:v>
                </c:pt>
                <c:pt idx="1236">
                  <c:v>-1.5373494999999995</c:v>
                </c:pt>
                <c:pt idx="1237">
                  <c:v>-1.0850000000000031</c:v>
                </c:pt>
                <c:pt idx="1238">
                  <c:v>-1.0850000000000031</c:v>
                </c:pt>
                <c:pt idx="1239">
                  <c:v>-0.81334982000000133</c:v>
                </c:pt>
                <c:pt idx="1240">
                  <c:v>-1.0850000000000031</c:v>
                </c:pt>
                <c:pt idx="1241">
                  <c:v>-0.99446998000000253</c:v>
                </c:pt>
                <c:pt idx="1242">
                  <c:v>-1.2659999200000045</c:v>
                </c:pt>
                <c:pt idx="1243">
                  <c:v>-1.6277592800000003</c:v>
                </c:pt>
                <c:pt idx="1244">
                  <c:v>-0.81334982000000133</c:v>
                </c:pt>
                <c:pt idx="1245">
                  <c:v>-1.7181490200000011</c:v>
                </c:pt>
                <c:pt idx="1246">
                  <c:v>-0.72275968000000068</c:v>
                </c:pt>
                <c:pt idx="1247">
                  <c:v>-1.0850000000000031</c:v>
                </c:pt>
                <c:pt idx="1248">
                  <c:v>-0.99446998000000253</c:v>
                </c:pt>
                <c:pt idx="1249">
                  <c:v>-0.9039199200000021</c:v>
                </c:pt>
                <c:pt idx="1250">
                  <c:v>-1.4469196799999988</c:v>
                </c:pt>
                <c:pt idx="1251">
                  <c:v>-1.1755099800000037</c:v>
                </c:pt>
                <c:pt idx="1252">
                  <c:v>-1.7181490200000011</c:v>
                </c:pt>
                <c:pt idx="1253">
                  <c:v>-1.2659999200000045</c:v>
                </c:pt>
                <c:pt idx="1254">
                  <c:v>-1.7181490200000011</c:v>
                </c:pt>
                <c:pt idx="1255">
                  <c:v>-1.9891980000000031</c:v>
                </c:pt>
                <c:pt idx="1256">
                  <c:v>-1.7181490200000011</c:v>
                </c:pt>
                <c:pt idx="1257">
                  <c:v>-1.9891980000000031</c:v>
                </c:pt>
                <c:pt idx="1258">
                  <c:v>-1.8085187200000017</c:v>
                </c:pt>
                <c:pt idx="1259">
                  <c:v>-1.8085187200000017</c:v>
                </c:pt>
                <c:pt idx="1260">
                  <c:v>-2.4405454999999994</c:v>
                </c:pt>
                <c:pt idx="1261">
                  <c:v>-2.0795075800000036</c:v>
                </c:pt>
                <c:pt idx="1262">
                  <c:v>-1.9891980000000031</c:v>
                </c:pt>
                <c:pt idx="1263">
                  <c:v>-2.2600666200000052</c:v>
                </c:pt>
                <c:pt idx="1264">
                  <c:v>-2.1697971200000041</c:v>
                </c:pt>
                <c:pt idx="1265">
                  <c:v>-2.5307548799999999</c:v>
                </c:pt>
                <c:pt idx="1266">
                  <c:v>-2.4405454999999994</c:v>
                </c:pt>
                <c:pt idx="1267">
                  <c:v>-2.8012627800000018</c:v>
                </c:pt>
                <c:pt idx="1268">
                  <c:v>-3.0715903200000039</c:v>
                </c:pt>
                <c:pt idx="1269">
                  <c:v>-2.3503160800000056</c:v>
                </c:pt>
                <c:pt idx="1270">
                  <c:v>-2.6209442200000006</c:v>
                </c:pt>
                <c:pt idx="1271">
                  <c:v>-1.7181490200000011</c:v>
                </c:pt>
                <c:pt idx="1272">
                  <c:v>-1.3564698200000054</c:v>
                </c:pt>
                <c:pt idx="1273">
                  <c:v>-1.4469196799999988</c:v>
                </c:pt>
                <c:pt idx="1274">
                  <c:v>-1.5373494999999995</c:v>
                </c:pt>
                <c:pt idx="1275">
                  <c:v>-0.6321494999999997</c:v>
                </c:pt>
                <c:pt idx="1276">
                  <c:v>-0.81334982000000133</c:v>
                </c:pt>
                <c:pt idx="1277">
                  <c:v>-0.17879800000000357</c:v>
                </c:pt>
                <c:pt idx="1278">
                  <c:v>-0.36019872000000497</c:v>
                </c:pt>
                <c:pt idx="1279">
                  <c:v>0.8203388199999968</c:v>
                </c:pt>
                <c:pt idx="1280">
                  <c:v>1.1842624999999996</c:v>
                </c:pt>
                <c:pt idx="1281">
                  <c:v>10.758822819999999</c:v>
                </c:pt>
                <c:pt idx="1282">
                  <c:v>12.531438079999997</c:v>
                </c:pt>
                <c:pt idx="1283">
                  <c:v>11.784192000000001</c:v>
                </c:pt>
                <c:pt idx="1284">
                  <c:v>12.344506319999997</c:v>
                </c:pt>
                <c:pt idx="1285">
                  <c:v>11.597580879999999</c:v>
                </c:pt>
                <c:pt idx="1286">
                  <c:v>10.945073220000001</c:v>
                </c:pt>
                <c:pt idx="1287">
                  <c:v>11.317814499999997</c:v>
                </c:pt>
                <c:pt idx="1288">
                  <c:v>11.597580879999999</c:v>
                </c:pt>
                <c:pt idx="1289">
                  <c:v>9.9216879999999996</c:v>
                </c:pt>
                <c:pt idx="1290">
                  <c:v>10.386562499999997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A0-4CF9-AF2F-AAF9FBD27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328240"/>
        <c:axId val="1"/>
      </c:scatterChart>
      <c:valAx>
        <c:axId val="706328240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632824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071428571428586E-2"/>
          <c:y val="4.5871559633027519E-2"/>
          <c:w val="0.79285714285714293"/>
          <c:h val="0.87155963302752293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AADATA!$H:$H</c:f>
              <c:numCache>
                <c:formatCode>General</c:formatCode>
                <c:ptCount val="65536"/>
                <c:pt idx="2" formatCode="m/d/yyyy\ h:mm">
                  <c:v>36828.708333333336</c:v>
                </c:pt>
                <c:pt idx="3" formatCode="m/d/yyyy\ h:mm">
                  <c:v>36828.729166666672</c:v>
                </c:pt>
                <c:pt idx="4" formatCode="m/d/yyyy\ h:mm">
                  <c:v>36828.750000000007</c:v>
                </c:pt>
                <c:pt idx="5" formatCode="m/d/yyyy\ h:mm">
                  <c:v>36828.770833333343</c:v>
                </c:pt>
                <c:pt idx="6" formatCode="m/d/yyyy\ h:mm">
                  <c:v>36828.791666666679</c:v>
                </c:pt>
                <c:pt idx="7" formatCode="m/d/yyyy\ h:mm">
                  <c:v>36828.812500000015</c:v>
                </c:pt>
                <c:pt idx="8" formatCode="m/d/yyyy\ h:mm">
                  <c:v>36828.83333333335</c:v>
                </c:pt>
                <c:pt idx="9" formatCode="m/d/yyyy\ h:mm">
                  <c:v>36828.854166666686</c:v>
                </c:pt>
                <c:pt idx="10" formatCode="m/d/yyyy\ h:mm">
                  <c:v>36828.875000000022</c:v>
                </c:pt>
                <c:pt idx="11" formatCode="m/d/yyyy\ h:mm">
                  <c:v>36828.895833333358</c:v>
                </c:pt>
                <c:pt idx="12" formatCode="m/d/yyyy\ h:mm">
                  <c:v>36828.916666666693</c:v>
                </c:pt>
                <c:pt idx="13" formatCode="m/d/yyyy\ h:mm">
                  <c:v>36828.937500000029</c:v>
                </c:pt>
                <c:pt idx="14" formatCode="m/d/yyyy\ h:mm">
                  <c:v>36828.958333333365</c:v>
                </c:pt>
                <c:pt idx="15" formatCode="m/d/yyyy\ h:mm">
                  <c:v>36828.979166666701</c:v>
                </c:pt>
                <c:pt idx="16" formatCode="m/d/yyyy\ h:mm">
                  <c:v>36829.000000000036</c:v>
                </c:pt>
                <c:pt idx="17" formatCode="m/d/yyyy\ h:mm">
                  <c:v>36829.020833333372</c:v>
                </c:pt>
                <c:pt idx="18" formatCode="m/d/yyyy\ h:mm">
                  <c:v>36829.041666666708</c:v>
                </c:pt>
                <c:pt idx="19" formatCode="m/d/yyyy\ h:mm">
                  <c:v>36829.062500000044</c:v>
                </c:pt>
                <c:pt idx="20" formatCode="m/d/yyyy\ h:mm">
                  <c:v>36829.083333333379</c:v>
                </c:pt>
                <c:pt idx="21" formatCode="m/d/yyyy\ h:mm">
                  <c:v>36829.104166666715</c:v>
                </c:pt>
                <c:pt idx="22" formatCode="m/d/yyyy\ h:mm">
                  <c:v>36829.125000000051</c:v>
                </c:pt>
                <c:pt idx="23" formatCode="m/d/yyyy\ h:mm">
                  <c:v>36829.145833333387</c:v>
                </c:pt>
                <c:pt idx="24" formatCode="m/d/yyyy\ h:mm">
                  <c:v>36829.166666666722</c:v>
                </c:pt>
                <c:pt idx="25" formatCode="m/d/yyyy\ h:mm">
                  <c:v>36829.187500000058</c:v>
                </c:pt>
                <c:pt idx="26" formatCode="m/d/yyyy\ h:mm">
                  <c:v>36829.208333333394</c:v>
                </c:pt>
                <c:pt idx="27" formatCode="m/d/yyyy\ h:mm">
                  <c:v>36829.22916666673</c:v>
                </c:pt>
                <c:pt idx="28" formatCode="m/d/yyyy\ h:mm">
                  <c:v>36829.250000000065</c:v>
                </c:pt>
                <c:pt idx="29" formatCode="m/d/yyyy\ h:mm">
                  <c:v>36829.270833333401</c:v>
                </c:pt>
                <c:pt idx="30" formatCode="m/d/yyyy\ h:mm">
                  <c:v>36829.291666666737</c:v>
                </c:pt>
                <c:pt idx="31" formatCode="m/d/yyyy\ h:mm">
                  <c:v>36829.312500000073</c:v>
                </c:pt>
                <c:pt idx="32" formatCode="m/d/yyyy\ h:mm">
                  <c:v>36829.333333333409</c:v>
                </c:pt>
                <c:pt idx="33" formatCode="m/d/yyyy\ h:mm">
                  <c:v>36829.354166666744</c:v>
                </c:pt>
                <c:pt idx="34" formatCode="m/d/yyyy\ h:mm">
                  <c:v>36829.37500000008</c:v>
                </c:pt>
                <c:pt idx="35" formatCode="m/d/yyyy\ h:mm">
                  <c:v>36829.395833333416</c:v>
                </c:pt>
                <c:pt idx="36" formatCode="m/d/yyyy\ h:mm">
                  <c:v>36829.416666666752</c:v>
                </c:pt>
                <c:pt idx="37" formatCode="m/d/yyyy\ h:mm">
                  <c:v>36829.437500000087</c:v>
                </c:pt>
                <c:pt idx="38" formatCode="m/d/yyyy\ h:mm">
                  <c:v>36829.458333333423</c:v>
                </c:pt>
                <c:pt idx="39" formatCode="m/d/yyyy\ h:mm">
                  <c:v>36829.479166666759</c:v>
                </c:pt>
                <c:pt idx="40" formatCode="m/d/yyyy\ h:mm">
                  <c:v>36829.500000000095</c:v>
                </c:pt>
                <c:pt idx="41" formatCode="m/d/yyyy\ h:mm">
                  <c:v>36829.52083333343</c:v>
                </c:pt>
                <c:pt idx="42" formatCode="m/d/yyyy\ h:mm">
                  <c:v>36829.541666666766</c:v>
                </c:pt>
                <c:pt idx="43" formatCode="m/d/yyyy\ h:mm">
                  <c:v>36829.562500000102</c:v>
                </c:pt>
                <c:pt idx="44" formatCode="m/d/yyyy\ h:mm">
                  <c:v>36829.583333333438</c:v>
                </c:pt>
                <c:pt idx="45" formatCode="m/d/yyyy\ h:mm">
                  <c:v>36829.604166666773</c:v>
                </c:pt>
                <c:pt idx="46" formatCode="m/d/yyyy\ h:mm">
                  <c:v>36829.625000000109</c:v>
                </c:pt>
                <c:pt idx="47" formatCode="m/d/yyyy\ h:mm">
                  <c:v>36829.645833333445</c:v>
                </c:pt>
                <c:pt idx="48" formatCode="m/d/yyyy\ h:mm">
                  <c:v>36829.666666666781</c:v>
                </c:pt>
                <c:pt idx="49" formatCode="m/d/yyyy\ h:mm">
                  <c:v>36829.687500000116</c:v>
                </c:pt>
                <c:pt idx="50" formatCode="m/d/yyyy\ h:mm">
                  <c:v>36829.708333333452</c:v>
                </c:pt>
                <c:pt idx="51" formatCode="m/d/yyyy\ h:mm">
                  <c:v>36829.729166666788</c:v>
                </c:pt>
                <c:pt idx="52" formatCode="m/d/yyyy\ h:mm">
                  <c:v>36829.750000000124</c:v>
                </c:pt>
                <c:pt idx="53" formatCode="m/d/yyyy\ h:mm">
                  <c:v>36829.770833333459</c:v>
                </c:pt>
                <c:pt idx="54" formatCode="m/d/yyyy\ h:mm">
                  <c:v>36829.791666666795</c:v>
                </c:pt>
                <c:pt idx="55" formatCode="m/d/yyyy\ h:mm">
                  <c:v>36829.812500000131</c:v>
                </c:pt>
                <c:pt idx="56" formatCode="m/d/yyyy\ h:mm">
                  <c:v>36829.833333333467</c:v>
                </c:pt>
                <c:pt idx="57" formatCode="m/d/yyyy\ h:mm">
                  <c:v>36829.854166666802</c:v>
                </c:pt>
                <c:pt idx="58" formatCode="m/d/yyyy\ h:mm">
                  <c:v>36829.875000000138</c:v>
                </c:pt>
                <c:pt idx="59" formatCode="m/d/yyyy\ h:mm">
                  <c:v>36829.895833333474</c:v>
                </c:pt>
                <c:pt idx="60" formatCode="m/d/yyyy\ h:mm">
                  <c:v>36829.91666666681</c:v>
                </c:pt>
                <c:pt idx="61" formatCode="m/d/yyyy\ h:mm">
                  <c:v>36829.937500000146</c:v>
                </c:pt>
                <c:pt idx="62" formatCode="m/d/yyyy\ h:mm">
                  <c:v>36829.958333333481</c:v>
                </c:pt>
                <c:pt idx="63" formatCode="m/d/yyyy\ h:mm">
                  <c:v>36829.979166666817</c:v>
                </c:pt>
                <c:pt idx="64" formatCode="m/d/yyyy\ h:mm">
                  <c:v>36830.000000000153</c:v>
                </c:pt>
                <c:pt idx="65" formatCode="m/d/yyyy\ h:mm">
                  <c:v>36830.020833333489</c:v>
                </c:pt>
                <c:pt idx="66" formatCode="m/d/yyyy\ h:mm">
                  <c:v>36830.041666666824</c:v>
                </c:pt>
                <c:pt idx="67" formatCode="m/d/yyyy\ h:mm">
                  <c:v>36830.06250000016</c:v>
                </c:pt>
                <c:pt idx="68" formatCode="m/d/yyyy\ h:mm">
                  <c:v>36830.083333333496</c:v>
                </c:pt>
                <c:pt idx="69" formatCode="m/d/yyyy\ h:mm">
                  <c:v>36830.104166666832</c:v>
                </c:pt>
                <c:pt idx="70" formatCode="m/d/yyyy\ h:mm">
                  <c:v>36830.125000000167</c:v>
                </c:pt>
                <c:pt idx="71" formatCode="m/d/yyyy\ h:mm">
                  <c:v>36830.145833333503</c:v>
                </c:pt>
                <c:pt idx="72" formatCode="m/d/yyyy\ h:mm">
                  <c:v>36830.166666666839</c:v>
                </c:pt>
                <c:pt idx="73" formatCode="m/d/yyyy\ h:mm">
                  <c:v>36830.187500000175</c:v>
                </c:pt>
                <c:pt idx="74" formatCode="m/d/yyyy\ h:mm">
                  <c:v>36830.20833333351</c:v>
                </c:pt>
                <c:pt idx="75" formatCode="m/d/yyyy\ h:mm">
                  <c:v>36830.229166666846</c:v>
                </c:pt>
                <c:pt idx="76" formatCode="m/d/yyyy\ h:mm">
                  <c:v>36830.250000000182</c:v>
                </c:pt>
                <c:pt idx="77" formatCode="m/d/yyyy\ h:mm">
                  <c:v>36830.270833333518</c:v>
                </c:pt>
                <c:pt idx="78" formatCode="m/d/yyyy\ h:mm">
                  <c:v>36830.291666666853</c:v>
                </c:pt>
                <c:pt idx="79" formatCode="m/d/yyyy\ h:mm">
                  <c:v>36830.312500000189</c:v>
                </c:pt>
                <c:pt idx="80" formatCode="m/d/yyyy\ h:mm">
                  <c:v>36830.333333333525</c:v>
                </c:pt>
                <c:pt idx="81" formatCode="m/d/yyyy\ h:mm">
                  <c:v>36830.354166666861</c:v>
                </c:pt>
                <c:pt idx="82" formatCode="m/d/yyyy\ h:mm">
                  <c:v>36830.375000000196</c:v>
                </c:pt>
                <c:pt idx="83" formatCode="m/d/yyyy\ h:mm">
                  <c:v>36830.395833333532</c:v>
                </c:pt>
                <c:pt idx="84" formatCode="m/d/yyyy\ h:mm">
                  <c:v>36830.416666666868</c:v>
                </c:pt>
                <c:pt idx="85" formatCode="m/d/yyyy\ h:mm">
                  <c:v>36830.437500000204</c:v>
                </c:pt>
                <c:pt idx="86" formatCode="m/d/yyyy\ h:mm">
                  <c:v>36830.458333333539</c:v>
                </c:pt>
                <c:pt idx="87" formatCode="m/d/yyyy\ h:mm">
                  <c:v>36830.479166666875</c:v>
                </c:pt>
                <c:pt idx="88" formatCode="m/d/yyyy\ h:mm">
                  <c:v>36830.500000000211</c:v>
                </c:pt>
                <c:pt idx="89" formatCode="m/d/yyyy\ h:mm">
                  <c:v>36830.520833333547</c:v>
                </c:pt>
                <c:pt idx="90" formatCode="m/d/yyyy\ h:mm">
                  <c:v>36830.541666666883</c:v>
                </c:pt>
                <c:pt idx="91" formatCode="m/d/yyyy\ h:mm">
                  <c:v>36830.562500000218</c:v>
                </c:pt>
                <c:pt idx="92" formatCode="m/d/yyyy\ h:mm">
                  <c:v>36830.583333333554</c:v>
                </c:pt>
                <c:pt idx="93" formatCode="m/d/yyyy\ h:mm">
                  <c:v>36830.60416666689</c:v>
                </c:pt>
                <c:pt idx="94" formatCode="m/d/yyyy\ h:mm">
                  <c:v>36830.625000000226</c:v>
                </c:pt>
                <c:pt idx="95" formatCode="m/d/yyyy\ h:mm">
                  <c:v>36830.645833333561</c:v>
                </c:pt>
                <c:pt idx="96" formatCode="m/d/yyyy\ h:mm">
                  <c:v>36830.666666666897</c:v>
                </c:pt>
                <c:pt idx="97" formatCode="m/d/yyyy\ h:mm">
                  <c:v>36830.687500000233</c:v>
                </c:pt>
                <c:pt idx="98" formatCode="m/d/yyyy\ h:mm">
                  <c:v>36830.708333333569</c:v>
                </c:pt>
                <c:pt idx="99" formatCode="m/d/yyyy\ h:mm">
                  <c:v>36830.729166666904</c:v>
                </c:pt>
                <c:pt idx="100" formatCode="m/d/yyyy\ h:mm">
                  <c:v>36830.75000000024</c:v>
                </c:pt>
                <c:pt idx="101" formatCode="m/d/yyyy\ h:mm">
                  <c:v>36830.770833333576</c:v>
                </c:pt>
                <c:pt idx="102" formatCode="m/d/yyyy\ h:mm">
                  <c:v>36830.791666666912</c:v>
                </c:pt>
                <c:pt idx="103" formatCode="m/d/yyyy\ h:mm">
                  <c:v>36830.812500000247</c:v>
                </c:pt>
                <c:pt idx="104" formatCode="m/d/yyyy\ h:mm">
                  <c:v>36830.833333333583</c:v>
                </c:pt>
                <c:pt idx="105" formatCode="m/d/yyyy\ h:mm">
                  <c:v>36830.854166666919</c:v>
                </c:pt>
                <c:pt idx="106" formatCode="m/d/yyyy\ h:mm">
                  <c:v>36830.875000000255</c:v>
                </c:pt>
                <c:pt idx="107" formatCode="m/d/yyyy\ h:mm">
                  <c:v>36830.89583333359</c:v>
                </c:pt>
                <c:pt idx="108" formatCode="m/d/yyyy\ h:mm">
                  <c:v>36830.916666666926</c:v>
                </c:pt>
                <c:pt idx="109" formatCode="m/d/yyyy\ h:mm">
                  <c:v>36830.937500000262</c:v>
                </c:pt>
                <c:pt idx="110" formatCode="m/d/yyyy\ h:mm">
                  <c:v>36830.958333333598</c:v>
                </c:pt>
                <c:pt idx="111" formatCode="m/d/yyyy\ h:mm">
                  <c:v>36830.979166666933</c:v>
                </c:pt>
                <c:pt idx="112" formatCode="m/d/yyyy\ h:mm">
                  <c:v>36831.000000000269</c:v>
                </c:pt>
                <c:pt idx="113" formatCode="m/d/yyyy\ h:mm">
                  <c:v>36831.020833333605</c:v>
                </c:pt>
                <c:pt idx="114" formatCode="m/d/yyyy\ h:mm">
                  <c:v>36831.041666666941</c:v>
                </c:pt>
                <c:pt idx="115" formatCode="m/d/yyyy\ h:mm">
                  <c:v>36831.062500000276</c:v>
                </c:pt>
                <c:pt idx="116" formatCode="m/d/yyyy\ h:mm">
                  <c:v>36831.083333333612</c:v>
                </c:pt>
                <c:pt idx="117" formatCode="m/d/yyyy\ h:mm">
                  <c:v>36831.104166666948</c:v>
                </c:pt>
                <c:pt idx="118" formatCode="m/d/yyyy\ h:mm">
                  <c:v>36831.125000000284</c:v>
                </c:pt>
                <c:pt idx="119" formatCode="m/d/yyyy\ h:mm">
                  <c:v>36831.14583333362</c:v>
                </c:pt>
                <c:pt idx="120" formatCode="m/d/yyyy\ h:mm">
                  <c:v>36831.166666666955</c:v>
                </c:pt>
                <c:pt idx="121" formatCode="m/d/yyyy\ h:mm">
                  <c:v>36831.187500000291</c:v>
                </c:pt>
                <c:pt idx="122" formatCode="m/d/yyyy\ h:mm">
                  <c:v>36831.208333333627</c:v>
                </c:pt>
                <c:pt idx="123" formatCode="m/d/yyyy\ h:mm">
                  <c:v>36831.229166666963</c:v>
                </c:pt>
                <c:pt idx="124" formatCode="m/d/yyyy\ h:mm">
                  <c:v>36831.250000000298</c:v>
                </c:pt>
                <c:pt idx="125" formatCode="m/d/yyyy\ h:mm">
                  <c:v>36831.270833333634</c:v>
                </c:pt>
                <c:pt idx="126" formatCode="m/d/yyyy\ h:mm">
                  <c:v>36831.29166666697</c:v>
                </c:pt>
                <c:pt idx="127" formatCode="m/d/yyyy\ h:mm">
                  <c:v>36831.312500000306</c:v>
                </c:pt>
                <c:pt idx="128" formatCode="m/d/yyyy\ h:mm">
                  <c:v>36831.333333333641</c:v>
                </c:pt>
                <c:pt idx="129" formatCode="m/d/yyyy\ h:mm">
                  <c:v>36831.354166666977</c:v>
                </c:pt>
                <c:pt idx="130" formatCode="m/d/yyyy\ h:mm">
                  <c:v>36831.375000000313</c:v>
                </c:pt>
                <c:pt idx="131" formatCode="m/d/yyyy\ h:mm">
                  <c:v>36831.395833333649</c:v>
                </c:pt>
                <c:pt idx="132" formatCode="m/d/yyyy\ h:mm">
                  <c:v>36831.416666666984</c:v>
                </c:pt>
                <c:pt idx="133" formatCode="m/d/yyyy\ h:mm">
                  <c:v>36831.43750000032</c:v>
                </c:pt>
                <c:pt idx="134" formatCode="m/d/yyyy\ h:mm">
                  <c:v>36831.458333333656</c:v>
                </c:pt>
                <c:pt idx="135" formatCode="m/d/yyyy\ h:mm">
                  <c:v>36831.479166666992</c:v>
                </c:pt>
                <c:pt idx="136" formatCode="m/d/yyyy\ h:mm">
                  <c:v>36831.500000000327</c:v>
                </c:pt>
                <c:pt idx="137" formatCode="m/d/yyyy\ h:mm">
                  <c:v>36831.520833333663</c:v>
                </c:pt>
                <c:pt idx="138" formatCode="m/d/yyyy\ h:mm">
                  <c:v>36831.541666666999</c:v>
                </c:pt>
                <c:pt idx="139" formatCode="m/d/yyyy\ h:mm">
                  <c:v>36831.562500000335</c:v>
                </c:pt>
                <c:pt idx="140" formatCode="m/d/yyyy\ h:mm">
                  <c:v>36831.58333333367</c:v>
                </c:pt>
                <c:pt idx="141" formatCode="m/d/yyyy\ h:mm">
                  <c:v>36831.604166667006</c:v>
                </c:pt>
                <c:pt idx="142" formatCode="m/d/yyyy\ h:mm">
                  <c:v>36831.625000000342</c:v>
                </c:pt>
                <c:pt idx="143" formatCode="m/d/yyyy\ h:mm">
                  <c:v>36831.645833333678</c:v>
                </c:pt>
                <c:pt idx="144" formatCode="m/d/yyyy\ h:mm">
                  <c:v>36831.666666667013</c:v>
                </c:pt>
                <c:pt idx="145" formatCode="m/d/yyyy\ h:mm">
                  <c:v>36831.687500000349</c:v>
                </c:pt>
                <c:pt idx="146" formatCode="m/d/yyyy\ h:mm">
                  <c:v>36831.708333333685</c:v>
                </c:pt>
                <c:pt idx="147" formatCode="m/d/yyyy\ h:mm">
                  <c:v>36831.729166667021</c:v>
                </c:pt>
                <c:pt idx="148" formatCode="m/d/yyyy\ h:mm">
                  <c:v>36831.750000000357</c:v>
                </c:pt>
                <c:pt idx="149" formatCode="m/d/yyyy\ h:mm">
                  <c:v>36831.770833333692</c:v>
                </c:pt>
                <c:pt idx="150" formatCode="m/d/yyyy\ h:mm">
                  <c:v>36831.791666667028</c:v>
                </c:pt>
                <c:pt idx="151" formatCode="m/d/yyyy\ h:mm">
                  <c:v>36831.812500000364</c:v>
                </c:pt>
                <c:pt idx="152" formatCode="m/d/yyyy\ h:mm">
                  <c:v>36831.8333333337</c:v>
                </c:pt>
                <c:pt idx="153" formatCode="m/d/yyyy\ h:mm">
                  <c:v>36831.854166667035</c:v>
                </c:pt>
                <c:pt idx="154" formatCode="m/d/yyyy\ h:mm">
                  <c:v>36831.875000000371</c:v>
                </c:pt>
                <c:pt idx="155" formatCode="m/d/yyyy\ h:mm">
                  <c:v>36831.895833333707</c:v>
                </c:pt>
                <c:pt idx="156" formatCode="m/d/yyyy\ h:mm">
                  <c:v>36831.916666667043</c:v>
                </c:pt>
                <c:pt idx="157" formatCode="m/d/yyyy\ h:mm">
                  <c:v>36831.937500000378</c:v>
                </c:pt>
                <c:pt idx="158" formatCode="m/d/yyyy\ h:mm">
                  <c:v>36831.958333333714</c:v>
                </c:pt>
                <c:pt idx="159" formatCode="m/d/yyyy\ h:mm">
                  <c:v>36831.97916666705</c:v>
                </c:pt>
                <c:pt idx="160" formatCode="m/d/yyyy\ h:mm">
                  <c:v>36832.000000000386</c:v>
                </c:pt>
                <c:pt idx="161" formatCode="m/d/yyyy\ h:mm">
                  <c:v>36832.020833333721</c:v>
                </c:pt>
                <c:pt idx="162" formatCode="m/d/yyyy\ h:mm">
                  <c:v>36832.041666667057</c:v>
                </c:pt>
                <c:pt idx="163" formatCode="m/d/yyyy\ h:mm">
                  <c:v>36832.062500000393</c:v>
                </c:pt>
                <c:pt idx="164" formatCode="m/d/yyyy\ h:mm">
                  <c:v>36832.083333333729</c:v>
                </c:pt>
                <c:pt idx="165" formatCode="m/d/yyyy\ h:mm">
                  <c:v>36832.104166667064</c:v>
                </c:pt>
                <c:pt idx="166" formatCode="m/d/yyyy\ h:mm">
                  <c:v>36832.1250000004</c:v>
                </c:pt>
                <c:pt idx="167" formatCode="m/d/yyyy\ h:mm">
                  <c:v>36832.145833333736</c:v>
                </c:pt>
                <c:pt idx="168" formatCode="m/d/yyyy\ h:mm">
                  <c:v>36832.166666667072</c:v>
                </c:pt>
                <c:pt idx="169" formatCode="m/d/yyyy\ h:mm">
                  <c:v>36832.187500000407</c:v>
                </c:pt>
                <c:pt idx="170" formatCode="m/d/yyyy\ h:mm">
                  <c:v>36832.208333333743</c:v>
                </c:pt>
                <c:pt idx="171" formatCode="m/d/yyyy\ h:mm">
                  <c:v>36832.229166667079</c:v>
                </c:pt>
                <c:pt idx="172" formatCode="m/d/yyyy\ h:mm">
                  <c:v>36832.250000000415</c:v>
                </c:pt>
                <c:pt idx="173" formatCode="m/d/yyyy\ h:mm">
                  <c:v>36832.27083333375</c:v>
                </c:pt>
                <c:pt idx="174" formatCode="m/d/yyyy\ h:mm">
                  <c:v>36832.291666667086</c:v>
                </c:pt>
                <c:pt idx="175" formatCode="m/d/yyyy\ h:mm">
                  <c:v>36832.312500000422</c:v>
                </c:pt>
                <c:pt idx="176" formatCode="m/d/yyyy\ h:mm">
                  <c:v>36832.333333333758</c:v>
                </c:pt>
                <c:pt idx="177" formatCode="m/d/yyyy\ h:mm">
                  <c:v>36832.354166667094</c:v>
                </c:pt>
                <c:pt idx="178" formatCode="m/d/yyyy\ h:mm">
                  <c:v>36832.375000000429</c:v>
                </c:pt>
                <c:pt idx="179" formatCode="m/d/yyyy\ h:mm">
                  <c:v>36832.395833333765</c:v>
                </c:pt>
                <c:pt idx="180" formatCode="m/d/yyyy\ h:mm">
                  <c:v>36832.416666667101</c:v>
                </c:pt>
                <c:pt idx="181" formatCode="m/d/yyyy\ h:mm">
                  <c:v>36832.437500000437</c:v>
                </c:pt>
                <c:pt idx="182" formatCode="m/d/yyyy\ h:mm">
                  <c:v>36832.458333333772</c:v>
                </c:pt>
                <c:pt idx="183" formatCode="m/d/yyyy\ h:mm">
                  <c:v>36832.479166667108</c:v>
                </c:pt>
                <c:pt idx="184" formatCode="m/d/yyyy\ h:mm">
                  <c:v>36832.500000000444</c:v>
                </c:pt>
                <c:pt idx="185" formatCode="m/d/yyyy\ h:mm">
                  <c:v>36832.52083333378</c:v>
                </c:pt>
                <c:pt idx="186" formatCode="m/d/yyyy\ h:mm">
                  <c:v>36832.541666667115</c:v>
                </c:pt>
                <c:pt idx="187" formatCode="m/d/yyyy\ h:mm">
                  <c:v>36832.562500000451</c:v>
                </c:pt>
                <c:pt idx="188" formatCode="m/d/yyyy\ h:mm">
                  <c:v>36832.583333333787</c:v>
                </c:pt>
                <c:pt idx="189" formatCode="m/d/yyyy\ h:mm">
                  <c:v>36832.604166667123</c:v>
                </c:pt>
                <c:pt idx="190" formatCode="m/d/yyyy\ h:mm">
                  <c:v>36832.625000000458</c:v>
                </c:pt>
                <c:pt idx="191" formatCode="m/d/yyyy\ h:mm">
                  <c:v>36832.645833333794</c:v>
                </c:pt>
                <c:pt idx="192" formatCode="m/d/yyyy\ h:mm">
                  <c:v>36832.66666666713</c:v>
                </c:pt>
                <c:pt idx="193" formatCode="m/d/yyyy\ h:mm">
                  <c:v>36832.687500000466</c:v>
                </c:pt>
                <c:pt idx="194" formatCode="m/d/yyyy\ h:mm">
                  <c:v>36832.708333333801</c:v>
                </c:pt>
                <c:pt idx="195" formatCode="m/d/yyyy\ h:mm">
                  <c:v>36832.729166667137</c:v>
                </c:pt>
                <c:pt idx="196" formatCode="m/d/yyyy\ h:mm">
                  <c:v>36832.750000000473</c:v>
                </c:pt>
                <c:pt idx="197" formatCode="m/d/yyyy\ h:mm">
                  <c:v>36832.770833333809</c:v>
                </c:pt>
                <c:pt idx="198" formatCode="m/d/yyyy\ h:mm">
                  <c:v>36832.791666667144</c:v>
                </c:pt>
                <c:pt idx="199" formatCode="m/d/yyyy\ h:mm">
                  <c:v>36832.81250000048</c:v>
                </c:pt>
                <c:pt idx="200" formatCode="m/d/yyyy\ h:mm">
                  <c:v>36832.833333333816</c:v>
                </c:pt>
                <c:pt idx="201" formatCode="m/d/yyyy\ h:mm">
                  <c:v>36832.854166667152</c:v>
                </c:pt>
                <c:pt idx="202" formatCode="m/d/yyyy\ h:mm">
                  <c:v>36832.875000000487</c:v>
                </c:pt>
                <c:pt idx="203" formatCode="m/d/yyyy\ h:mm">
                  <c:v>36832.895833333823</c:v>
                </c:pt>
                <c:pt idx="204" formatCode="m/d/yyyy\ h:mm">
                  <c:v>36832.916666667159</c:v>
                </c:pt>
                <c:pt idx="205" formatCode="m/d/yyyy\ h:mm">
                  <c:v>36832.937500000495</c:v>
                </c:pt>
                <c:pt idx="206" formatCode="m/d/yyyy\ h:mm">
                  <c:v>36832.958333333831</c:v>
                </c:pt>
                <c:pt idx="207" formatCode="m/d/yyyy\ h:mm">
                  <c:v>36832.979166667166</c:v>
                </c:pt>
                <c:pt idx="208" formatCode="m/d/yyyy\ h:mm">
                  <c:v>36833.000000000502</c:v>
                </c:pt>
                <c:pt idx="209" formatCode="m/d/yyyy\ h:mm">
                  <c:v>36833.020833333838</c:v>
                </c:pt>
                <c:pt idx="210" formatCode="m/d/yyyy\ h:mm">
                  <c:v>36833.041666667174</c:v>
                </c:pt>
                <c:pt idx="211" formatCode="m/d/yyyy\ h:mm">
                  <c:v>36833.062500000509</c:v>
                </c:pt>
                <c:pt idx="212" formatCode="m/d/yyyy\ h:mm">
                  <c:v>36833.083333333845</c:v>
                </c:pt>
                <c:pt idx="213" formatCode="m/d/yyyy\ h:mm">
                  <c:v>36833.104166667181</c:v>
                </c:pt>
                <c:pt idx="214" formatCode="m/d/yyyy\ h:mm">
                  <c:v>36833.125000000517</c:v>
                </c:pt>
                <c:pt idx="215" formatCode="m/d/yyyy\ h:mm">
                  <c:v>36833.145833333852</c:v>
                </c:pt>
                <c:pt idx="216" formatCode="m/d/yyyy\ h:mm">
                  <c:v>36833.166666667188</c:v>
                </c:pt>
                <c:pt idx="217" formatCode="m/d/yyyy\ h:mm">
                  <c:v>36833.187500000524</c:v>
                </c:pt>
                <c:pt idx="218" formatCode="m/d/yyyy\ h:mm">
                  <c:v>36833.20833333386</c:v>
                </c:pt>
                <c:pt idx="219" formatCode="m/d/yyyy\ h:mm">
                  <c:v>36833.229166667195</c:v>
                </c:pt>
                <c:pt idx="220" formatCode="m/d/yyyy\ h:mm">
                  <c:v>36833.250000000531</c:v>
                </c:pt>
                <c:pt idx="221" formatCode="m/d/yyyy\ h:mm">
                  <c:v>36833.270833333867</c:v>
                </c:pt>
                <c:pt idx="222" formatCode="m/d/yyyy\ h:mm">
                  <c:v>36833.291666667203</c:v>
                </c:pt>
                <c:pt idx="223" formatCode="m/d/yyyy\ h:mm">
                  <c:v>36833.312500000538</c:v>
                </c:pt>
                <c:pt idx="224" formatCode="m/d/yyyy\ h:mm">
                  <c:v>36833.333333333874</c:v>
                </c:pt>
                <c:pt idx="225" formatCode="m/d/yyyy\ h:mm">
                  <c:v>36833.35416666721</c:v>
                </c:pt>
                <c:pt idx="226" formatCode="m/d/yyyy\ h:mm">
                  <c:v>36833.375000000546</c:v>
                </c:pt>
                <c:pt idx="227" formatCode="m/d/yyyy\ h:mm">
                  <c:v>36833.395833333881</c:v>
                </c:pt>
                <c:pt idx="228" formatCode="m/d/yyyy\ h:mm">
                  <c:v>36833.416666667217</c:v>
                </c:pt>
                <c:pt idx="229" formatCode="m/d/yyyy\ h:mm">
                  <c:v>36833.437500000553</c:v>
                </c:pt>
                <c:pt idx="230" formatCode="m/d/yyyy\ h:mm">
                  <c:v>36833.458333333889</c:v>
                </c:pt>
                <c:pt idx="231" formatCode="m/d/yyyy\ h:mm">
                  <c:v>36833.479166667224</c:v>
                </c:pt>
                <c:pt idx="232" formatCode="m/d/yyyy\ h:mm">
                  <c:v>36833.50000000056</c:v>
                </c:pt>
                <c:pt idx="233" formatCode="m/d/yyyy\ h:mm">
                  <c:v>36833.520833333896</c:v>
                </c:pt>
                <c:pt idx="234" formatCode="m/d/yyyy\ h:mm">
                  <c:v>36833.541666667232</c:v>
                </c:pt>
                <c:pt idx="235" formatCode="m/d/yyyy\ h:mm">
                  <c:v>36833.562500000568</c:v>
                </c:pt>
                <c:pt idx="236" formatCode="m/d/yyyy\ h:mm">
                  <c:v>36833.583333333903</c:v>
                </c:pt>
                <c:pt idx="237" formatCode="m/d/yyyy\ h:mm">
                  <c:v>36833.604166667239</c:v>
                </c:pt>
                <c:pt idx="238" formatCode="m/d/yyyy\ h:mm">
                  <c:v>36833.625000000575</c:v>
                </c:pt>
                <c:pt idx="239" formatCode="m/d/yyyy\ h:mm">
                  <c:v>36833.645833333911</c:v>
                </c:pt>
                <c:pt idx="240" formatCode="m/d/yyyy\ h:mm">
                  <c:v>36833.666666667246</c:v>
                </c:pt>
                <c:pt idx="241" formatCode="m/d/yyyy\ h:mm">
                  <c:v>36833.687500000582</c:v>
                </c:pt>
                <c:pt idx="242" formatCode="m/d/yyyy\ h:mm">
                  <c:v>36833.708333333918</c:v>
                </c:pt>
                <c:pt idx="243" formatCode="m/d/yyyy\ h:mm">
                  <c:v>36833.729166667254</c:v>
                </c:pt>
                <c:pt idx="244" formatCode="m/d/yyyy\ h:mm">
                  <c:v>36833.750000000589</c:v>
                </c:pt>
                <c:pt idx="245" formatCode="m/d/yyyy\ h:mm">
                  <c:v>36833.770833333925</c:v>
                </c:pt>
                <c:pt idx="246" formatCode="m/d/yyyy\ h:mm">
                  <c:v>36833.791666667261</c:v>
                </c:pt>
                <c:pt idx="247" formatCode="m/d/yyyy\ h:mm">
                  <c:v>36833.812500000597</c:v>
                </c:pt>
                <c:pt idx="248" formatCode="m/d/yyyy\ h:mm">
                  <c:v>36833.833333333932</c:v>
                </c:pt>
                <c:pt idx="249" formatCode="m/d/yyyy\ h:mm">
                  <c:v>36833.854166667268</c:v>
                </c:pt>
                <c:pt idx="250" formatCode="m/d/yyyy\ h:mm">
                  <c:v>36833.875000000604</c:v>
                </c:pt>
                <c:pt idx="251" formatCode="m/d/yyyy\ h:mm">
                  <c:v>36833.89583333394</c:v>
                </c:pt>
                <c:pt idx="252" formatCode="m/d/yyyy\ h:mm">
                  <c:v>36833.916666667275</c:v>
                </c:pt>
                <c:pt idx="253" formatCode="m/d/yyyy\ h:mm">
                  <c:v>36833.937500000611</c:v>
                </c:pt>
                <c:pt idx="254" formatCode="m/d/yyyy\ h:mm">
                  <c:v>36833.958333333947</c:v>
                </c:pt>
                <c:pt idx="255" formatCode="m/d/yyyy\ h:mm">
                  <c:v>36833.979166667283</c:v>
                </c:pt>
                <c:pt idx="256" formatCode="m/d/yyyy\ h:mm">
                  <c:v>36834.000000000618</c:v>
                </c:pt>
                <c:pt idx="257" formatCode="m/d/yyyy\ h:mm">
                  <c:v>36834.020833333954</c:v>
                </c:pt>
                <c:pt idx="258" formatCode="m/d/yyyy\ h:mm">
                  <c:v>36834.04166666729</c:v>
                </c:pt>
                <c:pt idx="259" formatCode="m/d/yyyy\ h:mm">
                  <c:v>36834.062500000626</c:v>
                </c:pt>
                <c:pt idx="260" formatCode="m/d/yyyy\ h:mm">
                  <c:v>36834.083333333961</c:v>
                </c:pt>
                <c:pt idx="261" formatCode="m/d/yyyy\ h:mm">
                  <c:v>36834.104166667297</c:v>
                </c:pt>
                <c:pt idx="262" formatCode="m/d/yyyy\ h:mm">
                  <c:v>36834.125000000633</c:v>
                </c:pt>
                <c:pt idx="263" formatCode="m/d/yyyy\ h:mm">
                  <c:v>36834.145833333969</c:v>
                </c:pt>
                <c:pt idx="264" formatCode="m/d/yyyy\ h:mm">
                  <c:v>36834.166666667305</c:v>
                </c:pt>
                <c:pt idx="265" formatCode="m/d/yyyy\ h:mm">
                  <c:v>36834.18750000064</c:v>
                </c:pt>
                <c:pt idx="266" formatCode="m/d/yyyy\ h:mm">
                  <c:v>36834.208333333976</c:v>
                </c:pt>
                <c:pt idx="267" formatCode="m/d/yyyy\ h:mm">
                  <c:v>36834.229166667312</c:v>
                </c:pt>
                <c:pt idx="268" formatCode="m/d/yyyy\ h:mm">
                  <c:v>36834.250000000648</c:v>
                </c:pt>
                <c:pt idx="269" formatCode="m/d/yyyy\ h:mm">
                  <c:v>36834.270833333983</c:v>
                </c:pt>
                <c:pt idx="270" formatCode="m/d/yyyy\ h:mm">
                  <c:v>36834.291666667319</c:v>
                </c:pt>
                <c:pt idx="271" formatCode="m/d/yyyy\ h:mm">
                  <c:v>36834.312500000655</c:v>
                </c:pt>
                <c:pt idx="272" formatCode="m/d/yyyy\ h:mm">
                  <c:v>36834.333333333991</c:v>
                </c:pt>
                <c:pt idx="273" formatCode="m/d/yyyy\ h:mm">
                  <c:v>36834.354166667326</c:v>
                </c:pt>
                <c:pt idx="274" formatCode="m/d/yyyy\ h:mm">
                  <c:v>36834.375000000662</c:v>
                </c:pt>
                <c:pt idx="275" formatCode="m/d/yyyy\ h:mm">
                  <c:v>36834.395833333998</c:v>
                </c:pt>
                <c:pt idx="276" formatCode="m/d/yyyy\ h:mm">
                  <c:v>36834.416666667334</c:v>
                </c:pt>
                <c:pt idx="277" formatCode="m/d/yyyy\ h:mm">
                  <c:v>36834.437500000669</c:v>
                </c:pt>
                <c:pt idx="278" formatCode="m/d/yyyy\ h:mm">
                  <c:v>36834.458333334005</c:v>
                </c:pt>
                <c:pt idx="279" formatCode="m/d/yyyy\ h:mm">
                  <c:v>36834.479166667341</c:v>
                </c:pt>
                <c:pt idx="280" formatCode="m/d/yyyy\ h:mm">
                  <c:v>36834.500000000677</c:v>
                </c:pt>
                <c:pt idx="281" formatCode="m/d/yyyy\ h:mm">
                  <c:v>36834.520833334012</c:v>
                </c:pt>
                <c:pt idx="282" formatCode="m/d/yyyy\ h:mm">
                  <c:v>36834.541666667348</c:v>
                </c:pt>
                <c:pt idx="283" formatCode="m/d/yyyy\ h:mm">
                  <c:v>36834.562500000684</c:v>
                </c:pt>
                <c:pt idx="284" formatCode="m/d/yyyy\ h:mm">
                  <c:v>36834.58333333402</c:v>
                </c:pt>
                <c:pt idx="285" formatCode="m/d/yyyy\ h:mm">
                  <c:v>36834.604166667355</c:v>
                </c:pt>
                <c:pt idx="286" formatCode="m/d/yyyy\ h:mm">
                  <c:v>36834.625000000691</c:v>
                </c:pt>
                <c:pt idx="287" formatCode="m/d/yyyy\ h:mm">
                  <c:v>36834.645833334027</c:v>
                </c:pt>
                <c:pt idx="288" formatCode="m/d/yyyy\ h:mm">
                  <c:v>36834.666666667363</c:v>
                </c:pt>
                <c:pt idx="289" formatCode="m/d/yyyy\ h:mm">
                  <c:v>36834.687500000698</c:v>
                </c:pt>
                <c:pt idx="290" formatCode="m/d/yyyy\ h:mm">
                  <c:v>36834.708333334034</c:v>
                </c:pt>
                <c:pt idx="291" formatCode="m/d/yyyy\ h:mm">
                  <c:v>36834.72916666737</c:v>
                </c:pt>
                <c:pt idx="292" formatCode="m/d/yyyy\ h:mm">
                  <c:v>36834.750000000706</c:v>
                </c:pt>
                <c:pt idx="293" formatCode="m/d/yyyy\ h:mm">
                  <c:v>36834.770833334042</c:v>
                </c:pt>
                <c:pt idx="294" formatCode="m/d/yyyy\ h:mm">
                  <c:v>36834.791666667377</c:v>
                </c:pt>
                <c:pt idx="295" formatCode="m/d/yyyy\ h:mm">
                  <c:v>36834.812500000713</c:v>
                </c:pt>
                <c:pt idx="296" formatCode="m/d/yyyy\ h:mm">
                  <c:v>36834.833333334049</c:v>
                </c:pt>
                <c:pt idx="297" formatCode="m/d/yyyy\ h:mm">
                  <c:v>36834.854166667385</c:v>
                </c:pt>
                <c:pt idx="298" formatCode="m/d/yyyy\ h:mm">
                  <c:v>36834.87500000072</c:v>
                </c:pt>
                <c:pt idx="299" formatCode="m/d/yyyy\ h:mm">
                  <c:v>36834.895833334056</c:v>
                </c:pt>
                <c:pt idx="300" formatCode="m/d/yyyy\ h:mm">
                  <c:v>36834.916666667392</c:v>
                </c:pt>
                <c:pt idx="301" formatCode="m/d/yyyy\ h:mm">
                  <c:v>36834.937500000728</c:v>
                </c:pt>
                <c:pt idx="302" formatCode="m/d/yyyy\ h:mm">
                  <c:v>36834.958333334063</c:v>
                </c:pt>
                <c:pt idx="303" formatCode="m/d/yyyy\ h:mm">
                  <c:v>36834.979166667399</c:v>
                </c:pt>
                <c:pt idx="304" formatCode="m/d/yyyy\ h:mm">
                  <c:v>36835.000000000735</c:v>
                </c:pt>
                <c:pt idx="305" formatCode="m/d/yyyy\ h:mm">
                  <c:v>36835.020833334071</c:v>
                </c:pt>
                <c:pt idx="306" formatCode="m/d/yyyy\ h:mm">
                  <c:v>36835.041666667406</c:v>
                </c:pt>
                <c:pt idx="307" formatCode="m/d/yyyy\ h:mm">
                  <c:v>36835.062500000742</c:v>
                </c:pt>
                <c:pt idx="308" formatCode="m/d/yyyy\ h:mm">
                  <c:v>36835.083333334078</c:v>
                </c:pt>
                <c:pt idx="309" formatCode="m/d/yyyy\ h:mm">
                  <c:v>36835.104166667414</c:v>
                </c:pt>
                <c:pt idx="310" formatCode="m/d/yyyy\ h:mm">
                  <c:v>36835.125000000749</c:v>
                </c:pt>
                <c:pt idx="311" formatCode="m/d/yyyy\ h:mm">
                  <c:v>36835.145833334085</c:v>
                </c:pt>
                <c:pt idx="312" formatCode="m/d/yyyy\ h:mm">
                  <c:v>36835.166666667421</c:v>
                </c:pt>
                <c:pt idx="313" formatCode="m/d/yyyy\ h:mm">
                  <c:v>36835.187500000757</c:v>
                </c:pt>
                <c:pt idx="314" formatCode="m/d/yyyy\ h:mm">
                  <c:v>36835.208333334092</c:v>
                </c:pt>
                <c:pt idx="315" formatCode="m/d/yyyy\ h:mm">
                  <c:v>36835.229166667428</c:v>
                </c:pt>
                <c:pt idx="316" formatCode="m/d/yyyy\ h:mm">
                  <c:v>36835.250000000764</c:v>
                </c:pt>
                <c:pt idx="317" formatCode="m/d/yyyy\ h:mm">
                  <c:v>36835.2708333341</c:v>
                </c:pt>
                <c:pt idx="318" formatCode="m/d/yyyy\ h:mm">
                  <c:v>36835.291666667435</c:v>
                </c:pt>
                <c:pt idx="319" formatCode="m/d/yyyy\ h:mm">
                  <c:v>36835.312500000771</c:v>
                </c:pt>
                <c:pt idx="320" formatCode="m/d/yyyy\ h:mm">
                  <c:v>36835.333333334107</c:v>
                </c:pt>
                <c:pt idx="321" formatCode="m/d/yyyy\ h:mm">
                  <c:v>36835.354166667443</c:v>
                </c:pt>
                <c:pt idx="322" formatCode="m/d/yyyy\ h:mm">
                  <c:v>36835.375000000779</c:v>
                </c:pt>
                <c:pt idx="323" formatCode="m/d/yyyy\ h:mm">
                  <c:v>36835.395833334114</c:v>
                </c:pt>
                <c:pt idx="324" formatCode="m/d/yyyy\ h:mm">
                  <c:v>36835.41666666745</c:v>
                </c:pt>
                <c:pt idx="325" formatCode="m/d/yyyy\ h:mm">
                  <c:v>36835.437500000786</c:v>
                </c:pt>
                <c:pt idx="326" formatCode="m/d/yyyy\ h:mm">
                  <c:v>36835.458333334122</c:v>
                </c:pt>
                <c:pt idx="327" formatCode="m/d/yyyy\ h:mm">
                  <c:v>36835.479166667457</c:v>
                </c:pt>
                <c:pt idx="328" formatCode="m/d/yyyy\ h:mm">
                  <c:v>36835.500000000793</c:v>
                </c:pt>
                <c:pt idx="329" formatCode="m/d/yyyy\ h:mm">
                  <c:v>36835.520833334129</c:v>
                </c:pt>
                <c:pt idx="330" formatCode="m/d/yyyy\ h:mm">
                  <c:v>36835.541666667465</c:v>
                </c:pt>
                <c:pt idx="331" formatCode="m/d/yyyy\ h:mm">
                  <c:v>36835.5625000008</c:v>
                </c:pt>
                <c:pt idx="332" formatCode="m/d/yyyy\ h:mm">
                  <c:v>36835.583333334136</c:v>
                </c:pt>
                <c:pt idx="333" formatCode="m/d/yyyy\ h:mm">
                  <c:v>36835.604166667472</c:v>
                </c:pt>
                <c:pt idx="334" formatCode="m/d/yyyy\ h:mm">
                  <c:v>36835.625000000808</c:v>
                </c:pt>
                <c:pt idx="335" formatCode="m/d/yyyy\ h:mm">
                  <c:v>36835.645833334143</c:v>
                </c:pt>
                <c:pt idx="336" formatCode="m/d/yyyy\ h:mm">
                  <c:v>36835.666666667479</c:v>
                </c:pt>
                <c:pt idx="337" formatCode="m/d/yyyy\ h:mm">
                  <c:v>36835.687500000815</c:v>
                </c:pt>
                <c:pt idx="338" formatCode="m/d/yyyy\ h:mm">
                  <c:v>36835.708333334151</c:v>
                </c:pt>
                <c:pt idx="339" formatCode="m/d/yyyy\ h:mm">
                  <c:v>36835.729166667486</c:v>
                </c:pt>
                <c:pt idx="340" formatCode="m/d/yyyy\ h:mm">
                  <c:v>36835.750000000822</c:v>
                </c:pt>
                <c:pt idx="341" formatCode="m/d/yyyy\ h:mm">
                  <c:v>36835.770833334158</c:v>
                </c:pt>
                <c:pt idx="342" formatCode="m/d/yyyy\ h:mm">
                  <c:v>36835.791666667494</c:v>
                </c:pt>
                <c:pt idx="343" formatCode="m/d/yyyy\ h:mm">
                  <c:v>36835.812500000829</c:v>
                </c:pt>
                <c:pt idx="344" formatCode="m/d/yyyy\ h:mm">
                  <c:v>36835.833333334165</c:v>
                </c:pt>
                <c:pt idx="345" formatCode="m/d/yyyy\ h:mm">
                  <c:v>36835.854166667501</c:v>
                </c:pt>
                <c:pt idx="346" formatCode="m/d/yyyy\ h:mm">
                  <c:v>36835.875000000837</c:v>
                </c:pt>
                <c:pt idx="347" formatCode="m/d/yyyy\ h:mm">
                  <c:v>36835.895833334172</c:v>
                </c:pt>
                <c:pt idx="348" formatCode="m/d/yyyy\ h:mm">
                  <c:v>36835.916666667508</c:v>
                </c:pt>
                <c:pt idx="349" formatCode="m/d/yyyy\ h:mm">
                  <c:v>36835.937500000844</c:v>
                </c:pt>
                <c:pt idx="350" formatCode="m/d/yyyy\ h:mm">
                  <c:v>36835.95833333418</c:v>
                </c:pt>
                <c:pt idx="351" formatCode="m/d/yyyy\ h:mm">
                  <c:v>36835.979166667516</c:v>
                </c:pt>
                <c:pt idx="352" formatCode="m/d/yyyy\ h:mm">
                  <c:v>36836.000000000851</c:v>
                </c:pt>
                <c:pt idx="353" formatCode="m/d/yyyy\ h:mm">
                  <c:v>36836.020833334187</c:v>
                </c:pt>
                <c:pt idx="354" formatCode="m/d/yyyy\ h:mm">
                  <c:v>36836.041666667523</c:v>
                </c:pt>
                <c:pt idx="355" formatCode="m/d/yyyy\ h:mm">
                  <c:v>36836.062500000859</c:v>
                </c:pt>
                <c:pt idx="356" formatCode="m/d/yyyy\ h:mm">
                  <c:v>36836.083333334194</c:v>
                </c:pt>
                <c:pt idx="357" formatCode="m/d/yyyy\ h:mm">
                  <c:v>36836.10416666753</c:v>
                </c:pt>
                <c:pt idx="358" formatCode="m/d/yyyy\ h:mm">
                  <c:v>36836.125000000866</c:v>
                </c:pt>
                <c:pt idx="359" formatCode="m/d/yyyy\ h:mm">
                  <c:v>36836.145833334202</c:v>
                </c:pt>
                <c:pt idx="360" formatCode="m/d/yyyy\ h:mm">
                  <c:v>36836.166666667537</c:v>
                </c:pt>
                <c:pt idx="361" formatCode="m/d/yyyy\ h:mm">
                  <c:v>36836.187500000873</c:v>
                </c:pt>
                <c:pt idx="362" formatCode="m/d/yyyy\ h:mm">
                  <c:v>36836.208333334209</c:v>
                </c:pt>
                <c:pt idx="363" formatCode="m/d/yyyy\ h:mm">
                  <c:v>36836.229166667545</c:v>
                </c:pt>
                <c:pt idx="364" formatCode="m/d/yyyy\ h:mm">
                  <c:v>36836.25000000088</c:v>
                </c:pt>
                <c:pt idx="365" formatCode="m/d/yyyy\ h:mm">
                  <c:v>36836.270833334216</c:v>
                </c:pt>
                <c:pt idx="366" formatCode="m/d/yyyy\ h:mm">
                  <c:v>36836.291666667552</c:v>
                </c:pt>
                <c:pt idx="367" formatCode="m/d/yyyy\ h:mm">
                  <c:v>36836.312500000888</c:v>
                </c:pt>
                <c:pt idx="368" formatCode="m/d/yyyy\ h:mm">
                  <c:v>36836.333333334223</c:v>
                </c:pt>
                <c:pt idx="369" formatCode="m/d/yyyy\ h:mm">
                  <c:v>36836.354166667559</c:v>
                </c:pt>
                <c:pt idx="370" formatCode="m/d/yyyy\ h:mm">
                  <c:v>36836.375000000895</c:v>
                </c:pt>
                <c:pt idx="371" formatCode="m/d/yyyy\ h:mm">
                  <c:v>36836.395833334231</c:v>
                </c:pt>
                <c:pt idx="372" formatCode="m/d/yyyy\ h:mm">
                  <c:v>36836.416666667566</c:v>
                </c:pt>
                <c:pt idx="373" formatCode="m/d/yyyy\ h:mm">
                  <c:v>36836.437500000902</c:v>
                </c:pt>
                <c:pt idx="374" formatCode="m/d/yyyy\ h:mm">
                  <c:v>36836.458333334238</c:v>
                </c:pt>
                <c:pt idx="375" formatCode="m/d/yyyy\ h:mm">
                  <c:v>36836.479166667574</c:v>
                </c:pt>
                <c:pt idx="376" formatCode="m/d/yyyy\ h:mm">
                  <c:v>36836.500000000909</c:v>
                </c:pt>
                <c:pt idx="377" formatCode="m/d/yyyy\ h:mm">
                  <c:v>36836.520833334245</c:v>
                </c:pt>
                <c:pt idx="378" formatCode="m/d/yyyy\ h:mm">
                  <c:v>36836.541666667581</c:v>
                </c:pt>
                <c:pt idx="379" formatCode="m/d/yyyy\ h:mm">
                  <c:v>36836.562500000917</c:v>
                </c:pt>
                <c:pt idx="380" formatCode="m/d/yyyy\ h:mm">
                  <c:v>36836.583333334253</c:v>
                </c:pt>
                <c:pt idx="381" formatCode="m/d/yyyy\ h:mm">
                  <c:v>36836.604166667588</c:v>
                </c:pt>
                <c:pt idx="382" formatCode="m/d/yyyy\ h:mm">
                  <c:v>36836.625000000924</c:v>
                </c:pt>
                <c:pt idx="383" formatCode="m/d/yyyy\ h:mm">
                  <c:v>36836.64583333426</c:v>
                </c:pt>
                <c:pt idx="384" formatCode="m/d/yyyy\ h:mm">
                  <c:v>36836.666666667596</c:v>
                </c:pt>
                <c:pt idx="385" formatCode="m/d/yyyy\ h:mm">
                  <c:v>36836.687500000931</c:v>
                </c:pt>
                <c:pt idx="386" formatCode="m/d/yyyy\ h:mm">
                  <c:v>36836.708333334267</c:v>
                </c:pt>
                <c:pt idx="387" formatCode="m/d/yyyy\ h:mm">
                  <c:v>36836.729166667603</c:v>
                </c:pt>
                <c:pt idx="388" formatCode="m/d/yyyy\ h:mm">
                  <c:v>36836.750000000939</c:v>
                </c:pt>
                <c:pt idx="389" formatCode="m/d/yyyy\ h:mm">
                  <c:v>36836.770833334274</c:v>
                </c:pt>
                <c:pt idx="390" formatCode="m/d/yyyy\ h:mm">
                  <c:v>36836.79166666761</c:v>
                </c:pt>
                <c:pt idx="391" formatCode="m/d/yyyy\ h:mm">
                  <c:v>36836.812500000946</c:v>
                </c:pt>
                <c:pt idx="392" formatCode="m/d/yyyy\ h:mm">
                  <c:v>36836.833333334282</c:v>
                </c:pt>
                <c:pt idx="393" formatCode="m/d/yyyy\ h:mm">
                  <c:v>36836.854166667617</c:v>
                </c:pt>
                <c:pt idx="394" formatCode="m/d/yyyy\ h:mm">
                  <c:v>36836.875000000953</c:v>
                </c:pt>
                <c:pt idx="395" formatCode="m/d/yyyy\ h:mm">
                  <c:v>36836.895833334289</c:v>
                </c:pt>
                <c:pt idx="396" formatCode="m/d/yyyy\ h:mm">
                  <c:v>36836.916666667625</c:v>
                </c:pt>
                <c:pt idx="397" formatCode="m/d/yyyy\ h:mm">
                  <c:v>36836.93750000096</c:v>
                </c:pt>
                <c:pt idx="398" formatCode="m/d/yyyy\ h:mm">
                  <c:v>36836.958333334296</c:v>
                </c:pt>
                <c:pt idx="399" formatCode="m/d/yyyy\ h:mm">
                  <c:v>36836.979166667632</c:v>
                </c:pt>
                <c:pt idx="400" formatCode="m/d/yyyy\ h:mm">
                  <c:v>36837.000000000968</c:v>
                </c:pt>
                <c:pt idx="401" formatCode="m/d/yyyy\ h:mm">
                  <c:v>36837.020833334303</c:v>
                </c:pt>
                <c:pt idx="402" formatCode="m/d/yyyy\ h:mm">
                  <c:v>36837.041666667639</c:v>
                </c:pt>
                <c:pt idx="403" formatCode="m/d/yyyy\ h:mm">
                  <c:v>36837.062500000975</c:v>
                </c:pt>
                <c:pt idx="404" formatCode="m/d/yyyy\ h:mm">
                  <c:v>36837.083333334311</c:v>
                </c:pt>
                <c:pt idx="405" formatCode="m/d/yyyy\ h:mm">
                  <c:v>36837.104166667646</c:v>
                </c:pt>
                <c:pt idx="406" formatCode="m/d/yyyy\ h:mm">
                  <c:v>36837.125000000982</c:v>
                </c:pt>
                <c:pt idx="407" formatCode="m/d/yyyy\ h:mm">
                  <c:v>36837.145833334318</c:v>
                </c:pt>
                <c:pt idx="408" formatCode="m/d/yyyy\ h:mm">
                  <c:v>36837.166666667654</c:v>
                </c:pt>
                <c:pt idx="409" formatCode="m/d/yyyy\ h:mm">
                  <c:v>36837.18750000099</c:v>
                </c:pt>
                <c:pt idx="410" formatCode="m/d/yyyy\ h:mm">
                  <c:v>36837.208333334325</c:v>
                </c:pt>
                <c:pt idx="411" formatCode="m/d/yyyy\ h:mm">
                  <c:v>36837.229166667661</c:v>
                </c:pt>
                <c:pt idx="412" formatCode="m/d/yyyy\ h:mm">
                  <c:v>36837.250000000997</c:v>
                </c:pt>
                <c:pt idx="413" formatCode="m/d/yyyy\ h:mm">
                  <c:v>36837.270833334333</c:v>
                </c:pt>
                <c:pt idx="414" formatCode="m/d/yyyy\ h:mm">
                  <c:v>36837.291666667668</c:v>
                </c:pt>
                <c:pt idx="415" formatCode="m/d/yyyy\ h:mm">
                  <c:v>36837.312500001004</c:v>
                </c:pt>
                <c:pt idx="416" formatCode="m/d/yyyy\ h:mm">
                  <c:v>36837.33333333434</c:v>
                </c:pt>
                <c:pt idx="417" formatCode="m/d/yyyy\ h:mm">
                  <c:v>36837.354166667676</c:v>
                </c:pt>
                <c:pt idx="418" formatCode="m/d/yyyy\ h:mm">
                  <c:v>36837.375000001011</c:v>
                </c:pt>
                <c:pt idx="419" formatCode="m/d/yyyy\ h:mm">
                  <c:v>36837.395833334347</c:v>
                </c:pt>
                <c:pt idx="420" formatCode="m/d/yyyy\ h:mm">
                  <c:v>36837.416666667683</c:v>
                </c:pt>
                <c:pt idx="421" formatCode="m/d/yyyy\ h:mm">
                  <c:v>36837.437500001019</c:v>
                </c:pt>
                <c:pt idx="422" formatCode="m/d/yyyy\ h:mm">
                  <c:v>36837.458333334354</c:v>
                </c:pt>
                <c:pt idx="423" formatCode="m/d/yyyy\ h:mm">
                  <c:v>36837.47916666769</c:v>
                </c:pt>
                <c:pt idx="424" formatCode="m/d/yyyy\ h:mm">
                  <c:v>36837.500000001026</c:v>
                </c:pt>
                <c:pt idx="425" formatCode="m/d/yyyy\ h:mm">
                  <c:v>36837.520833334362</c:v>
                </c:pt>
                <c:pt idx="426" formatCode="m/d/yyyy\ h:mm">
                  <c:v>36837.541666667697</c:v>
                </c:pt>
                <c:pt idx="427" formatCode="m/d/yyyy\ h:mm">
                  <c:v>36837.562500001033</c:v>
                </c:pt>
                <c:pt idx="428" formatCode="m/d/yyyy\ h:mm">
                  <c:v>36837.583333334369</c:v>
                </c:pt>
                <c:pt idx="429" formatCode="m/d/yyyy\ h:mm">
                  <c:v>36837.604166667705</c:v>
                </c:pt>
                <c:pt idx="430" formatCode="m/d/yyyy\ h:mm">
                  <c:v>36837.62500000104</c:v>
                </c:pt>
                <c:pt idx="431" formatCode="m/d/yyyy\ h:mm">
                  <c:v>36837.645833334376</c:v>
                </c:pt>
                <c:pt idx="432" formatCode="m/d/yyyy\ h:mm">
                  <c:v>36837.666666667712</c:v>
                </c:pt>
                <c:pt idx="433" formatCode="m/d/yyyy\ h:mm">
                  <c:v>36837.687500001048</c:v>
                </c:pt>
                <c:pt idx="434" formatCode="m/d/yyyy\ h:mm">
                  <c:v>36837.708333334383</c:v>
                </c:pt>
                <c:pt idx="435" formatCode="m/d/yyyy\ h:mm">
                  <c:v>36837.729166667719</c:v>
                </c:pt>
                <c:pt idx="436" formatCode="m/d/yyyy\ h:mm">
                  <c:v>36837.750000001055</c:v>
                </c:pt>
                <c:pt idx="437" formatCode="m/d/yyyy\ h:mm">
                  <c:v>36837.770833334391</c:v>
                </c:pt>
                <c:pt idx="438" formatCode="m/d/yyyy\ h:mm">
                  <c:v>36837.791666667727</c:v>
                </c:pt>
                <c:pt idx="439" formatCode="m/d/yyyy\ h:mm">
                  <c:v>36837.812500001062</c:v>
                </c:pt>
                <c:pt idx="440" formatCode="m/d/yyyy\ h:mm">
                  <c:v>36837.833333334398</c:v>
                </c:pt>
                <c:pt idx="441" formatCode="m/d/yyyy\ h:mm">
                  <c:v>36837.854166667734</c:v>
                </c:pt>
                <c:pt idx="442" formatCode="m/d/yyyy\ h:mm">
                  <c:v>36837.87500000107</c:v>
                </c:pt>
                <c:pt idx="443" formatCode="m/d/yyyy\ h:mm">
                  <c:v>36837.895833334405</c:v>
                </c:pt>
                <c:pt idx="444" formatCode="m/d/yyyy\ h:mm">
                  <c:v>36837.916666667741</c:v>
                </c:pt>
                <c:pt idx="445" formatCode="m/d/yyyy\ h:mm">
                  <c:v>36837.937500001077</c:v>
                </c:pt>
                <c:pt idx="446" formatCode="m/d/yyyy\ h:mm">
                  <c:v>36837.958333334413</c:v>
                </c:pt>
                <c:pt idx="447" formatCode="m/d/yyyy\ h:mm">
                  <c:v>36837.979166667748</c:v>
                </c:pt>
                <c:pt idx="448" formatCode="m/d/yyyy\ h:mm">
                  <c:v>36838.000000001084</c:v>
                </c:pt>
                <c:pt idx="449" formatCode="m/d/yyyy\ h:mm">
                  <c:v>36838.02083333442</c:v>
                </c:pt>
                <c:pt idx="450" formatCode="m/d/yyyy\ h:mm">
                  <c:v>36838.041666667756</c:v>
                </c:pt>
                <c:pt idx="451" formatCode="m/d/yyyy\ h:mm">
                  <c:v>36838.062500001091</c:v>
                </c:pt>
                <c:pt idx="452" formatCode="m/d/yyyy\ h:mm">
                  <c:v>36838.083333334427</c:v>
                </c:pt>
                <c:pt idx="453" formatCode="m/d/yyyy\ h:mm">
                  <c:v>36838.104166667763</c:v>
                </c:pt>
                <c:pt idx="454" formatCode="m/d/yyyy\ h:mm">
                  <c:v>36838.125000001099</c:v>
                </c:pt>
                <c:pt idx="455" formatCode="m/d/yyyy\ h:mm">
                  <c:v>36838.145833334434</c:v>
                </c:pt>
                <c:pt idx="456" formatCode="m/d/yyyy\ h:mm">
                  <c:v>36838.16666666777</c:v>
                </c:pt>
                <c:pt idx="457" formatCode="m/d/yyyy\ h:mm">
                  <c:v>36838.187500001106</c:v>
                </c:pt>
                <c:pt idx="458" formatCode="m/d/yyyy\ h:mm">
                  <c:v>36838.208333334442</c:v>
                </c:pt>
                <c:pt idx="459" formatCode="m/d/yyyy\ h:mm">
                  <c:v>36838.229166667777</c:v>
                </c:pt>
                <c:pt idx="460" formatCode="m/d/yyyy\ h:mm">
                  <c:v>36838.250000001113</c:v>
                </c:pt>
                <c:pt idx="461" formatCode="m/d/yyyy\ h:mm">
                  <c:v>36838.270833334449</c:v>
                </c:pt>
                <c:pt idx="462" formatCode="m/d/yyyy\ h:mm">
                  <c:v>36838.291666667785</c:v>
                </c:pt>
                <c:pt idx="463" formatCode="m/d/yyyy\ h:mm">
                  <c:v>36838.31250000112</c:v>
                </c:pt>
                <c:pt idx="464" formatCode="m/d/yyyy\ h:mm">
                  <c:v>36838.333333334456</c:v>
                </c:pt>
                <c:pt idx="465" formatCode="m/d/yyyy\ h:mm">
                  <c:v>36838.354166667792</c:v>
                </c:pt>
                <c:pt idx="466" formatCode="m/d/yyyy\ h:mm">
                  <c:v>36838.375000001128</c:v>
                </c:pt>
                <c:pt idx="467" formatCode="m/d/yyyy\ h:mm">
                  <c:v>36838.395833334464</c:v>
                </c:pt>
                <c:pt idx="468" formatCode="m/d/yyyy\ h:mm">
                  <c:v>36838.416666667799</c:v>
                </c:pt>
                <c:pt idx="469" formatCode="m/d/yyyy\ h:mm">
                  <c:v>36838.437500001135</c:v>
                </c:pt>
                <c:pt idx="470" formatCode="m/d/yyyy\ h:mm">
                  <c:v>36838.458333334471</c:v>
                </c:pt>
                <c:pt idx="471" formatCode="m/d/yyyy\ h:mm">
                  <c:v>36838.479166667807</c:v>
                </c:pt>
                <c:pt idx="472" formatCode="m/d/yyyy\ h:mm">
                  <c:v>36838.500000001142</c:v>
                </c:pt>
                <c:pt idx="473" formatCode="m/d/yyyy\ h:mm">
                  <c:v>36838.520833334478</c:v>
                </c:pt>
                <c:pt idx="474" formatCode="m/d/yyyy\ h:mm">
                  <c:v>36838.541666667814</c:v>
                </c:pt>
                <c:pt idx="475" formatCode="m/d/yyyy\ h:mm">
                  <c:v>36838.56250000115</c:v>
                </c:pt>
                <c:pt idx="476" formatCode="m/d/yyyy\ h:mm">
                  <c:v>36838.583333334485</c:v>
                </c:pt>
                <c:pt idx="477" formatCode="m/d/yyyy\ h:mm">
                  <c:v>36838.604166667821</c:v>
                </c:pt>
                <c:pt idx="478" formatCode="m/d/yyyy\ h:mm">
                  <c:v>36838.625000001157</c:v>
                </c:pt>
                <c:pt idx="479" formatCode="m/d/yyyy\ h:mm">
                  <c:v>36838.645833334493</c:v>
                </c:pt>
                <c:pt idx="480" formatCode="m/d/yyyy\ h:mm">
                  <c:v>36838.666666667828</c:v>
                </c:pt>
                <c:pt idx="481" formatCode="m/d/yyyy\ h:mm">
                  <c:v>36838.687500001164</c:v>
                </c:pt>
                <c:pt idx="482" formatCode="m/d/yyyy\ h:mm">
                  <c:v>36838.7083333345</c:v>
                </c:pt>
                <c:pt idx="483" formatCode="m/d/yyyy\ h:mm">
                  <c:v>36838.729166667836</c:v>
                </c:pt>
                <c:pt idx="484" formatCode="m/d/yyyy\ h:mm">
                  <c:v>36838.750000001171</c:v>
                </c:pt>
                <c:pt idx="485" formatCode="m/d/yyyy\ h:mm">
                  <c:v>36838.770833334507</c:v>
                </c:pt>
                <c:pt idx="486" formatCode="m/d/yyyy\ h:mm">
                  <c:v>36838.791666667843</c:v>
                </c:pt>
                <c:pt idx="487" formatCode="m/d/yyyy\ h:mm">
                  <c:v>36838.812500001179</c:v>
                </c:pt>
                <c:pt idx="488" formatCode="m/d/yyyy\ h:mm">
                  <c:v>36838.833333334514</c:v>
                </c:pt>
                <c:pt idx="489" formatCode="m/d/yyyy\ h:mm">
                  <c:v>36838.85416666785</c:v>
                </c:pt>
                <c:pt idx="490" formatCode="m/d/yyyy\ h:mm">
                  <c:v>36838.875000001186</c:v>
                </c:pt>
                <c:pt idx="491" formatCode="m/d/yyyy\ h:mm">
                  <c:v>36838.895833334522</c:v>
                </c:pt>
                <c:pt idx="492" formatCode="m/d/yyyy\ h:mm">
                  <c:v>36838.916666667857</c:v>
                </c:pt>
                <c:pt idx="493" formatCode="m/d/yyyy\ h:mm">
                  <c:v>36838.937500001193</c:v>
                </c:pt>
                <c:pt idx="494" formatCode="m/d/yyyy\ h:mm">
                  <c:v>36838.958333334529</c:v>
                </c:pt>
                <c:pt idx="495" formatCode="m/d/yyyy\ h:mm">
                  <c:v>36838.979166667865</c:v>
                </c:pt>
                <c:pt idx="496" formatCode="m/d/yyyy\ h:mm">
                  <c:v>36839.000000001201</c:v>
                </c:pt>
                <c:pt idx="497" formatCode="m/d/yyyy\ h:mm">
                  <c:v>36839.020833334536</c:v>
                </c:pt>
                <c:pt idx="498" formatCode="m/d/yyyy\ h:mm">
                  <c:v>36839.041666667872</c:v>
                </c:pt>
                <c:pt idx="499" formatCode="m/d/yyyy\ h:mm">
                  <c:v>36839.062500001208</c:v>
                </c:pt>
                <c:pt idx="500" formatCode="m/d/yyyy\ h:mm">
                  <c:v>36839.083333334544</c:v>
                </c:pt>
                <c:pt idx="501" formatCode="m/d/yyyy\ h:mm">
                  <c:v>36839.104166667879</c:v>
                </c:pt>
                <c:pt idx="502" formatCode="m/d/yyyy\ h:mm">
                  <c:v>36839.125000001215</c:v>
                </c:pt>
                <c:pt idx="503" formatCode="m/d/yyyy\ h:mm">
                  <c:v>36839.145833334551</c:v>
                </c:pt>
                <c:pt idx="504" formatCode="m/d/yyyy\ h:mm">
                  <c:v>36839.166666667887</c:v>
                </c:pt>
                <c:pt idx="505" formatCode="m/d/yyyy\ h:mm">
                  <c:v>36839.187500001222</c:v>
                </c:pt>
                <c:pt idx="506" formatCode="m/d/yyyy\ h:mm">
                  <c:v>36839.208333334558</c:v>
                </c:pt>
                <c:pt idx="507" formatCode="m/d/yyyy\ h:mm">
                  <c:v>36839.229166667894</c:v>
                </c:pt>
                <c:pt idx="508" formatCode="m/d/yyyy\ h:mm">
                  <c:v>36839.25000000123</c:v>
                </c:pt>
                <c:pt idx="509" formatCode="m/d/yyyy\ h:mm">
                  <c:v>36839.270833334565</c:v>
                </c:pt>
                <c:pt idx="510" formatCode="m/d/yyyy\ h:mm">
                  <c:v>36839.291666667901</c:v>
                </c:pt>
                <c:pt idx="511" formatCode="m/d/yyyy\ h:mm">
                  <c:v>36839.312500001237</c:v>
                </c:pt>
                <c:pt idx="512" formatCode="m/d/yyyy\ h:mm">
                  <c:v>36839.333333334573</c:v>
                </c:pt>
                <c:pt idx="513" formatCode="m/d/yyyy\ h:mm">
                  <c:v>36839.354166667908</c:v>
                </c:pt>
                <c:pt idx="514" formatCode="m/d/yyyy\ h:mm">
                  <c:v>36839.375000001244</c:v>
                </c:pt>
                <c:pt idx="515" formatCode="m/d/yyyy\ h:mm">
                  <c:v>36839.39583333458</c:v>
                </c:pt>
                <c:pt idx="516" formatCode="m/d/yyyy\ h:mm">
                  <c:v>36839.416666667916</c:v>
                </c:pt>
                <c:pt idx="517" formatCode="m/d/yyyy\ h:mm">
                  <c:v>36839.437500001251</c:v>
                </c:pt>
                <c:pt idx="518" formatCode="m/d/yyyy\ h:mm">
                  <c:v>36839.458333334587</c:v>
                </c:pt>
                <c:pt idx="519" formatCode="m/d/yyyy\ h:mm">
                  <c:v>36839.479166667923</c:v>
                </c:pt>
                <c:pt idx="520" formatCode="m/d/yyyy\ h:mm">
                  <c:v>36839.500000001259</c:v>
                </c:pt>
                <c:pt idx="521" formatCode="m/d/yyyy\ h:mm">
                  <c:v>36839.520833334594</c:v>
                </c:pt>
                <c:pt idx="522" formatCode="m/d/yyyy\ h:mm">
                  <c:v>36839.54166666793</c:v>
                </c:pt>
                <c:pt idx="523" formatCode="m/d/yyyy\ h:mm">
                  <c:v>36839.562500001266</c:v>
                </c:pt>
                <c:pt idx="524" formatCode="m/d/yyyy\ h:mm">
                  <c:v>36839.583333334602</c:v>
                </c:pt>
                <c:pt idx="525" formatCode="m/d/yyyy\ h:mm">
                  <c:v>36839.604166667938</c:v>
                </c:pt>
                <c:pt idx="526" formatCode="m/d/yyyy\ h:mm">
                  <c:v>36839.625000001273</c:v>
                </c:pt>
                <c:pt idx="527" formatCode="m/d/yyyy\ h:mm">
                  <c:v>36839.645833334609</c:v>
                </c:pt>
                <c:pt idx="528" formatCode="m/d/yyyy\ h:mm">
                  <c:v>36839.666666667945</c:v>
                </c:pt>
                <c:pt idx="529" formatCode="m/d/yyyy\ h:mm">
                  <c:v>36839.687500001281</c:v>
                </c:pt>
                <c:pt idx="530" formatCode="m/d/yyyy\ h:mm">
                  <c:v>36839.708333334616</c:v>
                </c:pt>
                <c:pt idx="531" formatCode="m/d/yyyy\ h:mm">
                  <c:v>36839.729166667952</c:v>
                </c:pt>
                <c:pt idx="532" formatCode="m/d/yyyy\ h:mm">
                  <c:v>36839.750000001288</c:v>
                </c:pt>
                <c:pt idx="533" formatCode="m/d/yyyy\ h:mm">
                  <c:v>36839.770833334624</c:v>
                </c:pt>
                <c:pt idx="534" formatCode="m/d/yyyy\ h:mm">
                  <c:v>36839.791666667959</c:v>
                </c:pt>
                <c:pt idx="535" formatCode="m/d/yyyy\ h:mm">
                  <c:v>36839.812500001295</c:v>
                </c:pt>
                <c:pt idx="536" formatCode="m/d/yyyy\ h:mm">
                  <c:v>36839.833333334631</c:v>
                </c:pt>
                <c:pt idx="537" formatCode="m/d/yyyy\ h:mm">
                  <c:v>36839.854166667967</c:v>
                </c:pt>
                <c:pt idx="538" formatCode="m/d/yyyy\ h:mm">
                  <c:v>36839.875000001302</c:v>
                </c:pt>
                <c:pt idx="539" formatCode="m/d/yyyy\ h:mm">
                  <c:v>36839.895833334638</c:v>
                </c:pt>
                <c:pt idx="540" formatCode="m/d/yyyy\ h:mm">
                  <c:v>36839.916666667974</c:v>
                </c:pt>
                <c:pt idx="541" formatCode="m/d/yyyy\ h:mm">
                  <c:v>36839.93750000131</c:v>
                </c:pt>
                <c:pt idx="542" formatCode="m/d/yyyy\ h:mm">
                  <c:v>36839.958333334645</c:v>
                </c:pt>
                <c:pt idx="543" formatCode="m/d/yyyy\ h:mm">
                  <c:v>36839.979166667981</c:v>
                </c:pt>
                <c:pt idx="544" formatCode="m/d/yyyy\ h:mm">
                  <c:v>36840.000000001317</c:v>
                </c:pt>
                <c:pt idx="545" formatCode="m/d/yyyy\ h:mm">
                  <c:v>36840.020833334653</c:v>
                </c:pt>
                <c:pt idx="546" formatCode="m/d/yyyy\ h:mm">
                  <c:v>36840.041666667988</c:v>
                </c:pt>
                <c:pt idx="547" formatCode="m/d/yyyy\ h:mm">
                  <c:v>36840.062500001324</c:v>
                </c:pt>
                <c:pt idx="548" formatCode="m/d/yyyy\ h:mm">
                  <c:v>36840.08333333466</c:v>
                </c:pt>
                <c:pt idx="549" formatCode="m/d/yyyy\ h:mm">
                  <c:v>36840.104166667996</c:v>
                </c:pt>
                <c:pt idx="550" formatCode="m/d/yyyy\ h:mm">
                  <c:v>36840.125000001332</c:v>
                </c:pt>
                <c:pt idx="551" formatCode="m/d/yyyy\ h:mm">
                  <c:v>36840.145833334667</c:v>
                </c:pt>
                <c:pt idx="552" formatCode="m/d/yyyy\ h:mm">
                  <c:v>36840.166666668003</c:v>
                </c:pt>
                <c:pt idx="553" formatCode="m/d/yyyy\ h:mm">
                  <c:v>36840.187500001339</c:v>
                </c:pt>
                <c:pt idx="554" formatCode="m/d/yyyy\ h:mm">
                  <c:v>36840.208333334675</c:v>
                </c:pt>
                <c:pt idx="555" formatCode="m/d/yyyy\ h:mm">
                  <c:v>36840.22916666801</c:v>
                </c:pt>
                <c:pt idx="556" formatCode="m/d/yyyy\ h:mm">
                  <c:v>36840.250000001346</c:v>
                </c:pt>
                <c:pt idx="557" formatCode="m/d/yyyy\ h:mm">
                  <c:v>36840.270833334682</c:v>
                </c:pt>
                <c:pt idx="558" formatCode="m/d/yyyy\ h:mm">
                  <c:v>36840.291666668018</c:v>
                </c:pt>
                <c:pt idx="559" formatCode="m/d/yyyy\ h:mm">
                  <c:v>36840.312500001353</c:v>
                </c:pt>
                <c:pt idx="560" formatCode="m/d/yyyy\ h:mm">
                  <c:v>36840.333333334689</c:v>
                </c:pt>
                <c:pt idx="561" formatCode="m/d/yyyy\ h:mm">
                  <c:v>36840.354166668025</c:v>
                </c:pt>
                <c:pt idx="562" formatCode="m/d/yyyy\ h:mm">
                  <c:v>36840.375000001361</c:v>
                </c:pt>
                <c:pt idx="563" formatCode="m/d/yyyy\ h:mm">
                  <c:v>36840.395833334696</c:v>
                </c:pt>
                <c:pt idx="564" formatCode="m/d/yyyy\ h:mm">
                  <c:v>36840.416666668032</c:v>
                </c:pt>
                <c:pt idx="565" formatCode="m/d/yyyy\ h:mm">
                  <c:v>36840.437500001368</c:v>
                </c:pt>
                <c:pt idx="566" formatCode="m/d/yyyy\ h:mm">
                  <c:v>36840.458333334704</c:v>
                </c:pt>
                <c:pt idx="567" formatCode="m/d/yyyy\ h:mm">
                  <c:v>36840.479166668039</c:v>
                </c:pt>
                <c:pt idx="568" formatCode="m/d/yyyy\ h:mm">
                  <c:v>36840.500000001375</c:v>
                </c:pt>
                <c:pt idx="569" formatCode="m/d/yyyy\ h:mm">
                  <c:v>36840.520833334711</c:v>
                </c:pt>
                <c:pt idx="570" formatCode="m/d/yyyy\ h:mm">
                  <c:v>36840.541666668047</c:v>
                </c:pt>
                <c:pt idx="571" formatCode="m/d/yyyy\ h:mm">
                  <c:v>36840.562500001382</c:v>
                </c:pt>
                <c:pt idx="572" formatCode="m/d/yyyy\ h:mm">
                  <c:v>36840.583333334718</c:v>
                </c:pt>
                <c:pt idx="573" formatCode="m/d/yyyy\ h:mm">
                  <c:v>36840.604166668054</c:v>
                </c:pt>
                <c:pt idx="574" formatCode="m/d/yyyy\ h:mm">
                  <c:v>36840.62500000139</c:v>
                </c:pt>
                <c:pt idx="575" formatCode="m/d/yyyy\ h:mm">
                  <c:v>36840.645833334725</c:v>
                </c:pt>
                <c:pt idx="576" formatCode="m/d/yyyy\ h:mm">
                  <c:v>36840.666666668061</c:v>
                </c:pt>
                <c:pt idx="577" formatCode="m/d/yyyy\ h:mm">
                  <c:v>36840.687500001397</c:v>
                </c:pt>
                <c:pt idx="578" formatCode="m/d/yyyy\ h:mm">
                  <c:v>36840.708333334733</c:v>
                </c:pt>
                <c:pt idx="579" formatCode="m/d/yyyy\ h:mm">
                  <c:v>36840.729166668069</c:v>
                </c:pt>
                <c:pt idx="580" formatCode="m/d/yyyy\ h:mm">
                  <c:v>36840.750000001404</c:v>
                </c:pt>
                <c:pt idx="581" formatCode="m/d/yyyy\ h:mm">
                  <c:v>36840.77083333474</c:v>
                </c:pt>
                <c:pt idx="582" formatCode="m/d/yyyy\ h:mm">
                  <c:v>36840.791666668076</c:v>
                </c:pt>
                <c:pt idx="583" formatCode="m/d/yyyy\ h:mm">
                  <c:v>36840.812500001412</c:v>
                </c:pt>
                <c:pt idx="584" formatCode="m/d/yyyy\ h:mm">
                  <c:v>36840.833333334747</c:v>
                </c:pt>
                <c:pt idx="585" formatCode="m/d/yyyy\ h:mm">
                  <c:v>36840.854166668083</c:v>
                </c:pt>
                <c:pt idx="586" formatCode="m/d/yyyy\ h:mm">
                  <c:v>36840.875000001419</c:v>
                </c:pt>
                <c:pt idx="587" formatCode="m/d/yyyy\ h:mm">
                  <c:v>36840.895833334755</c:v>
                </c:pt>
                <c:pt idx="588" formatCode="m/d/yyyy\ h:mm">
                  <c:v>36840.91666666809</c:v>
                </c:pt>
                <c:pt idx="589" formatCode="m/d/yyyy\ h:mm">
                  <c:v>36840.937500001426</c:v>
                </c:pt>
                <c:pt idx="590" formatCode="m/d/yyyy\ h:mm">
                  <c:v>36840.958333334762</c:v>
                </c:pt>
                <c:pt idx="591" formatCode="m/d/yyyy\ h:mm">
                  <c:v>36840.979166668098</c:v>
                </c:pt>
                <c:pt idx="592" formatCode="m/d/yyyy\ h:mm">
                  <c:v>36841.000000001433</c:v>
                </c:pt>
                <c:pt idx="593" formatCode="m/d/yyyy\ h:mm">
                  <c:v>36841.020833334769</c:v>
                </c:pt>
                <c:pt idx="594" formatCode="m/d/yyyy\ h:mm">
                  <c:v>36841.041666668105</c:v>
                </c:pt>
                <c:pt idx="595" formatCode="m/d/yyyy\ h:mm">
                  <c:v>36841.062500001441</c:v>
                </c:pt>
                <c:pt idx="596" formatCode="m/d/yyyy\ h:mm">
                  <c:v>36841.083333334776</c:v>
                </c:pt>
                <c:pt idx="597" formatCode="m/d/yyyy\ h:mm">
                  <c:v>36841.104166668112</c:v>
                </c:pt>
                <c:pt idx="598" formatCode="m/d/yyyy\ h:mm">
                  <c:v>36841.125000001448</c:v>
                </c:pt>
                <c:pt idx="599" formatCode="m/d/yyyy\ h:mm">
                  <c:v>36841.145833334784</c:v>
                </c:pt>
                <c:pt idx="600" formatCode="m/d/yyyy\ h:mm">
                  <c:v>36841.166666668119</c:v>
                </c:pt>
                <c:pt idx="601" formatCode="m/d/yyyy\ h:mm">
                  <c:v>36841.187500001455</c:v>
                </c:pt>
                <c:pt idx="602" formatCode="m/d/yyyy\ h:mm">
                  <c:v>36841.208333334791</c:v>
                </c:pt>
                <c:pt idx="603" formatCode="m/d/yyyy\ h:mm">
                  <c:v>36841.229166668127</c:v>
                </c:pt>
                <c:pt idx="604" formatCode="m/d/yyyy\ h:mm">
                  <c:v>36841.250000001462</c:v>
                </c:pt>
                <c:pt idx="605" formatCode="m/d/yyyy\ h:mm">
                  <c:v>36841.270833334798</c:v>
                </c:pt>
                <c:pt idx="606" formatCode="m/d/yyyy\ h:mm">
                  <c:v>36841.291666668134</c:v>
                </c:pt>
                <c:pt idx="607" formatCode="m/d/yyyy\ h:mm">
                  <c:v>36841.31250000147</c:v>
                </c:pt>
                <c:pt idx="608" formatCode="m/d/yyyy\ h:mm">
                  <c:v>36841.333333334806</c:v>
                </c:pt>
                <c:pt idx="609" formatCode="m/d/yyyy\ h:mm">
                  <c:v>36841.354166668141</c:v>
                </c:pt>
                <c:pt idx="610" formatCode="m/d/yyyy\ h:mm">
                  <c:v>36841.375000001477</c:v>
                </c:pt>
                <c:pt idx="611" formatCode="m/d/yyyy\ h:mm">
                  <c:v>36841.395833334813</c:v>
                </c:pt>
                <c:pt idx="612" formatCode="m/d/yyyy\ h:mm">
                  <c:v>36841.416666668149</c:v>
                </c:pt>
                <c:pt idx="613" formatCode="m/d/yyyy\ h:mm">
                  <c:v>36841.437500001484</c:v>
                </c:pt>
                <c:pt idx="614" formatCode="m/d/yyyy\ h:mm">
                  <c:v>36841.45833333482</c:v>
                </c:pt>
                <c:pt idx="615" formatCode="m/d/yyyy\ h:mm">
                  <c:v>36841.479166668156</c:v>
                </c:pt>
                <c:pt idx="616" formatCode="m/d/yyyy\ h:mm">
                  <c:v>36841.500000001492</c:v>
                </c:pt>
                <c:pt idx="617" formatCode="m/d/yyyy\ h:mm">
                  <c:v>36841.520833334827</c:v>
                </c:pt>
                <c:pt idx="618" formatCode="m/d/yyyy\ h:mm">
                  <c:v>36841.541666668163</c:v>
                </c:pt>
                <c:pt idx="619" formatCode="m/d/yyyy\ h:mm">
                  <c:v>36841.562500001499</c:v>
                </c:pt>
                <c:pt idx="620" formatCode="m/d/yyyy\ h:mm">
                  <c:v>36841.583333334835</c:v>
                </c:pt>
                <c:pt idx="621" formatCode="m/d/yyyy\ h:mm">
                  <c:v>36841.60416666817</c:v>
                </c:pt>
                <c:pt idx="622" formatCode="m/d/yyyy\ h:mm">
                  <c:v>36841.625000001506</c:v>
                </c:pt>
                <c:pt idx="623" formatCode="m/d/yyyy\ h:mm">
                  <c:v>36841.645833334842</c:v>
                </c:pt>
                <c:pt idx="624" formatCode="m/d/yyyy\ h:mm">
                  <c:v>36841.666666668178</c:v>
                </c:pt>
                <c:pt idx="625" formatCode="m/d/yyyy\ h:mm">
                  <c:v>36841.687500001513</c:v>
                </c:pt>
                <c:pt idx="626" formatCode="m/d/yyyy\ h:mm">
                  <c:v>36841.708333334849</c:v>
                </c:pt>
                <c:pt idx="627" formatCode="m/d/yyyy\ h:mm">
                  <c:v>36841.729166668185</c:v>
                </c:pt>
                <c:pt idx="628" formatCode="m/d/yyyy\ h:mm">
                  <c:v>36841.750000001521</c:v>
                </c:pt>
                <c:pt idx="629" formatCode="m/d/yyyy\ h:mm">
                  <c:v>36841.770833334856</c:v>
                </c:pt>
                <c:pt idx="630" formatCode="m/d/yyyy\ h:mm">
                  <c:v>36841.791666668192</c:v>
                </c:pt>
                <c:pt idx="631" formatCode="m/d/yyyy\ h:mm">
                  <c:v>36841.812500001528</c:v>
                </c:pt>
                <c:pt idx="632" formatCode="m/d/yyyy\ h:mm">
                  <c:v>36841.833333334864</c:v>
                </c:pt>
                <c:pt idx="633" formatCode="m/d/yyyy\ h:mm">
                  <c:v>36841.854166668199</c:v>
                </c:pt>
                <c:pt idx="634" formatCode="m/d/yyyy\ h:mm">
                  <c:v>36841.875000001535</c:v>
                </c:pt>
                <c:pt idx="635" formatCode="m/d/yyyy\ h:mm">
                  <c:v>36841.895833334871</c:v>
                </c:pt>
                <c:pt idx="636" formatCode="m/d/yyyy\ h:mm">
                  <c:v>36841.916666668207</c:v>
                </c:pt>
                <c:pt idx="637" formatCode="m/d/yyyy\ h:mm">
                  <c:v>36841.937500001543</c:v>
                </c:pt>
                <c:pt idx="638" formatCode="m/d/yyyy\ h:mm">
                  <c:v>36841.958333334878</c:v>
                </c:pt>
                <c:pt idx="639" formatCode="m/d/yyyy\ h:mm">
                  <c:v>36841.979166668214</c:v>
                </c:pt>
                <c:pt idx="640" formatCode="m/d/yyyy\ h:mm">
                  <c:v>36842.00000000155</c:v>
                </c:pt>
                <c:pt idx="641" formatCode="m/d/yyyy\ h:mm">
                  <c:v>36842.020833334886</c:v>
                </c:pt>
                <c:pt idx="642" formatCode="m/d/yyyy\ h:mm">
                  <c:v>36842.041666668221</c:v>
                </c:pt>
                <c:pt idx="643" formatCode="m/d/yyyy\ h:mm">
                  <c:v>36842.062500001557</c:v>
                </c:pt>
                <c:pt idx="644" formatCode="m/d/yyyy\ h:mm">
                  <c:v>36842.083333334893</c:v>
                </c:pt>
                <c:pt idx="645" formatCode="m/d/yyyy\ h:mm">
                  <c:v>36842.104166668229</c:v>
                </c:pt>
                <c:pt idx="646" formatCode="m/d/yyyy\ h:mm">
                  <c:v>36842.125000001564</c:v>
                </c:pt>
                <c:pt idx="647" formatCode="m/d/yyyy\ h:mm">
                  <c:v>36842.1458333349</c:v>
                </c:pt>
                <c:pt idx="648" formatCode="m/d/yyyy\ h:mm">
                  <c:v>36842.166666668236</c:v>
                </c:pt>
                <c:pt idx="649" formatCode="m/d/yyyy\ h:mm">
                  <c:v>36842.187500001572</c:v>
                </c:pt>
                <c:pt idx="650" formatCode="m/d/yyyy\ h:mm">
                  <c:v>36842.208333334907</c:v>
                </c:pt>
                <c:pt idx="651" formatCode="m/d/yyyy\ h:mm">
                  <c:v>36842.229166668243</c:v>
                </c:pt>
                <c:pt idx="652" formatCode="m/d/yyyy\ h:mm">
                  <c:v>36842.250000001579</c:v>
                </c:pt>
                <c:pt idx="653" formatCode="m/d/yyyy\ h:mm">
                  <c:v>36842.270833334915</c:v>
                </c:pt>
                <c:pt idx="654" formatCode="m/d/yyyy\ h:mm">
                  <c:v>36842.29166666825</c:v>
                </c:pt>
                <c:pt idx="655" formatCode="m/d/yyyy\ h:mm">
                  <c:v>36842.312500001586</c:v>
                </c:pt>
                <c:pt idx="656" formatCode="m/d/yyyy\ h:mm">
                  <c:v>36842.333333334922</c:v>
                </c:pt>
                <c:pt idx="657" formatCode="m/d/yyyy\ h:mm">
                  <c:v>36842.354166668258</c:v>
                </c:pt>
                <c:pt idx="658" formatCode="m/d/yyyy\ h:mm">
                  <c:v>36842.375000001593</c:v>
                </c:pt>
                <c:pt idx="659" formatCode="m/d/yyyy\ h:mm">
                  <c:v>36842.395833334929</c:v>
                </c:pt>
                <c:pt idx="660" formatCode="m/d/yyyy\ h:mm">
                  <c:v>36842.416666668265</c:v>
                </c:pt>
                <c:pt idx="661" formatCode="m/d/yyyy\ h:mm">
                  <c:v>36842.437500001601</c:v>
                </c:pt>
                <c:pt idx="662" formatCode="m/d/yyyy\ h:mm">
                  <c:v>36842.458333334936</c:v>
                </c:pt>
                <c:pt idx="663" formatCode="m/d/yyyy\ h:mm">
                  <c:v>36842.479166668272</c:v>
                </c:pt>
                <c:pt idx="664" formatCode="m/d/yyyy\ h:mm">
                  <c:v>36842.500000001608</c:v>
                </c:pt>
                <c:pt idx="665" formatCode="m/d/yyyy\ h:mm">
                  <c:v>36842.520833334944</c:v>
                </c:pt>
                <c:pt idx="666" formatCode="m/d/yyyy\ h:mm">
                  <c:v>36842.54166666828</c:v>
                </c:pt>
                <c:pt idx="667" formatCode="m/d/yyyy\ h:mm">
                  <c:v>36842.562500001615</c:v>
                </c:pt>
                <c:pt idx="668" formatCode="m/d/yyyy\ h:mm">
                  <c:v>36842.583333334951</c:v>
                </c:pt>
                <c:pt idx="669" formatCode="m/d/yyyy\ h:mm">
                  <c:v>36842.604166668287</c:v>
                </c:pt>
                <c:pt idx="670" formatCode="m/d/yyyy\ h:mm">
                  <c:v>36842.625000001623</c:v>
                </c:pt>
                <c:pt idx="671" formatCode="m/d/yyyy\ h:mm">
                  <c:v>36842.645833334958</c:v>
                </c:pt>
                <c:pt idx="672" formatCode="m/d/yyyy\ h:mm">
                  <c:v>36842.666666668294</c:v>
                </c:pt>
                <c:pt idx="673" formatCode="m/d/yyyy\ h:mm">
                  <c:v>36842.68750000163</c:v>
                </c:pt>
                <c:pt idx="674" formatCode="m/d/yyyy\ h:mm">
                  <c:v>36842.708333334966</c:v>
                </c:pt>
                <c:pt idx="675" formatCode="m/d/yyyy\ h:mm">
                  <c:v>36842.729166668301</c:v>
                </c:pt>
                <c:pt idx="676" formatCode="m/d/yyyy\ h:mm">
                  <c:v>36842.750000001637</c:v>
                </c:pt>
                <c:pt idx="677" formatCode="m/d/yyyy\ h:mm">
                  <c:v>36842.770833334973</c:v>
                </c:pt>
                <c:pt idx="678" formatCode="m/d/yyyy\ h:mm">
                  <c:v>36842.791666668309</c:v>
                </c:pt>
                <c:pt idx="679" formatCode="m/d/yyyy\ h:mm">
                  <c:v>36842.812500001644</c:v>
                </c:pt>
                <c:pt idx="680" formatCode="m/d/yyyy\ h:mm">
                  <c:v>36842.83333333498</c:v>
                </c:pt>
                <c:pt idx="681" formatCode="m/d/yyyy\ h:mm">
                  <c:v>36842.854166668316</c:v>
                </c:pt>
                <c:pt idx="682" formatCode="m/d/yyyy\ h:mm">
                  <c:v>36842.875000001652</c:v>
                </c:pt>
                <c:pt idx="683" formatCode="m/d/yyyy\ h:mm">
                  <c:v>36842.895833334987</c:v>
                </c:pt>
                <c:pt idx="684" formatCode="m/d/yyyy\ h:mm">
                  <c:v>36842.916666668323</c:v>
                </c:pt>
                <c:pt idx="685" formatCode="m/d/yyyy\ h:mm">
                  <c:v>36842.937500001659</c:v>
                </c:pt>
                <c:pt idx="686" formatCode="m/d/yyyy\ h:mm">
                  <c:v>36842.958333334995</c:v>
                </c:pt>
                <c:pt idx="687" formatCode="m/d/yyyy\ h:mm">
                  <c:v>36842.97916666833</c:v>
                </c:pt>
                <c:pt idx="688" formatCode="m/d/yyyy\ h:mm">
                  <c:v>36843.000000001666</c:v>
                </c:pt>
                <c:pt idx="689" formatCode="m/d/yyyy\ h:mm">
                  <c:v>36843.020833335002</c:v>
                </c:pt>
                <c:pt idx="690" formatCode="m/d/yyyy\ h:mm">
                  <c:v>36843.041666668338</c:v>
                </c:pt>
                <c:pt idx="691" formatCode="m/d/yyyy\ h:mm">
                  <c:v>36843.062500001673</c:v>
                </c:pt>
                <c:pt idx="692" formatCode="m/d/yyyy\ h:mm">
                  <c:v>36843.083333335009</c:v>
                </c:pt>
                <c:pt idx="693" formatCode="m/d/yyyy\ h:mm">
                  <c:v>36843.104166668345</c:v>
                </c:pt>
                <c:pt idx="694" formatCode="m/d/yyyy\ h:mm">
                  <c:v>36843.125000001681</c:v>
                </c:pt>
                <c:pt idx="695" formatCode="m/d/yyyy\ h:mm">
                  <c:v>36843.145833335017</c:v>
                </c:pt>
                <c:pt idx="696" formatCode="m/d/yyyy\ h:mm">
                  <c:v>36843.166666668352</c:v>
                </c:pt>
                <c:pt idx="697" formatCode="m/d/yyyy\ h:mm">
                  <c:v>36843.187500001688</c:v>
                </c:pt>
                <c:pt idx="698" formatCode="m/d/yyyy\ h:mm">
                  <c:v>36843.208333335024</c:v>
                </c:pt>
                <c:pt idx="699" formatCode="m/d/yyyy\ h:mm">
                  <c:v>36843.22916666836</c:v>
                </c:pt>
                <c:pt idx="700" formatCode="m/d/yyyy\ h:mm">
                  <c:v>36843.250000001695</c:v>
                </c:pt>
                <c:pt idx="701" formatCode="m/d/yyyy\ h:mm">
                  <c:v>36843.270833335031</c:v>
                </c:pt>
                <c:pt idx="702" formatCode="m/d/yyyy\ h:mm">
                  <c:v>36843.291666668367</c:v>
                </c:pt>
                <c:pt idx="703" formatCode="m/d/yyyy\ h:mm">
                  <c:v>36843.312500001703</c:v>
                </c:pt>
                <c:pt idx="704" formatCode="m/d/yyyy\ h:mm">
                  <c:v>36843.333333335038</c:v>
                </c:pt>
                <c:pt idx="705" formatCode="m/d/yyyy\ h:mm">
                  <c:v>36843.354166668374</c:v>
                </c:pt>
                <c:pt idx="706" formatCode="m/d/yyyy\ h:mm">
                  <c:v>36843.37500000171</c:v>
                </c:pt>
                <c:pt idx="707" formatCode="m/d/yyyy\ h:mm">
                  <c:v>36843.395833335046</c:v>
                </c:pt>
                <c:pt idx="708" formatCode="m/d/yyyy\ h:mm">
                  <c:v>36843.416666668381</c:v>
                </c:pt>
                <c:pt idx="709" formatCode="m/d/yyyy\ h:mm">
                  <c:v>36843.437500001717</c:v>
                </c:pt>
                <c:pt idx="710" formatCode="m/d/yyyy\ h:mm">
                  <c:v>36843.458333335053</c:v>
                </c:pt>
                <c:pt idx="711" formatCode="m/d/yyyy\ h:mm">
                  <c:v>36843.479166668389</c:v>
                </c:pt>
                <c:pt idx="712" formatCode="m/d/yyyy\ h:mm">
                  <c:v>36843.500000001724</c:v>
                </c:pt>
                <c:pt idx="713" formatCode="m/d/yyyy\ h:mm">
                  <c:v>36843.52083333506</c:v>
                </c:pt>
                <c:pt idx="714" formatCode="m/d/yyyy\ h:mm">
                  <c:v>36843.541666668396</c:v>
                </c:pt>
                <c:pt idx="715" formatCode="m/d/yyyy\ h:mm">
                  <c:v>36843.562500001732</c:v>
                </c:pt>
                <c:pt idx="716" formatCode="m/d/yyyy\ h:mm">
                  <c:v>36843.583333335067</c:v>
                </c:pt>
                <c:pt idx="717" formatCode="m/d/yyyy\ h:mm">
                  <c:v>36843.604166668403</c:v>
                </c:pt>
                <c:pt idx="718" formatCode="m/d/yyyy\ h:mm">
                  <c:v>36843.625000001739</c:v>
                </c:pt>
                <c:pt idx="719" formatCode="m/d/yyyy\ h:mm">
                  <c:v>36843.645833335075</c:v>
                </c:pt>
                <c:pt idx="720" formatCode="m/d/yyyy\ h:mm">
                  <c:v>36843.66666666841</c:v>
                </c:pt>
                <c:pt idx="721" formatCode="m/d/yyyy\ h:mm">
                  <c:v>36843.687500001746</c:v>
                </c:pt>
                <c:pt idx="722" formatCode="m/d/yyyy\ h:mm">
                  <c:v>36843.708333335082</c:v>
                </c:pt>
                <c:pt idx="723" formatCode="m/d/yyyy\ h:mm">
                  <c:v>36843.729166668418</c:v>
                </c:pt>
                <c:pt idx="724" formatCode="m/d/yyyy\ h:mm">
                  <c:v>36843.750000001754</c:v>
                </c:pt>
                <c:pt idx="725" formatCode="m/d/yyyy\ h:mm">
                  <c:v>36843.770833335089</c:v>
                </c:pt>
                <c:pt idx="726" formatCode="m/d/yyyy\ h:mm">
                  <c:v>36843.791666668425</c:v>
                </c:pt>
                <c:pt idx="727" formatCode="m/d/yyyy\ h:mm">
                  <c:v>36843.812500001761</c:v>
                </c:pt>
                <c:pt idx="728" formatCode="m/d/yyyy\ h:mm">
                  <c:v>36843.833333335097</c:v>
                </c:pt>
                <c:pt idx="729" formatCode="m/d/yyyy\ h:mm">
                  <c:v>36843.854166666664</c:v>
                </c:pt>
                <c:pt idx="730" formatCode="m/d/yyyy\ h:mm">
                  <c:v>36843.875</c:v>
                </c:pt>
                <c:pt idx="731" formatCode="m/d/yyyy\ h:mm">
                  <c:v>36843.895833333336</c:v>
                </c:pt>
                <c:pt idx="732" formatCode="m/d/yyyy\ h:mm">
                  <c:v>36843.916666666672</c:v>
                </c:pt>
                <c:pt idx="733" formatCode="m/d/yyyy\ h:mm">
                  <c:v>36843.937500000007</c:v>
                </c:pt>
                <c:pt idx="734" formatCode="m/d/yyyy\ h:mm">
                  <c:v>36843.958333333343</c:v>
                </c:pt>
                <c:pt idx="735" formatCode="m/d/yyyy\ h:mm">
                  <c:v>36843.979166666679</c:v>
                </c:pt>
                <c:pt idx="736" formatCode="m/d/yyyy\ h:mm">
                  <c:v>36844.000000000015</c:v>
                </c:pt>
                <c:pt idx="737" formatCode="m/d/yyyy\ h:mm">
                  <c:v>36844.02083333335</c:v>
                </c:pt>
                <c:pt idx="738" formatCode="m/d/yyyy\ h:mm">
                  <c:v>36844.041666666686</c:v>
                </c:pt>
                <c:pt idx="739" formatCode="m/d/yyyy\ h:mm">
                  <c:v>36844.062500000022</c:v>
                </c:pt>
                <c:pt idx="740" formatCode="m/d/yyyy\ h:mm">
                  <c:v>36844.083333333358</c:v>
                </c:pt>
                <c:pt idx="741" formatCode="m/d/yyyy\ h:mm">
                  <c:v>36844.104166666693</c:v>
                </c:pt>
                <c:pt idx="742" formatCode="m/d/yyyy\ h:mm">
                  <c:v>36844.125000000029</c:v>
                </c:pt>
                <c:pt idx="743" formatCode="m/d/yyyy\ h:mm">
                  <c:v>36844.145833333365</c:v>
                </c:pt>
                <c:pt idx="744" formatCode="m/d/yyyy\ h:mm">
                  <c:v>36844.166666666701</c:v>
                </c:pt>
                <c:pt idx="745" formatCode="m/d/yyyy\ h:mm">
                  <c:v>36844.187500000036</c:v>
                </c:pt>
                <c:pt idx="746" formatCode="m/d/yyyy\ h:mm">
                  <c:v>36844.208333333372</c:v>
                </c:pt>
                <c:pt idx="747" formatCode="m/d/yyyy\ h:mm">
                  <c:v>36844.229166666708</c:v>
                </c:pt>
                <c:pt idx="748" formatCode="m/d/yyyy\ h:mm">
                  <c:v>36844.250000000044</c:v>
                </c:pt>
                <c:pt idx="749" formatCode="m/d/yyyy\ h:mm">
                  <c:v>36844.270833333379</c:v>
                </c:pt>
                <c:pt idx="750" formatCode="m/d/yyyy\ h:mm">
                  <c:v>36844.291666666715</c:v>
                </c:pt>
                <c:pt idx="751" formatCode="m/d/yyyy\ h:mm">
                  <c:v>36844.312500000051</c:v>
                </c:pt>
                <c:pt idx="752" formatCode="m/d/yyyy\ h:mm">
                  <c:v>36844.333333333387</c:v>
                </c:pt>
                <c:pt idx="753" formatCode="m/d/yyyy\ h:mm">
                  <c:v>36844.354166666722</c:v>
                </c:pt>
                <c:pt idx="754" formatCode="m/d/yyyy\ h:mm">
                  <c:v>36844.375000000058</c:v>
                </c:pt>
                <c:pt idx="755" formatCode="m/d/yyyy\ h:mm">
                  <c:v>36844.395833333394</c:v>
                </c:pt>
                <c:pt idx="756" formatCode="m/d/yyyy\ h:mm">
                  <c:v>36844.41666666673</c:v>
                </c:pt>
                <c:pt idx="757" formatCode="m/d/yyyy\ h:mm">
                  <c:v>36844.437500000065</c:v>
                </c:pt>
                <c:pt idx="758" formatCode="m/d/yyyy\ h:mm">
                  <c:v>36844.458333333401</c:v>
                </c:pt>
                <c:pt idx="759" formatCode="m/d/yyyy\ h:mm">
                  <c:v>36844.479166666737</c:v>
                </c:pt>
                <c:pt idx="760" formatCode="m/d/yyyy\ h:mm">
                  <c:v>36844.500000000073</c:v>
                </c:pt>
                <c:pt idx="761" formatCode="m/d/yyyy\ h:mm">
                  <c:v>36844.520833333409</c:v>
                </c:pt>
                <c:pt idx="762" formatCode="m/d/yyyy\ h:mm">
                  <c:v>36844.541666666744</c:v>
                </c:pt>
                <c:pt idx="763" formatCode="m/d/yyyy\ h:mm">
                  <c:v>36844.56250000008</c:v>
                </c:pt>
                <c:pt idx="764" formatCode="m/d/yyyy\ h:mm">
                  <c:v>36844.583333333416</c:v>
                </c:pt>
                <c:pt idx="765" formatCode="m/d/yyyy\ h:mm">
                  <c:v>36844.604166666752</c:v>
                </c:pt>
                <c:pt idx="766" formatCode="m/d/yyyy\ h:mm">
                  <c:v>36844.625000000087</c:v>
                </c:pt>
                <c:pt idx="767" formatCode="m/d/yyyy\ h:mm">
                  <c:v>36844.645833333423</c:v>
                </c:pt>
                <c:pt idx="768" formatCode="m/d/yyyy\ h:mm">
                  <c:v>36844.666666666759</c:v>
                </c:pt>
                <c:pt idx="769" formatCode="m/d/yyyy\ h:mm">
                  <c:v>36844.687500000095</c:v>
                </c:pt>
                <c:pt idx="770" formatCode="m/d/yyyy\ h:mm">
                  <c:v>36844.70833333343</c:v>
                </c:pt>
                <c:pt idx="771" formatCode="m/d/yyyy\ h:mm">
                  <c:v>36844.729166666766</c:v>
                </c:pt>
                <c:pt idx="772" formatCode="m/d/yyyy\ h:mm">
                  <c:v>36844.750000000102</c:v>
                </c:pt>
                <c:pt idx="773" formatCode="m/d/yyyy\ h:mm">
                  <c:v>36844.770833333438</c:v>
                </c:pt>
                <c:pt idx="774" formatCode="m/d/yyyy\ h:mm">
                  <c:v>36844.791666666773</c:v>
                </c:pt>
                <c:pt idx="775" formatCode="m/d/yyyy\ h:mm">
                  <c:v>36844.812500000109</c:v>
                </c:pt>
                <c:pt idx="776" formatCode="m/d/yyyy\ h:mm">
                  <c:v>36844.833333333445</c:v>
                </c:pt>
                <c:pt idx="777" formatCode="m/d/yyyy\ h:mm">
                  <c:v>36844.854166666781</c:v>
                </c:pt>
                <c:pt idx="778" formatCode="m/d/yyyy\ h:mm">
                  <c:v>36844.875000000116</c:v>
                </c:pt>
                <c:pt idx="779" formatCode="m/d/yyyy\ h:mm">
                  <c:v>36844.895833333452</c:v>
                </c:pt>
                <c:pt idx="780" formatCode="m/d/yyyy\ h:mm">
                  <c:v>36844.916666666788</c:v>
                </c:pt>
                <c:pt idx="781" formatCode="m/d/yyyy\ h:mm">
                  <c:v>36844.937500000124</c:v>
                </c:pt>
                <c:pt idx="782" formatCode="m/d/yyyy\ h:mm">
                  <c:v>36844.958333333459</c:v>
                </c:pt>
                <c:pt idx="783" formatCode="m/d/yyyy\ h:mm">
                  <c:v>36844.979166666795</c:v>
                </c:pt>
                <c:pt idx="784" formatCode="m/d/yyyy\ h:mm">
                  <c:v>36845.000000000131</c:v>
                </c:pt>
                <c:pt idx="785" formatCode="m/d/yyyy\ h:mm">
                  <c:v>36845.020833333467</c:v>
                </c:pt>
                <c:pt idx="786" formatCode="m/d/yyyy\ h:mm">
                  <c:v>36845.041666666802</c:v>
                </c:pt>
                <c:pt idx="787" formatCode="m/d/yyyy\ h:mm">
                  <c:v>36845.062500000138</c:v>
                </c:pt>
                <c:pt idx="788" formatCode="m/d/yyyy\ h:mm">
                  <c:v>36845.083333333474</c:v>
                </c:pt>
                <c:pt idx="789" formatCode="m/d/yyyy\ h:mm">
                  <c:v>36845.10416666681</c:v>
                </c:pt>
                <c:pt idx="790" formatCode="m/d/yyyy\ h:mm">
                  <c:v>36845.125000000146</c:v>
                </c:pt>
                <c:pt idx="791" formatCode="m/d/yyyy\ h:mm">
                  <c:v>36845.145833333481</c:v>
                </c:pt>
                <c:pt idx="792" formatCode="m/d/yyyy\ h:mm">
                  <c:v>36845.166666666817</c:v>
                </c:pt>
                <c:pt idx="793" formatCode="m/d/yyyy\ h:mm">
                  <c:v>36845.187500000153</c:v>
                </c:pt>
                <c:pt idx="794" formatCode="m/d/yyyy\ h:mm">
                  <c:v>36845.208333333489</c:v>
                </c:pt>
                <c:pt idx="795" formatCode="m/d/yyyy\ h:mm">
                  <c:v>36845.229166666824</c:v>
                </c:pt>
                <c:pt idx="796" formatCode="m/d/yyyy\ h:mm">
                  <c:v>36845.25000000016</c:v>
                </c:pt>
                <c:pt idx="797" formatCode="m/d/yyyy\ h:mm">
                  <c:v>36845.270833333496</c:v>
                </c:pt>
                <c:pt idx="798" formatCode="m/d/yyyy\ h:mm">
                  <c:v>36845.291666666832</c:v>
                </c:pt>
                <c:pt idx="799" formatCode="m/d/yyyy\ h:mm">
                  <c:v>36845.312500000167</c:v>
                </c:pt>
                <c:pt idx="800" formatCode="m/d/yyyy\ h:mm">
                  <c:v>36845.333333333503</c:v>
                </c:pt>
                <c:pt idx="801" formatCode="m/d/yyyy\ h:mm">
                  <c:v>36845.354166666839</c:v>
                </c:pt>
                <c:pt idx="802" formatCode="m/d/yyyy\ h:mm">
                  <c:v>36845.375000000175</c:v>
                </c:pt>
                <c:pt idx="803" formatCode="m/d/yyyy\ h:mm">
                  <c:v>36845.39583333351</c:v>
                </c:pt>
                <c:pt idx="804" formatCode="m/d/yyyy\ h:mm">
                  <c:v>36845.416666666846</c:v>
                </c:pt>
                <c:pt idx="805" formatCode="m/d/yyyy\ h:mm">
                  <c:v>36845.437500000182</c:v>
                </c:pt>
                <c:pt idx="806" formatCode="m/d/yyyy\ h:mm">
                  <c:v>36845.458333333518</c:v>
                </c:pt>
                <c:pt idx="807" formatCode="m/d/yyyy\ h:mm">
                  <c:v>36845.479166666853</c:v>
                </c:pt>
                <c:pt idx="808" formatCode="m/d/yyyy\ h:mm">
                  <c:v>36845.500000000189</c:v>
                </c:pt>
                <c:pt idx="809" formatCode="m/d/yyyy\ h:mm">
                  <c:v>36845.520833333525</c:v>
                </c:pt>
                <c:pt idx="810" formatCode="m/d/yyyy\ h:mm">
                  <c:v>36845.541666666861</c:v>
                </c:pt>
                <c:pt idx="811" formatCode="m/d/yyyy\ h:mm">
                  <c:v>36845.562500000196</c:v>
                </c:pt>
                <c:pt idx="812" formatCode="m/d/yyyy\ h:mm">
                  <c:v>36845.583333333532</c:v>
                </c:pt>
                <c:pt idx="813" formatCode="m/d/yyyy\ h:mm">
                  <c:v>36845.604166666868</c:v>
                </c:pt>
                <c:pt idx="814" formatCode="m/d/yyyy\ h:mm">
                  <c:v>36845.625000000204</c:v>
                </c:pt>
                <c:pt idx="815" formatCode="m/d/yyyy\ h:mm">
                  <c:v>36845.645833333539</c:v>
                </c:pt>
                <c:pt idx="816" formatCode="m/d/yyyy\ h:mm">
                  <c:v>36845.666666666875</c:v>
                </c:pt>
                <c:pt idx="817" formatCode="m/d/yyyy\ h:mm">
                  <c:v>36845.687500000211</c:v>
                </c:pt>
                <c:pt idx="818" formatCode="m/d/yyyy\ h:mm">
                  <c:v>36845.708333333547</c:v>
                </c:pt>
                <c:pt idx="819" formatCode="m/d/yyyy\ h:mm">
                  <c:v>36845.729166666883</c:v>
                </c:pt>
                <c:pt idx="820" formatCode="m/d/yyyy\ h:mm">
                  <c:v>36845.750000000218</c:v>
                </c:pt>
                <c:pt idx="821" formatCode="m/d/yyyy\ h:mm">
                  <c:v>36845.770833333554</c:v>
                </c:pt>
                <c:pt idx="822" formatCode="m/d/yyyy\ h:mm">
                  <c:v>36845.79166666689</c:v>
                </c:pt>
                <c:pt idx="823" formatCode="m/d/yyyy\ h:mm">
                  <c:v>36845.812500000226</c:v>
                </c:pt>
                <c:pt idx="824" formatCode="m/d/yyyy\ h:mm">
                  <c:v>36845.833333333561</c:v>
                </c:pt>
                <c:pt idx="825" formatCode="m/d/yyyy\ h:mm">
                  <c:v>36845.854166666897</c:v>
                </c:pt>
                <c:pt idx="826" formatCode="m/d/yyyy\ h:mm">
                  <c:v>36845.875000000233</c:v>
                </c:pt>
                <c:pt idx="827" formatCode="m/d/yyyy\ h:mm">
                  <c:v>36845.895833333569</c:v>
                </c:pt>
                <c:pt idx="828" formatCode="m/d/yyyy\ h:mm">
                  <c:v>36845.916666666904</c:v>
                </c:pt>
                <c:pt idx="829" formatCode="m/d/yyyy\ h:mm">
                  <c:v>36845.93750000024</c:v>
                </c:pt>
                <c:pt idx="830" formatCode="m/d/yyyy\ h:mm">
                  <c:v>36845.958333333576</c:v>
                </c:pt>
                <c:pt idx="831" formatCode="m/d/yyyy\ h:mm">
                  <c:v>36845.979166666912</c:v>
                </c:pt>
                <c:pt idx="832" formatCode="m/d/yyyy\ h:mm">
                  <c:v>36846.000000000247</c:v>
                </c:pt>
                <c:pt idx="833" formatCode="m/d/yyyy\ h:mm">
                  <c:v>36846.020833333583</c:v>
                </c:pt>
                <c:pt idx="834" formatCode="m/d/yyyy\ h:mm">
                  <c:v>36846.041666666919</c:v>
                </c:pt>
                <c:pt idx="835" formatCode="m/d/yyyy\ h:mm">
                  <c:v>36846.062500000255</c:v>
                </c:pt>
                <c:pt idx="836" formatCode="m/d/yyyy\ h:mm">
                  <c:v>36846.08333333359</c:v>
                </c:pt>
                <c:pt idx="837" formatCode="m/d/yyyy\ h:mm">
                  <c:v>36846.104166666926</c:v>
                </c:pt>
                <c:pt idx="838" formatCode="m/d/yyyy\ h:mm">
                  <c:v>36846.125000000262</c:v>
                </c:pt>
                <c:pt idx="839" formatCode="m/d/yyyy\ h:mm">
                  <c:v>36846.145833333598</c:v>
                </c:pt>
                <c:pt idx="840" formatCode="m/d/yyyy\ h:mm">
                  <c:v>36846.166666666933</c:v>
                </c:pt>
                <c:pt idx="841" formatCode="m/d/yyyy\ h:mm">
                  <c:v>36846.187500000269</c:v>
                </c:pt>
                <c:pt idx="842" formatCode="m/d/yyyy\ h:mm">
                  <c:v>36846.208333333605</c:v>
                </c:pt>
                <c:pt idx="843" formatCode="m/d/yyyy\ h:mm">
                  <c:v>36846.229166666941</c:v>
                </c:pt>
                <c:pt idx="844" formatCode="m/d/yyyy\ h:mm">
                  <c:v>36846.250000000276</c:v>
                </c:pt>
                <c:pt idx="845" formatCode="m/d/yyyy\ h:mm">
                  <c:v>36846.270833333612</c:v>
                </c:pt>
                <c:pt idx="846" formatCode="m/d/yyyy\ h:mm">
                  <c:v>36846.291666666948</c:v>
                </c:pt>
                <c:pt idx="847" formatCode="m/d/yyyy\ h:mm">
                  <c:v>36846.312500000284</c:v>
                </c:pt>
                <c:pt idx="848" formatCode="m/d/yyyy\ h:mm">
                  <c:v>36846.33333333362</c:v>
                </c:pt>
                <c:pt idx="849" formatCode="m/d/yyyy\ h:mm">
                  <c:v>36846.354166666955</c:v>
                </c:pt>
                <c:pt idx="850" formatCode="m/d/yyyy\ h:mm">
                  <c:v>36846.375000000291</c:v>
                </c:pt>
                <c:pt idx="851" formatCode="m/d/yyyy\ h:mm">
                  <c:v>36846.395833333627</c:v>
                </c:pt>
                <c:pt idx="852" formatCode="m/d/yyyy\ h:mm">
                  <c:v>36846.416666666963</c:v>
                </c:pt>
                <c:pt idx="853" formatCode="m/d/yyyy\ h:mm">
                  <c:v>36846.437500000298</c:v>
                </c:pt>
                <c:pt idx="854" formatCode="m/d/yyyy\ h:mm">
                  <c:v>36846.458333333634</c:v>
                </c:pt>
                <c:pt idx="855" formatCode="m/d/yyyy\ h:mm">
                  <c:v>36846.47916666697</c:v>
                </c:pt>
                <c:pt idx="856" formatCode="m/d/yyyy\ h:mm">
                  <c:v>36846.500000000306</c:v>
                </c:pt>
                <c:pt idx="857" formatCode="m/d/yyyy\ h:mm">
                  <c:v>36846.520833333641</c:v>
                </c:pt>
                <c:pt idx="858" formatCode="m/d/yyyy\ h:mm">
                  <c:v>36846.541666666977</c:v>
                </c:pt>
                <c:pt idx="859" formatCode="m/d/yyyy\ h:mm">
                  <c:v>36846.562500000313</c:v>
                </c:pt>
                <c:pt idx="860" formatCode="m/d/yyyy\ h:mm">
                  <c:v>36846.583333333649</c:v>
                </c:pt>
                <c:pt idx="861" formatCode="m/d/yyyy\ h:mm">
                  <c:v>36846.604166666984</c:v>
                </c:pt>
                <c:pt idx="862" formatCode="m/d/yyyy\ h:mm">
                  <c:v>36846.62500000032</c:v>
                </c:pt>
                <c:pt idx="863" formatCode="m/d/yyyy\ h:mm">
                  <c:v>36846.645833333656</c:v>
                </c:pt>
                <c:pt idx="864" formatCode="m/d/yyyy\ h:mm">
                  <c:v>36846.666666666992</c:v>
                </c:pt>
                <c:pt idx="865" formatCode="m/d/yyyy\ h:mm">
                  <c:v>36846.687500000327</c:v>
                </c:pt>
                <c:pt idx="866" formatCode="m/d/yyyy\ h:mm">
                  <c:v>36846.708333333663</c:v>
                </c:pt>
                <c:pt idx="867" formatCode="m/d/yyyy\ h:mm">
                  <c:v>36846.729166666999</c:v>
                </c:pt>
                <c:pt idx="868" formatCode="m/d/yyyy\ h:mm">
                  <c:v>36846.750000000335</c:v>
                </c:pt>
                <c:pt idx="869" formatCode="m/d/yyyy\ h:mm">
                  <c:v>36846.77083333367</c:v>
                </c:pt>
                <c:pt idx="870" formatCode="m/d/yyyy\ h:mm">
                  <c:v>36846.791666667006</c:v>
                </c:pt>
                <c:pt idx="871" formatCode="m/d/yyyy\ h:mm">
                  <c:v>36846.812500000342</c:v>
                </c:pt>
                <c:pt idx="872" formatCode="m/d/yyyy\ h:mm">
                  <c:v>36846.833333333678</c:v>
                </c:pt>
                <c:pt idx="873" formatCode="m/d/yyyy\ h:mm">
                  <c:v>36846.854166667013</c:v>
                </c:pt>
                <c:pt idx="874" formatCode="m/d/yyyy\ h:mm">
                  <c:v>36846.875000000349</c:v>
                </c:pt>
                <c:pt idx="875" formatCode="m/d/yyyy\ h:mm">
                  <c:v>36846.895833333685</c:v>
                </c:pt>
                <c:pt idx="876" formatCode="m/d/yyyy\ h:mm">
                  <c:v>36846.916666667021</c:v>
                </c:pt>
                <c:pt idx="877" formatCode="m/d/yyyy\ h:mm">
                  <c:v>36846.937500000357</c:v>
                </c:pt>
                <c:pt idx="878" formatCode="m/d/yyyy\ h:mm">
                  <c:v>36846.958333333692</c:v>
                </c:pt>
                <c:pt idx="879" formatCode="m/d/yyyy\ h:mm">
                  <c:v>36846.979166667028</c:v>
                </c:pt>
                <c:pt idx="880" formatCode="m/d/yyyy\ h:mm">
                  <c:v>36847.000000000364</c:v>
                </c:pt>
                <c:pt idx="881" formatCode="m/d/yyyy\ h:mm">
                  <c:v>36847.0208333337</c:v>
                </c:pt>
                <c:pt idx="882" formatCode="m/d/yyyy\ h:mm">
                  <c:v>36847.041666667035</c:v>
                </c:pt>
                <c:pt idx="883" formatCode="m/d/yyyy\ h:mm">
                  <c:v>36847.062500000371</c:v>
                </c:pt>
                <c:pt idx="884" formatCode="m/d/yyyy\ h:mm">
                  <c:v>36847.083333333707</c:v>
                </c:pt>
                <c:pt idx="885" formatCode="m/d/yyyy\ h:mm">
                  <c:v>36847.104166667043</c:v>
                </c:pt>
                <c:pt idx="886" formatCode="m/d/yyyy\ h:mm">
                  <c:v>36847.125000000378</c:v>
                </c:pt>
                <c:pt idx="887" formatCode="m/d/yyyy\ h:mm">
                  <c:v>36847.145833333714</c:v>
                </c:pt>
                <c:pt idx="888" formatCode="m/d/yyyy\ h:mm">
                  <c:v>36847.16666666705</c:v>
                </c:pt>
                <c:pt idx="889" formatCode="m/d/yyyy\ h:mm">
                  <c:v>36847.187500000386</c:v>
                </c:pt>
                <c:pt idx="890" formatCode="m/d/yyyy\ h:mm">
                  <c:v>36847.208333333721</c:v>
                </c:pt>
                <c:pt idx="891" formatCode="m/d/yyyy\ h:mm">
                  <c:v>36847.229166667057</c:v>
                </c:pt>
                <c:pt idx="892" formatCode="m/d/yyyy\ h:mm">
                  <c:v>36847.250000000393</c:v>
                </c:pt>
                <c:pt idx="893" formatCode="m/d/yyyy\ h:mm">
                  <c:v>36847.270833333729</c:v>
                </c:pt>
                <c:pt idx="894" formatCode="m/d/yyyy\ h:mm">
                  <c:v>36847.291666667064</c:v>
                </c:pt>
                <c:pt idx="895" formatCode="m/d/yyyy\ h:mm">
                  <c:v>36847.3125000004</c:v>
                </c:pt>
                <c:pt idx="896" formatCode="m/d/yyyy\ h:mm">
                  <c:v>36847.333333333736</c:v>
                </c:pt>
                <c:pt idx="897" formatCode="m/d/yyyy\ h:mm">
                  <c:v>36847.354166667072</c:v>
                </c:pt>
                <c:pt idx="898" formatCode="m/d/yyyy\ h:mm">
                  <c:v>36847.375000000407</c:v>
                </c:pt>
                <c:pt idx="899" formatCode="m/d/yyyy\ h:mm">
                  <c:v>36847.395833333743</c:v>
                </c:pt>
                <c:pt idx="900" formatCode="m/d/yyyy\ h:mm">
                  <c:v>36847.416666667079</c:v>
                </c:pt>
                <c:pt idx="901" formatCode="m/d/yyyy\ h:mm">
                  <c:v>36847.437500000415</c:v>
                </c:pt>
                <c:pt idx="902" formatCode="m/d/yyyy\ h:mm">
                  <c:v>36847.45833333375</c:v>
                </c:pt>
                <c:pt idx="903" formatCode="m/d/yyyy\ h:mm">
                  <c:v>36847.479166667086</c:v>
                </c:pt>
                <c:pt idx="904" formatCode="m/d/yyyy\ h:mm">
                  <c:v>36847.500000000422</c:v>
                </c:pt>
                <c:pt idx="905" formatCode="m/d/yyyy\ h:mm">
                  <c:v>36847.520833333758</c:v>
                </c:pt>
                <c:pt idx="906" formatCode="m/d/yyyy\ h:mm">
                  <c:v>36847.541666667094</c:v>
                </c:pt>
                <c:pt idx="907" formatCode="m/d/yyyy\ h:mm">
                  <c:v>36847.562500000429</c:v>
                </c:pt>
                <c:pt idx="908" formatCode="m/d/yyyy\ h:mm">
                  <c:v>36847.583333333765</c:v>
                </c:pt>
                <c:pt idx="909" formatCode="m/d/yyyy\ h:mm">
                  <c:v>36847.604166667101</c:v>
                </c:pt>
                <c:pt idx="910" formatCode="m/d/yyyy\ h:mm">
                  <c:v>36847.625000000437</c:v>
                </c:pt>
                <c:pt idx="911" formatCode="m/d/yyyy\ h:mm">
                  <c:v>36847.645833333772</c:v>
                </c:pt>
                <c:pt idx="912" formatCode="m/d/yyyy\ h:mm">
                  <c:v>36847.666666667108</c:v>
                </c:pt>
                <c:pt idx="913" formatCode="m/d/yyyy\ h:mm">
                  <c:v>36847.687500000444</c:v>
                </c:pt>
                <c:pt idx="914" formatCode="m/d/yyyy\ h:mm">
                  <c:v>36847.70833333378</c:v>
                </c:pt>
                <c:pt idx="915" formatCode="m/d/yyyy\ h:mm">
                  <c:v>36847.729166667115</c:v>
                </c:pt>
                <c:pt idx="916" formatCode="m/d/yyyy\ h:mm">
                  <c:v>36847.750000000451</c:v>
                </c:pt>
                <c:pt idx="917" formatCode="m/d/yyyy\ h:mm">
                  <c:v>36847.770833333787</c:v>
                </c:pt>
                <c:pt idx="918" formatCode="m/d/yyyy\ h:mm">
                  <c:v>36847.791666667123</c:v>
                </c:pt>
                <c:pt idx="919" formatCode="m/d/yyyy\ h:mm">
                  <c:v>36847.812500000458</c:v>
                </c:pt>
                <c:pt idx="920" formatCode="m/d/yyyy\ h:mm">
                  <c:v>36847.833333333794</c:v>
                </c:pt>
                <c:pt idx="921" formatCode="m/d/yyyy\ h:mm">
                  <c:v>36847.85416666713</c:v>
                </c:pt>
                <c:pt idx="922" formatCode="m/d/yyyy\ h:mm">
                  <c:v>36847.875000000466</c:v>
                </c:pt>
                <c:pt idx="923" formatCode="m/d/yyyy\ h:mm">
                  <c:v>36847.895833333801</c:v>
                </c:pt>
                <c:pt idx="924" formatCode="m/d/yyyy\ h:mm">
                  <c:v>36847.916666667137</c:v>
                </c:pt>
                <c:pt idx="925" formatCode="m/d/yyyy\ h:mm">
                  <c:v>36847.937500000473</c:v>
                </c:pt>
                <c:pt idx="926" formatCode="m/d/yyyy\ h:mm">
                  <c:v>36847.958333333809</c:v>
                </c:pt>
                <c:pt idx="927" formatCode="m/d/yyyy\ h:mm">
                  <c:v>36847.979166667144</c:v>
                </c:pt>
                <c:pt idx="928" formatCode="m/d/yyyy\ h:mm">
                  <c:v>36848.00000000048</c:v>
                </c:pt>
                <c:pt idx="929" formatCode="m/d/yyyy\ h:mm">
                  <c:v>36848.020833333816</c:v>
                </c:pt>
                <c:pt idx="930" formatCode="m/d/yyyy\ h:mm">
                  <c:v>36848.041666667152</c:v>
                </c:pt>
                <c:pt idx="931" formatCode="m/d/yyyy\ h:mm">
                  <c:v>36848.062500000487</c:v>
                </c:pt>
                <c:pt idx="932" formatCode="m/d/yyyy\ h:mm">
                  <c:v>36848.083333333823</c:v>
                </c:pt>
                <c:pt idx="933" formatCode="m/d/yyyy\ h:mm">
                  <c:v>36848.104166667159</c:v>
                </c:pt>
                <c:pt idx="934" formatCode="m/d/yyyy\ h:mm">
                  <c:v>36848.125000000495</c:v>
                </c:pt>
                <c:pt idx="935" formatCode="m/d/yyyy\ h:mm">
                  <c:v>36848.145833333831</c:v>
                </c:pt>
                <c:pt idx="936" formatCode="m/d/yyyy\ h:mm">
                  <c:v>36848.166666667166</c:v>
                </c:pt>
                <c:pt idx="937" formatCode="m/d/yyyy\ h:mm">
                  <c:v>36848.187500000502</c:v>
                </c:pt>
                <c:pt idx="938" formatCode="m/d/yyyy\ h:mm">
                  <c:v>36848.208333333838</c:v>
                </c:pt>
                <c:pt idx="939" formatCode="m/d/yyyy\ h:mm">
                  <c:v>36848.229166667174</c:v>
                </c:pt>
                <c:pt idx="940" formatCode="m/d/yyyy\ h:mm">
                  <c:v>36848.250000000509</c:v>
                </c:pt>
                <c:pt idx="941" formatCode="m/d/yyyy\ h:mm">
                  <c:v>36848.270833333845</c:v>
                </c:pt>
                <c:pt idx="942" formatCode="m/d/yyyy\ h:mm">
                  <c:v>36848.291666667181</c:v>
                </c:pt>
                <c:pt idx="943" formatCode="m/d/yyyy\ h:mm">
                  <c:v>36848.312500000517</c:v>
                </c:pt>
                <c:pt idx="944" formatCode="m/d/yyyy\ h:mm">
                  <c:v>36848.333333333852</c:v>
                </c:pt>
                <c:pt idx="945" formatCode="m/d/yyyy\ h:mm">
                  <c:v>36848.354166667188</c:v>
                </c:pt>
                <c:pt idx="946" formatCode="m/d/yyyy\ h:mm">
                  <c:v>36848.375000000524</c:v>
                </c:pt>
                <c:pt idx="947" formatCode="m/d/yyyy\ h:mm">
                  <c:v>36848.39583333386</c:v>
                </c:pt>
                <c:pt idx="948" formatCode="m/d/yyyy\ h:mm">
                  <c:v>36848.416666667195</c:v>
                </c:pt>
                <c:pt idx="949" formatCode="m/d/yyyy\ h:mm">
                  <c:v>36848.437500000531</c:v>
                </c:pt>
                <c:pt idx="950" formatCode="m/d/yyyy\ h:mm">
                  <c:v>36848.458333333867</c:v>
                </c:pt>
                <c:pt idx="951" formatCode="m/d/yyyy\ h:mm">
                  <c:v>36848.479166667203</c:v>
                </c:pt>
                <c:pt idx="952" formatCode="m/d/yyyy\ h:mm">
                  <c:v>36848.500000000538</c:v>
                </c:pt>
                <c:pt idx="953" formatCode="m/d/yyyy\ h:mm">
                  <c:v>36848.520833333874</c:v>
                </c:pt>
                <c:pt idx="954" formatCode="m/d/yyyy\ h:mm">
                  <c:v>36848.54166666721</c:v>
                </c:pt>
                <c:pt idx="955" formatCode="m/d/yyyy\ h:mm">
                  <c:v>36848.562500000546</c:v>
                </c:pt>
                <c:pt idx="956" formatCode="m/d/yyyy\ h:mm">
                  <c:v>36848.583333333881</c:v>
                </c:pt>
                <c:pt idx="957" formatCode="m/d/yyyy\ h:mm">
                  <c:v>36848.604166667217</c:v>
                </c:pt>
                <c:pt idx="958" formatCode="m/d/yyyy\ h:mm">
                  <c:v>36848.625000000553</c:v>
                </c:pt>
                <c:pt idx="959" formatCode="m/d/yyyy\ h:mm">
                  <c:v>36848.645833333889</c:v>
                </c:pt>
                <c:pt idx="960" formatCode="m/d/yyyy\ h:mm">
                  <c:v>36848.666666667224</c:v>
                </c:pt>
                <c:pt idx="961" formatCode="m/d/yyyy\ h:mm">
                  <c:v>36848.68750000056</c:v>
                </c:pt>
                <c:pt idx="962" formatCode="m/d/yyyy\ h:mm">
                  <c:v>36848.708333333896</c:v>
                </c:pt>
                <c:pt idx="963" formatCode="m/d/yyyy\ h:mm">
                  <c:v>36848.729166667232</c:v>
                </c:pt>
                <c:pt idx="964" formatCode="m/d/yyyy\ h:mm">
                  <c:v>36848.750000000568</c:v>
                </c:pt>
                <c:pt idx="965" formatCode="m/d/yyyy\ h:mm">
                  <c:v>36848.770833333903</c:v>
                </c:pt>
                <c:pt idx="966" formatCode="m/d/yyyy\ h:mm">
                  <c:v>36848.791666667239</c:v>
                </c:pt>
                <c:pt idx="967" formatCode="m/d/yyyy\ h:mm">
                  <c:v>36848.812500000575</c:v>
                </c:pt>
                <c:pt idx="968" formatCode="m/d/yyyy\ h:mm">
                  <c:v>36848.833333333911</c:v>
                </c:pt>
                <c:pt idx="969" formatCode="m/d/yyyy\ h:mm">
                  <c:v>36848.854166667246</c:v>
                </c:pt>
                <c:pt idx="970" formatCode="m/d/yyyy\ h:mm">
                  <c:v>36848.875000000582</c:v>
                </c:pt>
                <c:pt idx="971" formatCode="m/d/yyyy\ h:mm">
                  <c:v>36848.895833333918</c:v>
                </c:pt>
                <c:pt idx="972" formatCode="m/d/yyyy\ h:mm">
                  <c:v>36848.916666667254</c:v>
                </c:pt>
                <c:pt idx="973" formatCode="m/d/yyyy\ h:mm">
                  <c:v>36848.937500000589</c:v>
                </c:pt>
                <c:pt idx="974" formatCode="m/d/yyyy\ h:mm">
                  <c:v>36848.958333333925</c:v>
                </c:pt>
                <c:pt idx="975" formatCode="m/d/yyyy\ h:mm">
                  <c:v>36848.979166667261</c:v>
                </c:pt>
                <c:pt idx="976" formatCode="m/d/yyyy\ h:mm">
                  <c:v>36849.000000000597</c:v>
                </c:pt>
                <c:pt idx="977" formatCode="m/d/yyyy\ h:mm">
                  <c:v>36849.020833333932</c:v>
                </c:pt>
                <c:pt idx="978" formatCode="m/d/yyyy\ h:mm">
                  <c:v>36849.041666667268</c:v>
                </c:pt>
                <c:pt idx="979" formatCode="m/d/yyyy\ h:mm">
                  <c:v>36849.062500000604</c:v>
                </c:pt>
                <c:pt idx="980" formatCode="m/d/yyyy\ h:mm">
                  <c:v>36849.08333333394</c:v>
                </c:pt>
                <c:pt idx="981" formatCode="m/d/yyyy\ h:mm">
                  <c:v>36849.104166667275</c:v>
                </c:pt>
                <c:pt idx="982" formatCode="m/d/yyyy\ h:mm">
                  <c:v>36849.125000000611</c:v>
                </c:pt>
                <c:pt idx="983" formatCode="m/d/yyyy\ h:mm">
                  <c:v>36849.145833333947</c:v>
                </c:pt>
                <c:pt idx="984" formatCode="m/d/yyyy\ h:mm">
                  <c:v>36849.166666667283</c:v>
                </c:pt>
                <c:pt idx="985" formatCode="m/d/yyyy\ h:mm">
                  <c:v>36849.187500000618</c:v>
                </c:pt>
                <c:pt idx="986" formatCode="m/d/yyyy\ h:mm">
                  <c:v>36849.208333333954</c:v>
                </c:pt>
                <c:pt idx="987" formatCode="m/d/yyyy\ h:mm">
                  <c:v>36849.22916666729</c:v>
                </c:pt>
                <c:pt idx="988" formatCode="m/d/yyyy\ h:mm">
                  <c:v>36849.250000000626</c:v>
                </c:pt>
                <c:pt idx="989" formatCode="m/d/yyyy\ h:mm">
                  <c:v>36849.270833333961</c:v>
                </c:pt>
                <c:pt idx="990" formatCode="m/d/yyyy\ h:mm">
                  <c:v>36849.291666667297</c:v>
                </c:pt>
                <c:pt idx="991" formatCode="m/d/yyyy\ h:mm">
                  <c:v>36849.312500000633</c:v>
                </c:pt>
                <c:pt idx="992" formatCode="m/d/yyyy\ h:mm">
                  <c:v>36849.333333333969</c:v>
                </c:pt>
                <c:pt idx="993" formatCode="m/d/yyyy\ h:mm">
                  <c:v>36849.354166667305</c:v>
                </c:pt>
                <c:pt idx="994" formatCode="m/d/yyyy\ h:mm">
                  <c:v>36849.37500000064</c:v>
                </c:pt>
                <c:pt idx="995" formatCode="m/d/yyyy\ h:mm">
                  <c:v>36849.395833333976</c:v>
                </c:pt>
                <c:pt idx="996" formatCode="m/d/yyyy\ h:mm">
                  <c:v>36849.416666667312</c:v>
                </c:pt>
                <c:pt idx="997" formatCode="m/d/yyyy\ h:mm">
                  <c:v>36849.437500000648</c:v>
                </c:pt>
                <c:pt idx="998" formatCode="m/d/yyyy\ h:mm">
                  <c:v>36849.458333333983</c:v>
                </c:pt>
                <c:pt idx="999" formatCode="m/d/yyyy\ h:mm">
                  <c:v>36849.479166667319</c:v>
                </c:pt>
                <c:pt idx="1000" formatCode="m/d/yyyy\ h:mm">
                  <c:v>36849.500000000655</c:v>
                </c:pt>
                <c:pt idx="1001" formatCode="m/d/yyyy\ h:mm">
                  <c:v>36849.520833333991</c:v>
                </c:pt>
                <c:pt idx="1002" formatCode="m/d/yyyy\ h:mm">
                  <c:v>36849.541666667326</c:v>
                </c:pt>
                <c:pt idx="1003" formatCode="m/d/yyyy\ h:mm">
                  <c:v>36849.562500000662</c:v>
                </c:pt>
                <c:pt idx="1004" formatCode="m/d/yyyy\ h:mm">
                  <c:v>36849.583333333998</c:v>
                </c:pt>
                <c:pt idx="1005" formatCode="m/d/yyyy\ h:mm">
                  <c:v>36849.604166667334</c:v>
                </c:pt>
                <c:pt idx="1006" formatCode="m/d/yyyy\ h:mm">
                  <c:v>36849.625000000669</c:v>
                </c:pt>
                <c:pt idx="1007" formatCode="m/d/yyyy\ h:mm">
                  <c:v>36849.645833334005</c:v>
                </c:pt>
                <c:pt idx="1008" formatCode="m/d/yyyy\ h:mm">
                  <c:v>36849.666666667341</c:v>
                </c:pt>
                <c:pt idx="1009" formatCode="m/d/yyyy\ h:mm">
                  <c:v>36849.687500000677</c:v>
                </c:pt>
                <c:pt idx="1010" formatCode="m/d/yyyy\ h:mm">
                  <c:v>36849.708333334012</c:v>
                </c:pt>
                <c:pt idx="1011" formatCode="m/d/yyyy\ h:mm">
                  <c:v>36849.729166667348</c:v>
                </c:pt>
                <c:pt idx="1012" formatCode="m/d/yyyy\ h:mm">
                  <c:v>36849.750000000684</c:v>
                </c:pt>
                <c:pt idx="1013" formatCode="m/d/yyyy\ h:mm">
                  <c:v>36849.77083333402</c:v>
                </c:pt>
                <c:pt idx="1014" formatCode="m/d/yyyy\ h:mm">
                  <c:v>36849.791666667355</c:v>
                </c:pt>
                <c:pt idx="1015" formatCode="m/d/yyyy\ h:mm">
                  <c:v>36849.812500000691</c:v>
                </c:pt>
                <c:pt idx="1016" formatCode="m/d/yyyy\ h:mm">
                  <c:v>36849.833333334027</c:v>
                </c:pt>
                <c:pt idx="1017" formatCode="m/d/yyyy\ h:mm">
                  <c:v>36849.854166667363</c:v>
                </c:pt>
                <c:pt idx="1018" formatCode="m/d/yyyy\ h:mm">
                  <c:v>36849.875000000698</c:v>
                </c:pt>
                <c:pt idx="1019" formatCode="m/d/yyyy\ h:mm">
                  <c:v>36849.895833334034</c:v>
                </c:pt>
                <c:pt idx="1020" formatCode="m/d/yyyy\ h:mm">
                  <c:v>36849.91666666737</c:v>
                </c:pt>
                <c:pt idx="1021" formatCode="m/d/yyyy\ h:mm">
                  <c:v>36849.937500000706</c:v>
                </c:pt>
                <c:pt idx="1022" formatCode="m/d/yyyy\ h:mm">
                  <c:v>36849.958333334042</c:v>
                </c:pt>
                <c:pt idx="1023" formatCode="m/d/yyyy\ h:mm">
                  <c:v>36849.979166667377</c:v>
                </c:pt>
                <c:pt idx="1024" formatCode="m/d/yyyy\ h:mm">
                  <c:v>36850.000000000713</c:v>
                </c:pt>
                <c:pt idx="1025" formatCode="m/d/yyyy\ h:mm">
                  <c:v>36850.020833334049</c:v>
                </c:pt>
                <c:pt idx="1026" formatCode="m/d/yyyy\ h:mm">
                  <c:v>36850.041666667385</c:v>
                </c:pt>
                <c:pt idx="1027" formatCode="m/d/yyyy\ h:mm">
                  <c:v>36850.06250000072</c:v>
                </c:pt>
                <c:pt idx="1028" formatCode="m/d/yyyy\ h:mm">
                  <c:v>36850.083333334056</c:v>
                </c:pt>
                <c:pt idx="1029" formatCode="m/d/yyyy\ h:mm">
                  <c:v>36850.104166667392</c:v>
                </c:pt>
                <c:pt idx="1030" formatCode="m/d/yyyy\ h:mm">
                  <c:v>36850.125000000728</c:v>
                </c:pt>
                <c:pt idx="1031" formatCode="m/d/yyyy\ h:mm">
                  <c:v>36850.145833334063</c:v>
                </c:pt>
                <c:pt idx="1032" formatCode="m/d/yyyy\ h:mm">
                  <c:v>36850.166666667399</c:v>
                </c:pt>
                <c:pt idx="1033" formatCode="m/d/yyyy\ h:mm">
                  <c:v>36850.187500000735</c:v>
                </c:pt>
                <c:pt idx="1034" formatCode="m/d/yyyy\ h:mm">
                  <c:v>36850.208333334071</c:v>
                </c:pt>
                <c:pt idx="1035" formatCode="m/d/yyyy\ h:mm">
                  <c:v>36850.229166667406</c:v>
                </c:pt>
                <c:pt idx="1036" formatCode="m/d/yyyy\ h:mm">
                  <c:v>36850.250000000742</c:v>
                </c:pt>
                <c:pt idx="1037" formatCode="m/d/yyyy\ h:mm">
                  <c:v>36850.270833334078</c:v>
                </c:pt>
                <c:pt idx="1038" formatCode="m/d/yyyy\ h:mm">
                  <c:v>36850.291666667414</c:v>
                </c:pt>
                <c:pt idx="1039" formatCode="m/d/yyyy\ h:mm">
                  <c:v>36850.312500000749</c:v>
                </c:pt>
                <c:pt idx="1040" formatCode="m/d/yyyy\ h:mm">
                  <c:v>36850.333333334085</c:v>
                </c:pt>
                <c:pt idx="1041" formatCode="m/d/yyyy\ h:mm">
                  <c:v>36850.354166667421</c:v>
                </c:pt>
                <c:pt idx="1042" formatCode="m/d/yyyy\ h:mm">
                  <c:v>36850.375000000757</c:v>
                </c:pt>
                <c:pt idx="1043" formatCode="m/d/yyyy\ h:mm">
                  <c:v>36850.395833334092</c:v>
                </c:pt>
                <c:pt idx="1044" formatCode="m/d/yyyy\ h:mm">
                  <c:v>36850.416666667428</c:v>
                </c:pt>
                <c:pt idx="1045" formatCode="m/d/yyyy\ h:mm">
                  <c:v>36850.437500000764</c:v>
                </c:pt>
                <c:pt idx="1046" formatCode="m/d/yyyy\ h:mm">
                  <c:v>36850.4583333341</c:v>
                </c:pt>
                <c:pt idx="1047" formatCode="m/d/yyyy\ h:mm">
                  <c:v>36850.479166667435</c:v>
                </c:pt>
                <c:pt idx="1048" formatCode="m/d/yyyy\ h:mm">
                  <c:v>36850.500000000771</c:v>
                </c:pt>
                <c:pt idx="1049" formatCode="m/d/yyyy\ h:mm">
                  <c:v>36850.520833334107</c:v>
                </c:pt>
                <c:pt idx="1050" formatCode="m/d/yyyy\ h:mm">
                  <c:v>36850.541666667443</c:v>
                </c:pt>
                <c:pt idx="1051" formatCode="m/d/yyyy\ h:mm">
                  <c:v>36850.562500000779</c:v>
                </c:pt>
                <c:pt idx="1052" formatCode="m/d/yyyy\ h:mm">
                  <c:v>36850.583333334114</c:v>
                </c:pt>
                <c:pt idx="1053" formatCode="m/d/yyyy\ h:mm">
                  <c:v>36850.60416666745</c:v>
                </c:pt>
                <c:pt idx="1054" formatCode="m/d/yyyy\ h:mm">
                  <c:v>36850.625000000786</c:v>
                </c:pt>
                <c:pt idx="1055" formatCode="m/d/yyyy\ h:mm">
                  <c:v>36850.645833334122</c:v>
                </c:pt>
                <c:pt idx="1056" formatCode="m/d/yyyy\ h:mm">
                  <c:v>36850.666666667457</c:v>
                </c:pt>
                <c:pt idx="1057" formatCode="m/d/yyyy\ h:mm">
                  <c:v>36850.687500000793</c:v>
                </c:pt>
                <c:pt idx="1058" formatCode="m/d/yyyy\ h:mm">
                  <c:v>36850.708333334129</c:v>
                </c:pt>
                <c:pt idx="1059" formatCode="m/d/yyyy\ h:mm">
                  <c:v>36850.729166667465</c:v>
                </c:pt>
                <c:pt idx="1060" formatCode="m/d/yyyy\ h:mm">
                  <c:v>36850.7500000008</c:v>
                </c:pt>
                <c:pt idx="1061" formatCode="m/d/yyyy\ h:mm">
                  <c:v>36850.770833334136</c:v>
                </c:pt>
                <c:pt idx="1062" formatCode="m/d/yyyy\ h:mm">
                  <c:v>36850.791666667472</c:v>
                </c:pt>
                <c:pt idx="1063" formatCode="m/d/yyyy\ h:mm">
                  <c:v>36850.812500000808</c:v>
                </c:pt>
                <c:pt idx="1064" formatCode="m/d/yyyy\ h:mm">
                  <c:v>36850.833333334143</c:v>
                </c:pt>
                <c:pt idx="1065" formatCode="m/d/yyyy\ h:mm">
                  <c:v>36850.854166667479</c:v>
                </c:pt>
                <c:pt idx="1066" formatCode="m/d/yyyy\ h:mm">
                  <c:v>36850.875000000815</c:v>
                </c:pt>
                <c:pt idx="1067" formatCode="m/d/yyyy\ h:mm">
                  <c:v>36850.895833334151</c:v>
                </c:pt>
                <c:pt idx="1068" formatCode="m/d/yyyy\ h:mm">
                  <c:v>36850.916666667486</c:v>
                </c:pt>
                <c:pt idx="1069" formatCode="m/d/yyyy\ h:mm">
                  <c:v>36850.937500000822</c:v>
                </c:pt>
                <c:pt idx="1070" formatCode="m/d/yyyy\ h:mm">
                  <c:v>36850.958333334158</c:v>
                </c:pt>
                <c:pt idx="1071" formatCode="m/d/yyyy\ h:mm">
                  <c:v>36850.979166667494</c:v>
                </c:pt>
                <c:pt idx="1072" formatCode="m/d/yyyy\ h:mm">
                  <c:v>36851.000000000829</c:v>
                </c:pt>
                <c:pt idx="1073" formatCode="m/d/yyyy\ h:mm">
                  <c:v>36851.020833334165</c:v>
                </c:pt>
                <c:pt idx="1074" formatCode="m/d/yyyy\ h:mm">
                  <c:v>36851.041666667501</c:v>
                </c:pt>
                <c:pt idx="1075" formatCode="m/d/yyyy\ h:mm">
                  <c:v>36851.062500000837</c:v>
                </c:pt>
                <c:pt idx="1076" formatCode="m/d/yyyy\ h:mm">
                  <c:v>36851.083333334172</c:v>
                </c:pt>
                <c:pt idx="1077" formatCode="m/d/yyyy\ h:mm">
                  <c:v>36851.104166667508</c:v>
                </c:pt>
                <c:pt idx="1078" formatCode="m/d/yyyy\ h:mm">
                  <c:v>36851.125000000844</c:v>
                </c:pt>
                <c:pt idx="1079" formatCode="m/d/yyyy\ h:mm">
                  <c:v>36851.14583333418</c:v>
                </c:pt>
                <c:pt idx="1080" formatCode="m/d/yyyy\ h:mm">
                  <c:v>36851.166666667516</c:v>
                </c:pt>
                <c:pt idx="1081" formatCode="m/d/yyyy\ h:mm">
                  <c:v>36851.187500000851</c:v>
                </c:pt>
                <c:pt idx="1082" formatCode="m/d/yyyy\ h:mm">
                  <c:v>36851.208333334187</c:v>
                </c:pt>
                <c:pt idx="1083" formatCode="m/d/yyyy\ h:mm">
                  <c:v>36851.229166667523</c:v>
                </c:pt>
                <c:pt idx="1084" formatCode="m/d/yyyy\ h:mm">
                  <c:v>36851.250000000859</c:v>
                </c:pt>
                <c:pt idx="1085" formatCode="m/d/yyyy\ h:mm">
                  <c:v>36851.270833334194</c:v>
                </c:pt>
                <c:pt idx="1086" formatCode="m/d/yyyy\ h:mm">
                  <c:v>36851.29166666753</c:v>
                </c:pt>
                <c:pt idx="1087" formatCode="m/d/yyyy\ h:mm">
                  <c:v>36851.312500000866</c:v>
                </c:pt>
                <c:pt idx="1088" formatCode="m/d/yyyy\ h:mm">
                  <c:v>36851.333333334202</c:v>
                </c:pt>
                <c:pt idx="1089" formatCode="m/d/yyyy\ h:mm">
                  <c:v>36851.354166667537</c:v>
                </c:pt>
                <c:pt idx="1090" formatCode="m/d/yyyy\ h:mm">
                  <c:v>36851.375000000873</c:v>
                </c:pt>
                <c:pt idx="1091" formatCode="m/d/yyyy\ h:mm">
                  <c:v>36851.395833334209</c:v>
                </c:pt>
                <c:pt idx="1092" formatCode="m/d/yyyy\ h:mm">
                  <c:v>36851.416666667545</c:v>
                </c:pt>
                <c:pt idx="1093" formatCode="m/d/yyyy\ h:mm">
                  <c:v>36851.43750000088</c:v>
                </c:pt>
                <c:pt idx="1094" formatCode="m/d/yyyy\ h:mm">
                  <c:v>36851.458333334216</c:v>
                </c:pt>
                <c:pt idx="1095" formatCode="m/d/yyyy\ h:mm">
                  <c:v>36851.479166667552</c:v>
                </c:pt>
                <c:pt idx="1096" formatCode="m/d/yyyy\ h:mm">
                  <c:v>36851.500000000888</c:v>
                </c:pt>
                <c:pt idx="1097" formatCode="m/d/yyyy\ h:mm">
                  <c:v>36851.520833334223</c:v>
                </c:pt>
                <c:pt idx="1098" formatCode="m/d/yyyy\ h:mm">
                  <c:v>36851.541666667559</c:v>
                </c:pt>
                <c:pt idx="1099" formatCode="m/d/yyyy\ h:mm">
                  <c:v>36851.562500000895</c:v>
                </c:pt>
                <c:pt idx="1100" formatCode="m/d/yyyy\ h:mm">
                  <c:v>36851.583333334231</c:v>
                </c:pt>
                <c:pt idx="1101" formatCode="m/d/yyyy\ h:mm">
                  <c:v>36851.604166667566</c:v>
                </c:pt>
                <c:pt idx="1102" formatCode="m/d/yyyy\ h:mm">
                  <c:v>36851.625000000902</c:v>
                </c:pt>
                <c:pt idx="1103" formatCode="m/d/yyyy\ h:mm">
                  <c:v>36851.645833334238</c:v>
                </c:pt>
                <c:pt idx="1104" formatCode="m/d/yyyy\ h:mm">
                  <c:v>36851.666666667574</c:v>
                </c:pt>
                <c:pt idx="1105" formatCode="m/d/yyyy\ h:mm">
                  <c:v>36851.687500000909</c:v>
                </c:pt>
                <c:pt idx="1106" formatCode="m/d/yyyy\ h:mm">
                  <c:v>36851.708333334245</c:v>
                </c:pt>
                <c:pt idx="1107" formatCode="m/d/yyyy\ h:mm">
                  <c:v>36851.729166667581</c:v>
                </c:pt>
                <c:pt idx="1108" formatCode="m/d/yyyy\ h:mm">
                  <c:v>36851.750000000917</c:v>
                </c:pt>
                <c:pt idx="1109" formatCode="m/d/yyyy\ h:mm">
                  <c:v>36851.770833334253</c:v>
                </c:pt>
                <c:pt idx="1110" formatCode="m/d/yyyy\ h:mm">
                  <c:v>36851.791666667588</c:v>
                </c:pt>
                <c:pt idx="1111" formatCode="m/d/yyyy\ h:mm">
                  <c:v>36851.812500000924</c:v>
                </c:pt>
                <c:pt idx="1112" formatCode="m/d/yyyy\ h:mm">
                  <c:v>36851.83333333426</c:v>
                </c:pt>
                <c:pt idx="1113" formatCode="m/d/yyyy\ h:mm">
                  <c:v>36851.854166667596</c:v>
                </c:pt>
                <c:pt idx="1114" formatCode="m/d/yyyy\ h:mm">
                  <c:v>36851.875000000931</c:v>
                </c:pt>
                <c:pt idx="1115" formatCode="m/d/yyyy\ h:mm">
                  <c:v>36851.895833334267</c:v>
                </c:pt>
                <c:pt idx="1116" formatCode="m/d/yyyy\ h:mm">
                  <c:v>36851.916666667603</c:v>
                </c:pt>
                <c:pt idx="1117" formatCode="m/d/yyyy\ h:mm">
                  <c:v>36851.937500000939</c:v>
                </c:pt>
                <c:pt idx="1118" formatCode="m/d/yyyy\ h:mm">
                  <c:v>36851.958333334274</c:v>
                </c:pt>
                <c:pt idx="1119" formatCode="m/d/yyyy\ h:mm">
                  <c:v>36851.97916666761</c:v>
                </c:pt>
                <c:pt idx="1120" formatCode="m/d/yyyy\ h:mm">
                  <c:v>36852.000000000946</c:v>
                </c:pt>
                <c:pt idx="1121" formatCode="m/d/yyyy\ h:mm">
                  <c:v>36852.020833334282</c:v>
                </c:pt>
                <c:pt idx="1122" formatCode="m/d/yyyy\ h:mm">
                  <c:v>36852.041666667617</c:v>
                </c:pt>
                <c:pt idx="1123" formatCode="m/d/yyyy\ h:mm">
                  <c:v>36852.062500000953</c:v>
                </c:pt>
                <c:pt idx="1124" formatCode="m/d/yyyy\ h:mm">
                  <c:v>36852.083333334289</c:v>
                </c:pt>
                <c:pt idx="1125" formatCode="m/d/yyyy\ h:mm">
                  <c:v>36852.104166667625</c:v>
                </c:pt>
                <c:pt idx="1126" formatCode="m/d/yyyy\ h:mm">
                  <c:v>36852.12500000096</c:v>
                </c:pt>
                <c:pt idx="1127" formatCode="m/d/yyyy\ h:mm">
                  <c:v>36852.145833334296</c:v>
                </c:pt>
                <c:pt idx="1128" formatCode="m/d/yyyy\ h:mm">
                  <c:v>36852.166666667632</c:v>
                </c:pt>
                <c:pt idx="1129" formatCode="m/d/yyyy\ h:mm">
                  <c:v>36852.187500000968</c:v>
                </c:pt>
                <c:pt idx="1130" formatCode="m/d/yyyy\ h:mm">
                  <c:v>36852.208333334303</c:v>
                </c:pt>
                <c:pt idx="1131" formatCode="m/d/yyyy\ h:mm">
                  <c:v>36852.229166667639</c:v>
                </c:pt>
                <c:pt idx="1132" formatCode="m/d/yyyy\ h:mm">
                  <c:v>36852.250000000975</c:v>
                </c:pt>
                <c:pt idx="1133" formatCode="m/d/yyyy\ h:mm">
                  <c:v>36852.270833334311</c:v>
                </c:pt>
                <c:pt idx="1134" formatCode="m/d/yyyy\ h:mm">
                  <c:v>36852.291666667646</c:v>
                </c:pt>
                <c:pt idx="1135" formatCode="m/d/yyyy\ h:mm">
                  <c:v>36852.312500000982</c:v>
                </c:pt>
                <c:pt idx="1136" formatCode="m/d/yyyy\ h:mm">
                  <c:v>36852.333333334318</c:v>
                </c:pt>
                <c:pt idx="1137" formatCode="m/d/yyyy\ h:mm">
                  <c:v>36852.354166667654</c:v>
                </c:pt>
                <c:pt idx="1138" formatCode="m/d/yyyy\ h:mm">
                  <c:v>36852.37500000099</c:v>
                </c:pt>
                <c:pt idx="1139" formatCode="m/d/yyyy\ h:mm">
                  <c:v>36852.395833334325</c:v>
                </c:pt>
                <c:pt idx="1140" formatCode="m/d/yyyy\ h:mm">
                  <c:v>36852.416666667661</c:v>
                </c:pt>
                <c:pt idx="1141" formatCode="m/d/yyyy\ h:mm">
                  <c:v>36852.437500000997</c:v>
                </c:pt>
                <c:pt idx="1142" formatCode="m/d/yyyy\ h:mm">
                  <c:v>36852.458333334333</c:v>
                </c:pt>
                <c:pt idx="1143" formatCode="m/d/yyyy\ h:mm">
                  <c:v>36852.479166667668</c:v>
                </c:pt>
                <c:pt idx="1144" formatCode="m/d/yyyy\ h:mm">
                  <c:v>36852.500000001004</c:v>
                </c:pt>
                <c:pt idx="1145" formatCode="m/d/yyyy\ h:mm">
                  <c:v>36852.52083333434</c:v>
                </c:pt>
                <c:pt idx="1146" formatCode="m/d/yyyy\ h:mm">
                  <c:v>36852.541666667676</c:v>
                </c:pt>
                <c:pt idx="1147" formatCode="m/d/yyyy\ h:mm">
                  <c:v>36852.562500001011</c:v>
                </c:pt>
                <c:pt idx="1148" formatCode="m/d/yyyy\ h:mm">
                  <c:v>36852.583333334347</c:v>
                </c:pt>
                <c:pt idx="1149" formatCode="m/d/yyyy\ h:mm">
                  <c:v>36852.604166667683</c:v>
                </c:pt>
                <c:pt idx="1150" formatCode="m/d/yyyy\ h:mm">
                  <c:v>36852.625000001019</c:v>
                </c:pt>
                <c:pt idx="1151" formatCode="m/d/yyyy\ h:mm">
                  <c:v>36852.645833334354</c:v>
                </c:pt>
                <c:pt idx="1152" formatCode="m/d/yyyy\ h:mm">
                  <c:v>36852.66666666769</c:v>
                </c:pt>
                <c:pt idx="1153" formatCode="m/d/yyyy\ h:mm">
                  <c:v>36852.687500001026</c:v>
                </c:pt>
                <c:pt idx="1154" formatCode="m/d/yyyy\ h:mm">
                  <c:v>36852.708333334362</c:v>
                </c:pt>
                <c:pt idx="1155" formatCode="m/d/yyyy\ h:mm">
                  <c:v>36852.729166667697</c:v>
                </c:pt>
                <c:pt idx="1156" formatCode="m/d/yyyy\ h:mm">
                  <c:v>36852.750000001033</c:v>
                </c:pt>
                <c:pt idx="1157" formatCode="m/d/yyyy\ h:mm">
                  <c:v>36852.770833334369</c:v>
                </c:pt>
                <c:pt idx="1158" formatCode="m/d/yyyy\ h:mm">
                  <c:v>36852.791666667705</c:v>
                </c:pt>
                <c:pt idx="1159" formatCode="m/d/yyyy\ h:mm">
                  <c:v>36852.81250000104</c:v>
                </c:pt>
                <c:pt idx="1160" formatCode="m/d/yyyy\ h:mm">
                  <c:v>36852.833333334376</c:v>
                </c:pt>
                <c:pt idx="1161" formatCode="m/d/yyyy\ h:mm">
                  <c:v>36852.854166667712</c:v>
                </c:pt>
                <c:pt idx="1162" formatCode="m/d/yyyy\ h:mm">
                  <c:v>36852.875000001048</c:v>
                </c:pt>
                <c:pt idx="1163" formatCode="m/d/yyyy\ h:mm">
                  <c:v>36852.895833334383</c:v>
                </c:pt>
                <c:pt idx="1164" formatCode="m/d/yyyy\ h:mm">
                  <c:v>36852.916666667719</c:v>
                </c:pt>
                <c:pt idx="1165" formatCode="m/d/yyyy\ h:mm">
                  <c:v>36852.937500001055</c:v>
                </c:pt>
                <c:pt idx="1166" formatCode="m/d/yyyy\ h:mm">
                  <c:v>36852.958333334391</c:v>
                </c:pt>
                <c:pt idx="1167" formatCode="m/d/yyyy\ h:mm">
                  <c:v>36852.979166667727</c:v>
                </c:pt>
                <c:pt idx="1168" formatCode="m/d/yyyy\ h:mm">
                  <c:v>36853.000000001062</c:v>
                </c:pt>
                <c:pt idx="1169" formatCode="m/d/yyyy\ h:mm">
                  <c:v>36853.020833334398</c:v>
                </c:pt>
                <c:pt idx="1170" formatCode="m/d/yyyy\ h:mm">
                  <c:v>36853.041666667734</c:v>
                </c:pt>
                <c:pt idx="1171" formatCode="m/d/yyyy\ h:mm">
                  <c:v>36853.06250000107</c:v>
                </c:pt>
                <c:pt idx="1172" formatCode="m/d/yyyy\ h:mm">
                  <c:v>36853.083333334405</c:v>
                </c:pt>
                <c:pt idx="1173" formatCode="m/d/yyyy\ h:mm">
                  <c:v>36853.104166667741</c:v>
                </c:pt>
                <c:pt idx="1174" formatCode="m/d/yyyy\ h:mm">
                  <c:v>36853.125000001077</c:v>
                </c:pt>
                <c:pt idx="1175" formatCode="m/d/yyyy\ h:mm">
                  <c:v>36853.145833334413</c:v>
                </c:pt>
                <c:pt idx="1176" formatCode="m/d/yyyy\ h:mm">
                  <c:v>36853.166666667748</c:v>
                </c:pt>
                <c:pt idx="1177" formatCode="m/d/yyyy\ h:mm">
                  <c:v>36853.187500001084</c:v>
                </c:pt>
                <c:pt idx="1178" formatCode="m/d/yyyy\ h:mm">
                  <c:v>36853.20833333442</c:v>
                </c:pt>
                <c:pt idx="1179" formatCode="m/d/yyyy\ h:mm">
                  <c:v>36853.229166667756</c:v>
                </c:pt>
                <c:pt idx="1180" formatCode="m/d/yyyy\ h:mm">
                  <c:v>36853.250000001091</c:v>
                </c:pt>
                <c:pt idx="1181" formatCode="m/d/yyyy\ h:mm">
                  <c:v>36853.270833334427</c:v>
                </c:pt>
                <c:pt idx="1182" formatCode="m/d/yyyy\ h:mm">
                  <c:v>36853.291666667763</c:v>
                </c:pt>
                <c:pt idx="1183" formatCode="m/d/yyyy\ h:mm">
                  <c:v>36853.312500001099</c:v>
                </c:pt>
                <c:pt idx="1184" formatCode="m/d/yyyy\ h:mm">
                  <c:v>36853.333333334434</c:v>
                </c:pt>
                <c:pt idx="1185" formatCode="m/d/yyyy\ h:mm">
                  <c:v>36853.35416666777</c:v>
                </c:pt>
                <c:pt idx="1186" formatCode="m/d/yyyy\ h:mm">
                  <c:v>36853.375000001106</c:v>
                </c:pt>
                <c:pt idx="1187" formatCode="m/d/yyyy\ h:mm">
                  <c:v>36853.395833334442</c:v>
                </c:pt>
                <c:pt idx="1188" formatCode="m/d/yyyy\ h:mm">
                  <c:v>36853.416666667777</c:v>
                </c:pt>
                <c:pt idx="1189" formatCode="m/d/yyyy\ h:mm">
                  <c:v>36853.437500001113</c:v>
                </c:pt>
                <c:pt idx="1190" formatCode="m/d/yyyy\ h:mm">
                  <c:v>36853.458333334449</c:v>
                </c:pt>
                <c:pt idx="1191" formatCode="m/d/yyyy\ h:mm">
                  <c:v>36853.479166667785</c:v>
                </c:pt>
                <c:pt idx="1192" formatCode="m/d/yyyy\ h:mm">
                  <c:v>36853.50000000112</c:v>
                </c:pt>
                <c:pt idx="1193" formatCode="m/d/yyyy\ h:mm">
                  <c:v>36853.520833334456</c:v>
                </c:pt>
                <c:pt idx="1194" formatCode="m/d/yyyy\ h:mm">
                  <c:v>36853.541666667792</c:v>
                </c:pt>
                <c:pt idx="1195" formatCode="m/d/yyyy\ h:mm">
                  <c:v>36853.562500001128</c:v>
                </c:pt>
                <c:pt idx="1196" formatCode="m/d/yyyy\ h:mm">
                  <c:v>36853.583333334464</c:v>
                </c:pt>
                <c:pt idx="1197" formatCode="m/d/yyyy\ h:mm">
                  <c:v>36853.604166667799</c:v>
                </c:pt>
                <c:pt idx="1198" formatCode="m/d/yyyy\ h:mm">
                  <c:v>36853.625000001135</c:v>
                </c:pt>
                <c:pt idx="1199" formatCode="m/d/yyyy\ h:mm">
                  <c:v>36853.645833334471</c:v>
                </c:pt>
                <c:pt idx="1200" formatCode="m/d/yyyy\ h:mm">
                  <c:v>36853.666666667807</c:v>
                </c:pt>
                <c:pt idx="1201" formatCode="m/d/yyyy\ h:mm">
                  <c:v>36853.687500001142</c:v>
                </c:pt>
                <c:pt idx="1202" formatCode="m/d/yyyy\ h:mm">
                  <c:v>36853.708333334478</c:v>
                </c:pt>
                <c:pt idx="1203" formatCode="m/d/yyyy\ h:mm">
                  <c:v>36853.729166667814</c:v>
                </c:pt>
                <c:pt idx="1204" formatCode="m/d/yyyy\ h:mm">
                  <c:v>36853.75000000115</c:v>
                </c:pt>
                <c:pt idx="1205" formatCode="m/d/yyyy\ h:mm">
                  <c:v>36853.770833334485</c:v>
                </c:pt>
                <c:pt idx="1206" formatCode="m/d/yyyy\ h:mm">
                  <c:v>36853.791666667821</c:v>
                </c:pt>
                <c:pt idx="1207" formatCode="m/d/yyyy\ h:mm">
                  <c:v>36853.812500001157</c:v>
                </c:pt>
                <c:pt idx="1208" formatCode="m/d/yyyy\ h:mm">
                  <c:v>36853.833333334493</c:v>
                </c:pt>
                <c:pt idx="1209" formatCode="m/d/yyyy\ h:mm">
                  <c:v>36853.854166667828</c:v>
                </c:pt>
                <c:pt idx="1210" formatCode="m/d/yyyy\ h:mm">
                  <c:v>36853.875000001164</c:v>
                </c:pt>
                <c:pt idx="1211" formatCode="m/d/yyyy\ h:mm">
                  <c:v>36853.8958333345</c:v>
                </c:pt>
                <c:pt idx="1212" formatCode="m/d/yyyy\ h:mm">
                  <c:v>36853.916666667836</c:v>
                </c:pt>
                <c:pt idx="1213" formatCode="m/d/yyyy\ h:mm">
                  <c:v>36853.937500001171</c:v>
                </c:pt>
                <c:pt idx="1214" formatCode="m/d/yyyy\ h:mm">
                  <c:v>36853.958333334507</c:v>
                </c:pt>
                <c:pt idx="1215" formatCode="m/d/yyyy\ h:mm">
                  <c:v>36853.979166667843</c:v>
                </c:pt>
                <c:pt idx="1216" formatCode="m/d/yyyy\ h:mm">
                  <c:v>36854.000000001179</c:v>
                </c:pt>
                <c:pt idx="1217" formatCode="m/d/yyyy\ h:mm">
                  <c:v>36854.020833334514</c:v>
                </c:pt>
                <c:pt idx="1218" formatCode="m/d/yyyy\ h:mm">
                  <c:v>36854.04166666785</c:v>
                </c:pt>
                <c:pt idx="1219" formatCode="m/d/yyyy\ h:mm">
                  <c:v>36854.062500001186</c:v>
                </c:pt>
                <c:pt idx="1220" formatCode="m/d/yyyy\ h:mm">
                  <c:v>36854.083333334522</c:v>
                </c:pt>
                <c:pt idx="1221" formatCode="m/d/yyyy\ h:mm">
                  <c:v>36854.104166667857</c:v>
                </c:pt>
                <c:pt idx="1222" formatCode="m/d/yyyy\ h:mm">
                  <c:v>36854.125000001193</c:v>
                </c:pt>
                <c:pt idx="1223" formatCode="m/d/yyyy\ h:mm">
                  <c:v>36854.145833334529</c:v>
                </c:pt>
                <c:pt idx="1224" formatCode="m/d/yyyy\ h:mm">
                  <c:v>36854.166666667865</c:v>
                </c:pt>
                <c:pt idx="1225" formatCode="m/d/yyyy\ h:mm">
                  <c:v>36854.187500001201</c:v>
                </c:pt>
                <c:pt idx="1226" formatCode="m/d/yyyy\ h:mm">
                  <c:v>36854.208333334536</c:v>
                </c:pt>
                <c:pt idx="1227" formatCode="m/d/yyyy\ h:mm">
                  <c:v>36854.229166667872</c:v>
                </c:pt>
                <c:pt idx="1228" formatCode="m/d/yyyy\ h:mm">
                  <c:v>36854.250000001208</c:v>
                </c:pt>
                <c:pt idx="1229" formatCode="m/d/yyyy\ h:mm">
                  <c:v>36854.270833334544</c:v>
                </c:pt>
                <c:pt idx="1230" formatCode="m/d/yyyy\ h:mm">
                  <c:v>36854.291666667879</c:v>
                </c:pt>
                <c:pt idx="1231" formatCode="m/d/yyyy\ h:mm">
                  <c:v>36854.312500001215</c:v>
                </c:pt>
                <c:pt idx="1232" formatCode="m/d/yyyy\ h:mm">
                  <c:v>36854.333333334551</c:v>
                </c:pt>
                <c:pt idx="1233" formatCode="m/d/yyyy\ h:mm">
                  <c:v>36854.354166667887</c:v>
                </c:pt>
                <c:pt idx="1234" formatCode="m/d/yyyy\ h:mm">
                  <c:v>36854.375000001222</c:v>
                </c:pt>
                <c:pt idx="1235" formatCode="m/d/yyyy\ h:mm">
                  <c:v>36854.395833334558</c:v>
                </c:pt>
                <c:pt idx="1236" formatCode="m/d/yyyy\ h:mm">
                  <c:v>36854.416666667894</c:v>
                </c:pt>
                <c:pt idx="1237" formatCode="m/d/yyyy\ h:mm">
                  <c:v>36854.43750000123</c:v>
                </c:pt>
                <c:pt idx="1238" formatCode="m/d/yyyy\ h:mm">
                  <c:v>36854.458333334565</c:v>
                </c:pt>
                <c:pt idx="1239" formatCode="m/d/yyyy\ h:mm">
                  <c:v>36854.479166667901</c:v>
                </c:pt>
                <c:pt idx="1240" formatCode="m/d/yyyy\ h:mm">
                  <c:v>36854.500000001237</c:v>
                </c:pt>
                <c:pt idx="1241" formatCode="m/d/yyyy\ h:mm">
                  <c:v>36854.520833334573</c:v>
                </c:pt>
                <c:pt idx="1242" formatCode="m/d/yyyy\ h:mm">
                  <c:v>36854.541666667908</c:v>
                </c:pt>
                <c:pt idx="1243" formatCode="m/d/yyyy\ h:mm">
                  <c:v>36854.562500001244</c:v>
                </c:pt>
                <c:pt idx="1244" formatCode="m/d/yyyy\ h:mm">
                  <c:v>36854.58333333458</c:v>
                </c:pt>
                <c:pt idx="1245" formatCode="m/d/yyyy\ h:mm">
                  <c:v>36854.604166667916</c:v>
                </c:pt>
                <c:pt idx="1246" formatCode="m/d/yyyy\ h:mm">
                  <c:v>36854.625000001251</c:v>
                </c:pt>
                <c:pt idx="1247" formatCode="m/d/yyyy\ h:mm">
                  <c:v>36854.645833334587</c:v>
                </c:pt>
                <c:pt idx="1248" formatCode="m/d/yyyy\ h:mm">
                  <c:v>36854.666666667923</c:v>
                </c:pt>
                <c:pt idx="1249" formatCode="m/d/yyyy\ h:mm">
                  <c:v>36854.687500001259</c:v>
                </c:pt>
                <c:pt idx="1250" formatCode="m/d/yyyy\ h:mm">
                  <c:v>36854.708333334594</c:v>
                </c:pt>
                <c:pt idx="1251" formatCode="m/d/yyyy\ h:mm">
                  <c:v>36854.72916666793</c:v>
                </c:pt>
                <c:pt idx="1252" formatCode="m/d/yyyy\ h:mm">
                  <c:v>36854.750000001266</c:v>
                </c:pt>
                <c:pt idx="1253" formatCode="m/d/yyyy\ h:mm">
                  <c:v>36854.770833334602</c:v>
                </c:pt>
                <c:pt idx="1254" formatCode="m/d/yyyy\ h:mm">
                  <c:v>36854.791666667938</c:v>
                </c:pt>
                <c:pt idx="1255" formatCode="m/d/yyyy\ h:mm">
                  <c:v>36854.812500001273</c:v>
                </c:pt>
                <c:pt idx="1256" formatCode="m/d/yyyy\ h:mm">
                  <c:v>36854.833333334609</c:v>
                </c:pt>
                <c:pt idx="1257" formatCode="m/d/yyyy\ h:mm">
                  <c:v>36854.854166667945</c:v>
                </c:pt>
                <c:pt idx="1258" formatCode="m/d/yyyy\ h:mm">
                  <c:v>36854.875000001281</c:v>
                </c:pt>
                <c:pt idx="1259" formatCode="m/d/yyyy\ h:mm">
                  <c:v>36854.895833334616</c:v>
                </c:pt>
                <c:pt idx="1260" formatCode="m/d/yyyy\ h:mm">
                  <c:v>36854.916666667952</c:v>
                </c:pt>
                <c:pt idx="1261" formatCode="m/d/yyyy\ h:mm">
                  <c:v>36854.937500001288</c:v>
                </c:pt>
                <c:pt idx="1262" formatCode="m/d/yyyy\ h:mm">
                  <c:v>36854.958333334624</c:v>
                </c:pt>
                <c:pt idx="1263" formatCode="m/d/yyyy\ h:mm">
                  <c:v>36854.979166667959</c:v>
                </c:pt>
                <c:pt idx="1264" formatCode="m/d/yyyy\ h:mm">
                  <c:v>36855.000000001295</c:v>
                </c:pt>
                <c:pt idx="1265" formatCode="m/d/yyyy\ h:mm">
                  <c:v>36855.020833334631</c:v>
                </c:pt>
                <c:pt idx="1266" formatCode="m/d/yyyy\ h:mm">
                  <c:v>36855.041666667967</c:v>
                </c:pt>
                <c:pt idx="1267" formatCode="m/d/yyyy\ h:mm">
                  <c:v>36855.062500001302</c:v>
                </c:pt>
                <c:pt idx="1268" formatCode="m/d/yyyy\ h:mm">
                  <c:v>36855.083333334638</c:v>
                </c:pt>
                <c:pt idx="1269" formatCode="m/d/yyyy\ h:mm">
                  <c:v>36855.104166667974</c:v>
                </c:pt>
                <c:pt idx="1270" formatCode="m/d/yyyy\ h:mm">
                  <c:v>36855.12500000131</c:v>
                </c:pt>
                <c:pt idx="1271" formatCode="m/d/yyyy\ h:mm">
                  <c:v>36855.145833334645</c:v>
                </c:pt>
                <c:pt idx="1272" formatCode="m/d/yyyy\ h:mm">
                  <c:v>36855.166666667981</c:v>
                </c:pt>
                <c:pt idx="1273" formatCode="m/d/yyyy\ h:mm">
                  <c:v>36855.187500001317</c:v>
                </c:pt>
                <c:pt idx="1274" formatCode="m/d/yyyy\ h:mm">
                  <c:v>36855.208333334653</c:v>
                </c:pt>
                <c:pt idx="1275" formatCode="m/d/yyyy\ h:mm">
                  <c:v>36855.229166667988</c:v>
                </c:pt>
                <c:pt idx="1276" formatCode="m/d/yyyy\ h:mm">
                  <c:v>36855.250000001324</c:v>
                </c:pt>
                <c:pt idx="1277" formatCode="m/d/yyyy\ h:mm">
                  <c:v>36855.27083333466</c:v>
                </c:pt>
                <c:pt idx="1278" formatCode="m/d/yyyy\ h:mm">
                  <c:v>36855.291666667996</c:v>
                </c:pt>
                <c:pt idx="1279" formatCode="m/d/yyyy\ h:mm">
                  <c:v>36855.312500001332</c:v>
                </c:pt>
                <c:pt idx="1280" formatCode="m/d/yyyy\ h:mm">
                  <c:v>36855.333333334667</c:v>
                </c:pt>
                <c:pt idx="1281" formatCode="m/d/yyyy\ h:mm">
                  <c:v>36855.354166668003</c:v>
                </c:pt>
                <c:pt idx="1282" formatCode="m/d/yyyy\ h:mm">
                  <c:v>36855.375000001339</c:v>
                </c:pt>
                <c:pt idx="1283" formatCode="m/d/yyyy\ h:mm">
                  <c:v>36855.395833334675</c:v>
                </c:pt>
                <c:pt idx="1284" formatCode="m/d/yyyy\ h:mm">
                  <c:v>36855.41666666801</c:v>
                </c:pt>
                <c:pt idx="1285" formatCode="m/d/yyyy\ h:mm">
                  <c:v>36855.437500001346</c:v>
                </c:pt>
                <c:pt idx="1286" formatCode="m/d/yyyy\ h:mm">
                  <c:v>36855.458333334682</c:v>
                </c:pt>
                <c:pt idx="1287" formatCode="m/d/yyyy\ h:mm">
                  <c:v>36855.479166668018</c:v>
                </c:pt>
                <c:pt idx="1288" formatCode="m/d/yyyy\ h:mm">
                  <c:v>36855.500000001353</c:v>
                </c:pt>
                <c:pt idx="1289" formatCode="m/d/yyyy\ h:mm">
                  <c:v>36855.520833334689</c:v>
                </c:pt>
                <c:pt idx="1290" formatCode="m/d/yyyy\ h:mm">
                  <c:v>36855.541666668025</c:v>
                </c:pt>
                <c:pt idx="1291" formatCode="m/d/yyyy\ h:mm">
                  <c:v>36855.562500001361</c:v>
                </c:pt>
              </c:numCache>
            </c:numRef>
          </c:xVal>
          <c:yVal>
            <c:numRef>
              <c:f>AADATA!$I:$I</c:f>
              <c:numCache>
                <c:formatCode>General</c:formatCode>
                <c:ptCount val="65536"/>
                <c:pt idx="0">
                  <c:v>0</c:v>
                </c:pt>
                <c:pt idx="3">
                  <c:v>2.0411999999999999</c:v>
                </c:pt>
                <c:pt idx="4">
                  <c:v>4.6522000000000006</c:v>
                </c:pt>
                <c:pt idx="5">
                  <c:v>3.9807999999999999</c:v>
                </c:pt>
                <c:pt idx="6">
                  <c:v>3.9807999999999999</c:v>
                </c:pt>
                <c:pt idx="7">
                  <c:v>2.6379999999999999</c:v>
                </c:pt>
                <c:pt idx="8">
                  <c:v>3.4586000000000001</c:v>
                </c:pt>
                <c:pt idx="9">
                  <c:v>4.5776000000000003</c:v>
                </c:pt>
                <c:pt idx="10">
                  <c:v>8.0838000000000001</c:v>
                </c:pt>
                <c:pt idx="11">
                  <c:v>17.184999999999999</c:v>
                </c:pt>
                <c:pt idx="12">
                  <c:v>13.678800000000001</c:v>
                </c:pt>
                <c:pt idx="13">
                  <c:v>9.2027999999999999</c:v>
                </c:pt>
                <c:pt idx="14">
                  <c:v>16.513599999999997</c:v>
                </c:pt>
                <c:pt idx="15">
                  <c:v>10.9932</c:v>
                </c:pt>
                <c:pt idx="16">
                  <c:v>14.201000000000001</c:v>
                </c:pt>
                <c:pt idx="17">
                  <c:v>7.3378000000000005</c:v>
                </c:pt>
                <c:pt idx="18">
                  <c:v>9.2774000000000001</c:v>
                </c:pt>
                <c:pt idx="19">
                  <c:v>4.9506000000000006</c:v>
                </c:pt>
                <c:pt idx="20">
                  <c:v>5.2490000000000006</c:v>
                </c:pt>
                <c:pt idx="21">
                  <c:v>4.13</c:v>
                </c:pt>
                <c:pt idx="22">
                  <c:v>2.8618000000000001</c:v>
                </c:pt>
                <c:pt idx="23">
                  <c:v>5.6966000000000001</c:v>
                </c:pt>
                <c:pt idx="24">
                  <c:v>3.8315999999999999</c:v>
                </c:pt>
                <c:pt idx="25">
                  <c:v>4.8760000000000003</c:v>
                </c:pt>
                <c:pt idx="26">
                  <c:v>4.3538000000000006</c:v>
                </c:pt>
                <c:pt idx="27">
                  <c:v>4.4283999999999999</c:v>
                </c:pt>
                <c:pt idx="28">
                  <c:v>3.6823999999999999</c:v>
                </c:pt>
                <c:pt idx="29">
                  <c:v>6.8902000000000001</c:v>
                </c:pt>
                <c:pt idx="30">
                  <c:v>4.8014000000000001</c:v>
                </c:pt>
                <c:pt idx="31">
                  <c:v>5.3236000000000008</c:v>
                </c:pt>
                <c:pt idx="32">
                  <c:v>5.6219999999999999</c:v>
                </c:pt>
                <c:pt idx="33">
                  <c:v>4.4283999999999999</c:v>
                </c:pt>
                <c:pt idx="34">
                  <c:v>10.023400000000001</c:v>
                </c:pt>
                <c:pt idx="35">
                  <c:v>5.6966000000000001</c:v>
                </c:pt>
                <c:pt idx="36">
                  <c:v>9.7995999999999999</c:v>
                </c:pt>
                <c:pt idx="37">
                  <c:v>6.6664000000000003</c:v>
                </c:pt>
                <c:pt idx="38">
                  <c:v>2.6379999999999999</c:v>
                </c:pt>
                <c:pt idx="39">
                  <c:v>3.1602000000000001</c:v>
                </c:pt>
                <c:pt idx="40">
                  <c:v>3.4586000000000001</c:v>
                </c:pt>
                <c:pt idx="41">
                  <c:v>3.3839999999999999</c:v>
                </c:pt>
                <c:pt idx="42">
                  <c:v>3.0855999999999999</c:v>
                </c:pt>
                <c:pt idx="43">
                  <c:v>2.7125999999999997</c:v>
                </c:pt>
                <c:pt idx="44">
                  <c:v>0.92220000000000002</c:v>
                </c:pt>
                <c:pt idx="45">
                  <c:v>2.9363999999999999</c:v>
                </c:pt>
                <c:pt idx="46">
                  <c:v>3.6077999999999997</c:v>
                </c:pt>
                <c:pt idx="47">
                  <c:v>8.6059999999999999</c:v>
                </c:pt>
                <c:pt idx="48">
                  <c:v>12.709</c:v>
                </c:pt>
                <c:pt idx="49">
                  <c:v>14.201000000000001</c:v>
                </c:pt>
                <c:pt idx="50">
                  <c:v>14.6486</c:v>
                </c:pt>
                <c:pt idx="51">
                  <c:v>13.678800000000001</c:v>
                </c:pt>
                <c:pt idx="52">
                  <c:v>13.007400000000001</c:v>
                </c:pt>
                <c:pt idx="53">
                  <c:v>14.201000000000001</c:v>
                </c:pt>
                <c:pt idx="54">
                  <c:v>14.424799999999999</c:v>
                </c:pt>
                <c:pt idx="55">
                  <c:v>12.8582</c:v>
                </c:pt>
                <c:pt idx="56">
                  <c:v>12.485200000000001</c:v>
                </c:pt>
                <c:pt idx="57">
                  <c:v>14.424799999999999</c:v>
                </c:pt>
                <c:pt idx="58">
                  <c:v>15.0962</c:v>
                </c:pt>
                <c:pt idx="59">
                  <c:v>16.065999999999999</c:v>
                </c:pt>
                <c:pt idx="60">
                  <c:v>16.961199999999998</c:v>
                </c:pt>
                <c:pt idx="61">
                  <c:v>15.9168</c:v>
                </c:pt>
                <c:pt idx="62">
                  <c:v>11.0678</c:v>
                </c:pt>
                <c:pt idx="63">
                  <c:v>11.5154</c:v>
                </c:pt>
                <c:pt idx="64">
                  <c:v>4.9506000000000006</c:v>
                </c:pt>
                <c:pt idx="65">
                  <c:v>4.13</c:v>
                </c:pt>
                <c:pt idx="66">
                  <c:v>3.9807999999999999</c:v>
                </c:pt>
                <c:pt idx="67">
                  <c:v>3.6077999999999997</c:v>
                </c:pt>
                <c:pt idx="68">
                  <c:v>5.4728000000000003</c:v>
                </c:pt>
                <c:pt idx="69">
                  <c:v>1.8919999999999999</c:v>
                </c:pt>
                <c:pt idx="70">
                  <c:v>5.0998000000000001</c:v>
                </c:pt>
                <c:pt idx="71">
                  <c:v>3.9061999999999997</c:v>
                </c:pt>
                <c:pt idx="72">
                  <c:v>2.5634000000000001</c:v>
                </c:pt>
                <c:pt idx="73">
                  <c:v>5.5474000000000006</c:v>
                </c:pt>
                <c:pt idx="74">
                  <c:v>5.4728000000000003</c:v>
                </c:pt>
                <c:pt idx="75">
                  <c:v>3.0855999999999999</c:v>
                </c:pt>
                <c:pt idx="76">
                  <c:v>6.2934000000000001</c:v>
                </c:pt>
                <c:pt idx="77">
                  <c:v>8.6806000000000001</c:v>
                </c:pt>
                <c:pt idx="78">
                  <c:v>6.5918000000000001</c:v>
                </c:pt>
                <c:pt idx="79">
                  <c:v>12.7836</c:v>
                </c:pt>
                <c:pt idx="80">
                  <c:v>12.559800000000001</c:v>
                </c:pt>
                <c:pt idx="81">
                  <c:v>13.604200000000001</c:v>
                </c:pt>
                <c:pt idx="82">
                  <c:v>8.5313999999999997</c:v>
                </c:pt>
                <c:pt idx="83">
                  <c:v>7.1140000000000008</c:v>
                </c:pt>
                <c:pt idx="84">
                  <c:v>9.1281999999999996</c:v>
                </c:pt>
                <c:pt idx="85">
                  <c:v>11.291600000000001</c:v>
                </c:pt>
                <c:pt idx="86">
                  <c:v>12.559800000000001</c:v>
                </c:pt>
                <c:pt idx="87">
                  <c:v>12.485200000000001</c:v>
                </c:pt>
                <c:pt idx="88">
                  <c:v>9.1281999999999996</c:v>
                </c:pt>
                <c:pt idx="89">
                  <c:v>11.217000000000001</c:v>
                </c:pt>
                <c:pt idx="90">
                  <c:v>15.1708</c:v>
                </c:pt>
                <c:pt idx="91">
                  <c:v>15.543800000000001</c:v>
                </c:pt>
                <c:pt idx="92">
                  <c:v>6.1442000000000005</c:v>
                </c:pt>
                <c:pt idx="93">
                  <c:v>4.8760000000000003</c:v>
                </c:pt>
                <c:pt idx="94">
                  <c:v>3.6077999999999997</c:v>
                </c:pt>
                <c:pt idx="95">
                  <c:v>3.8315999999999999</c:v>
                </c:pt>
                <c:pt idx="96">
                  <c:v>4.8760000000000003</c:v>
                </c:pt>
                <c:pt idx="97">
                  <c:v>5.4728000000000003</c:v>
                </c:pt>
                <c:pt idx="98">
                  <c:v>5.1744000000000003</c:v>
                </c:pt>
                <c:pt idx="99">
                  <c:v>5.3236000000000008</c:v>
                </c:pt>
                <c:pt idx="100">
                  <c:v>3.4586000000000001</c:v>
                </c:pt>
                <c:pt idx="101">
                  <c:v>2.7125999999999997</c:v>
                </c:pt>
                <c:pt idx="102">
                  <c:v>5.0998000000000001</c:v>
                </c:pt>
                <c:pt idx="103">
                  <c:v>4.0554000000000006</c:v>
                </c:pt>
                <c:pt idx="104">
                  <c:v>5.2490000000000006</c:v>
                </c:pt>
                <c:pt idx="105">
                  <c:v>3.6823999999999999</c:v>
                </c:pt>
                <c:pt idx="106">
                  <c:v>4.2046000000000001</c:v>
                </c:pt>
                <c:pt idx="107">
                  <c:v>5.1744000000000003</c:v>
                </c:pt>
                <c:pt idx="108">
                  <c:v>8.0091999999999999</c:v>
                </c:pt>
                <c:pt idx="109">
                  <c:v>6.0696000000000003</c:v>
                </c:pt>
                <c:pt idx="110">
                  <c:v>3.6823999999999999</c:v>
                </c:pt>
                <c:pt idx="111">
                  <c:v>4.3538000000000006</c:v>
                </c:pt>
                <c:pt idx="112">
                  <c:v>6.2187999999999999</c:v>
                </c:pt>
                <c:pt idx="113">
                  <c:v>3.5331999999999999</c:v>
                </c:pt>
                <c:pt idx="114">
                  <c:v>6.4426000000000005</c:v>
                </c:pt>
                <c:pt idx="115">
                  <c:v>3.4586000000000001</c:v>
                </c:pt>
                <c:pt idx="116">
                  <c:v>6.7410000000000005</c:v>
                </c:pt>
                <c:pt idx="117">
                  <c:v>3.8315999999999999</c:v>
                </c:pt>
                <c:pt idx="118">
                  <c:v>5.2490000000000006</c:v>
                </c:pt>
                <c:pt idx="119">
                  <c:v>4.2046000000000001</c:v>
                </c:pt>
                <c:pt idx="120">
                  <c:v>3.5331999999999999</c:v>
                </c:pt>
                <c:pt idx="121">
                  <c:v>4.2792000000000003</c:v>
                </c:pt>
                <c:pt idx="122">
                  <c:v>2.0411999999999999</c:v>
                </c:pt>
                <c:pt idx="123">
                  <c:v>3.9061999999999997</c:v>
                </c:pt>
                <c:pt idx="124">
                  <c:v>1.7427999999999999</c:v>
                </c:pt>
                <c:pt idx="125">
                  <c:v>4.2792000000000003</c:v>
                </c:pt>
                <c:pt idx="126">
                  <c:v>2.0411999999999999</c:v>
                </c:pt>
                <c:pt idx="127">
                  <c:v>4.3538000000000006</c:v>
                </c:pt>
                <c:pt idx="128">
                  <c:v>2.7125999999999997</c:v>
                </c:pt>
                <c:pt idx="129">
                  <c:v>4.8760000000000003</c:v>
                </c:pt>
                <c:pt idx="130">
                  <c:v>4.4283999999999999</c:v>
                </c:pt>
                <c:pt idx="131">
                  <c:v>5.5474000000000006</c:v>
                </c:pt>
                <c:pt idx="132">
                  <c:v>7.7854000000000001</c:v>
                </c:pt>
                <c:pt idx="133">
                  <c:v>5.5474000000000006</c:v>
                </c:pt>
                <c:pt idx="134">
                  <c:v>7.7854000000000001</c:v>
                </c:pt>
                <c:pt idx="135">
                  <c:v>4.6522000000000006</c:v>
                </c:pt>
                <c:pt idx="136">
                  <c:v>6.2934000000000001</c:v>
                </c:pt>
                <c:pt idx="137">
                  <c:v>5.6966000000000001</c:v>
                </c:pt>
                <c:pt idx="138">
                  <c:v>4.2792000000000003</c:v>
                </c:pt>
                <c:pt idx="139">
                  <c:v>10.3218</c:v>
                </c:pt>
                <c:pt idx="140">
                  <c:v>7.1886000000000001</c:v>
                </c:pt>
                <c:pt idx="141">
                  <c:v>18.602399999999999</c:v>
                </c:pt>
                <c:pt idx="142">
                  <c:v>20.168999999999997</c:v>
                </c:pt>
                <c:pt idx="143">
                  <c:v>16.439</c:v>
                </c:pt>
                <c:pt idx="144">
                  <c:v>15.394600000000001</c:v>
                </c:pt>
                <c:pt idx="145">
                  <c:v>10.023400000000001</c:v>
                </c:pt>
                <c:pt idx="146">
                  <c:v>5.2490000000000006</c:v>
                </c:pt>
                <c:pt idx="147">
                  <c:v>7.9346000000000005</c:v>
                </c:pt>
                <c:pt idx="148">
                  <c:v>3.6077999999999997</c:v>
                </c:pt>
                <c:pt idx="149">
                  <c:v>5.9950000000000001</c:v>
                </c:pt>
                <c:pt idx="150">
                  <c:v>6.2187999999999999</c:v>
                </c:pt>
                <c:pt idx="151">
                  <c:v>6.5918000000000001</c:v>
                </c:pt>
                <c:pt idx="152">
                  <c:v>5.4728000000000003</c:v>
                </c:pt>
                <c:pt idx="153">
                  <c:v>5.3236000000000008</c:v>
                </c:pt>
                <c:pt idx="154">
                  <c:v>5.4728000000000003</c:v>
                </c:pt>
                <c:pt idx="155">
                  <c:v>8.0838000000000001</c:v>
                </c:pt>
                <c:pt idx="156">
                  <c:v>6.0696000000000003</c:v>
                </c:pt>
                <c:pt idx="157">
                  <c:v>6.8902000000000001</c:v>
                </c:pt>
                <c:pt idx="158">
                  <c:v>7.3378000000000005</c:v>
                </c:pt>
                <c:pt idx="159">
                  <c:v>6.9648000000000003</c:v>
                </c:pt>
                <c:pt idx="160">
                  <c:v>6.7410000000000005</c:v>
                </c:pt>
                <c:pt idx="161">
                  <c:v>7.2632000000000003</c:v>
                </c:pt>
                <c:pt idx="162">
                  <c:v>8.0838000000000001</c:v>
                </c:pt>
                <c:pt idx="163">
                  <c:v>8.7552000000000003</c:v>
                </c:pt>
                <c:pt idx="164">
                  <c:v>8.3821999999999992</c:v>
                </c:pt>
                <c:pt idx="165">
                  <c:v>7.3378000000000005</c:v>
                </c:pt>
                <c:pt idx="166">
                  <c:v>6.8902000000000001</c:v>
                </c:pt>
                <c:pt idx="167">
                  <c:v>7.7854000000000001</c:v>
                </c:pt>
                <c:pt idx="168">
                  <c:v>7.2632000000000003</c:v>
                </c:pt>
                <c:pt idx="169">
                  <c:v>7.86</c:v>
                </c:pt>
                <c:pt idx="170">
                  <c:v>7.2632000000000003</c:v>
                </c:pt>
                <c:pt idx="171">
                  <c:v>6.5918000000000001</c:v>
                </c:pt>
                <c:pt idx="172">
                  <c:v>5.8458000000000006</c:v>
                </c:pt>
                <c:pt idx="173">
                  <c:v>4.2046000000000001</c:v>
                </c:pt>
                <c:pt idx="174">
                  <c:v>2.7871999999999999</c:v>
                </c:pt>
                <c:pt idx="175">
                  <c:v>2.5634000000000001</c:v>
                </c:pt>
                <c:pt idx="176">
                  <c:v>2.1903999999999999</c:v>
                </c:pt>
                <c:pt idx="177">
                  <c:v>4.6522000000000006</c:v>
                </c:pt>
                <c:pt idx="178">
                  <c:v>3.6823999999999999</c:v>
                </c:pt>
                <c:pt idx="179">
                  <c:v>3.1602000000000001</c:v>
                </c:pt>
                <c:pt idx="180">
                  <c:v>4.3538000000000006</c:v>
                </c:pt>
                <c:pt idx="181">
                  <c:v>4.8014000000000001</c:v>
                </c:pt>
                <c:pt idx="182">
                  <c:v>3.9061999999999997</c:v>
                </c:pt>
                <c:pt idx="183">
                  <c:v>3.6823999999999999</c:v>
                </c:pt>
                <c:pt idx="184">
                  <c:v>3.5331999999999999</c:v>
                </c:pt>
                <c:pt idx="185">
                  <c:v>4.9506000000000006</c:v>
                </c:pt>
                <c:pt idx="186">
                  <c:v>4.8760000000000003</c:v>
                </c:pt>
                <c:pt idx="187">
                  <c:v>5.6219999999999999</c:v>
                </c:pt>
                <c:pt idx="188">
                  <c:v>3.9061999999999997</c:v>
                </c:pt>
                <c:pt idx="189">
                  <c:v>4.7268000000000008</c:v>
                </c:pt>
                <c:pt idx="190">
                  <c:v>6.4426000000000005</c:v>
                </c:pt>
                <c:pt idx="191">
                  <c:v>5.4728000000000003</c:v>
                </c:pt>
                <c:pt idx="192">
                  <c:v>5.4728000000000003</c:v>
                </c:pt>
                <c:pt idx="193">
                  <c:v>2.4141999999999997</c:v>
                </c:pt>
                <c:pt idx="194">
                  <c:v>4.8014000000000001</c:v>
                </c:pt>
                <c:pt idx="195">
                  <c:v>3.5331999999999999</c:v>
                </c:pt>
                <c:pt idx="196">
                  <c:v>3.7570000000000001</c:v>
                </c:pt>
                <c:pt idx="197">
                  <c:v>3.5331999999999999</c:v>
                </c:pt>
                <c:pt idx="198">
                  <c:v>3.8315999999999999</c:v>
                </c:pt>
                <c:pt idx="199">
                  <c:v>2.8618000000000001</c:v>
                </c:pt>
                <c:pt idx="200">
                  <c:v>3.0855999999999999</c:v>
                </c:pt>
                <c:pt idx="201">
                  <c:v>3.5331999999999999</c:v>
                </c:pt>
                <c:pt idx="202">
                  <c:v>4.4283999999999999</c:v>
                </c:pt>
                <c:pt idx="203">
                  <c:v>7.1886000000000001</c:v>
                </c:pt>
                <c:pt idx="204">
                  <c:v>8.9044000000000008</c:v>
                </c:pt>
                <c:pt idx="205">
                  <c:v>9.575800000000001</c:v>
                </c:pt>
                <c:pt idx="206">
                  <c:v>8.1584000000000003</c:v>
                </c:pt>
                <c:pt idx="207">
                  <c:v>6.9648000000000003</c:v>
                </c:pt>
                <c:pt idx="208">
                  <c:v>5.1744000000000003</c:v>
                </c:pt>
                <c:pt idx="209">
                  <c:v>5.5474000000000006</c:v>
                </c:pt>
                <c:pt idx="210">
                  <c:v>4.8014000000000001</c:v>
                </c:pt>
                <c:pt idx="211">
                  <c:v>3.9807999999999999</c:v>
                </c:pt>
                <c:pt idx="212">
                  <c:v>6.1442000000000005</c:v>
                </c:pt>
                <c:pt idx="213">
                  <c:v>7.0394000000000005</c:v>
                </c:pt>
                <c:pt idx="214">
                  <c:v>4.6522000000000006</c:v>
                </c:pt>
                <c:pt idx="215">
                  <c:v>3.6823999999999999</c:v>
                </c:pt>
                <c:pt idx="216">
                  <c:v>5.6966000000000001</c:v>
                </c:pt>
                <c:pt idx="217">
                  <c:v>4.7268000000000008</c:v>
                </c:pt>
                <c:pt idx="218">
                  <c:v>6.1442000000000005</c:v>
                </c:pt>
                <c:pt idx="219">
                  <c:v>5.3236000000000008</c:v>
                </c:pt>
                <c:pt idx="220">
                  <c:v>5.2490000000000006</c:v>
                </c:pt>
                <c:pt idx="221">
                  <c:v>4.2792000000000003</c:v>
                </c:pt>
                <c:pt idx="222">
                  <c:v>2.6379999999999999</c:v>
                </c:pt>
                <c:pt idx="223">
                  <c:v>4.7268000000000008</c:v>
                </c:pt>
                <c:pt idx="224">
                  <c:v>2.6379999999999999</c:v>
                </c:pt>
                <c:pt idx="225">
                  <c:v>3.2347999999999999</c:v>
                </c:pt>
                <c:pt idx="226">
                  <c:v>1.8174000000000001</c:v>
                </c:pt>
                <c:pt idx="227">
                  <c:v>2.9363999999999999</c:v>
                </c:pt>
                <c:pt idx="228">
                  <c:v>2.7871999999999999</c:v>
                </c:pt>
                <c:pt idx="229">
                  <c:v>1.6682000000000001</c:v>
                </c:pt>
                <c:pt idx="230">
                  <c:v>3.3093999999999997</c:v>
                </c:pt>
                <c:pt idx="231">
                  <c:v>3.3839999999999999</c:v>
                </c:pt>
                <c:pt idx="232">
                  <c:v>3.9807999999999999</c:v>
                </c:pt>
                <c:pt idx="233">
                  <c:v>3.0855999999999999</c:v>
                </c:pt>
                <c:pt idx="234">
                  <c:v>2.8618000000000001</c:v>
                </c:pt>
                <c:pt idx="235">
                  <c:v>5.8458000000000006</c:v>
                </c:pt>
                <c:pt idx="236">
                  <c:v>4.5030000000000001</c:v>
                </c:pt>
                <c:pt idx="237">
                  <c:v>6.4426000000000005</c:v>
                </c:pt>
                <c:pt idx="238">
                  <c:v>7.0394000000000005</c:v>
                </c:pt>
                <c:pt idx="239">
                  <c:v>4.3538000000000006</c:v>
                </c:pt>
                <c:pt idx="240">
                  <c:v>5.0998000000000001</c:v>
                </c:pt>
                <c:pt idx="241">
                  <c:v>7.3378000000000005</c:v>
                </c:pt>
                <c:pt idx="242">
                  <c:v>5.7712000000000003</c:v>
                </c:pt>
                <c:pt idx="243">
                  <c:v>6.8902000000000001</c:v>
                </c:pt>
                <c:pt idx="244">
                  <c:v>5.3982000000000001</c:v>
                </c:pt>
                <c:pt idx="245">
                  <c:v>7.1886000000000001</c:v>
                </c:pt>
                <c:pt idx="246">
                  <c:v>7.2632000000000003</c:v>
                </c:pt>
                <c:pt idx="247">
                  <c:v>8.6059999999999999</c:v>
                </c:pt>
                <c:pt idx="248">
                  <c:v>9.2027999999999999</c:v>
                </c:pt>
                <c:pt idx="249">
                  <c:v>11.217000000000001</c:v>
                </c:pt>
                <c:pt idx="250">
                  <c:v>12.037599999999999</c:v>
                </c:pt>
                <c:pt idx="251">
                  <c:v>12.9328</c:v>
                </c:pt>
                <c:pt idx="252">
                  <c:v>12.336</c:v>
                </c:pt>
                <c:pt idx="255">
                  <c:v>11.217000000000001</c:v>
                </c:pt>
                <c:pt idx="256">
                  <c:v>12.9328</c:v>
                </c:pt>
                <c:pt idx="257">
                  <c:v>12.7836</c:v>
                </c:pt>
                <c:pt idx="258">
                  <c:v>14.7232</c:v>
                </c:pt>
                <c:pt idx="259">
                  <c:v>16.215199999999999</c:v>
                </c:pt>
                <c:pt idx="260">
                  <c:v>15.543800000000001</c:v>
                </c:pt>
                <c:pt idx="261">
                  <c:v>12.336</c:v>
                </c:pt>
                <c:pt idx="262">
                  <c:v>12.410600000000001</c:v>
                </c:pt>
                <c:pt idx="263">
                  <c:v>9.1281999999999996</c:v>
                </c:pt>
                <c:pt idx="264">
                  <c:v>5.5474000000000006</c:v>
                </c:pt>
                <c:pt idx="265">
                  <c:v>4.8014000000000001</c:v>
                </c:pt>
                <c:pt idx="266">
                  <c:v>5.1744000000000003</c:v>
                </c:pt>
                <c:pt idx="267">
                  <c:v>2.0411999999999999</c:v>
                </c:pt>
                <c:pt idx="268">
                  <c:v>3.1602000000000001</c:v>
                </c:pt>
                <c:pt idx="269">
                  <c:v>3.2347999999999999</c:v>
                </c:pt>
                <c:pt idx="270">
                  <c:v>5.0998000000000001</c:v>
                </c:pt>
                <c:pt idx="271">
                  <c:v>4.7268000000000008</c:v>
                </c:pt>
                <c:pt idx="272">
                  <c:v>3.7570000000000001</c:v>
                </c:pt>
                <c:pt idx="273">
                  <c:v>6.0696000000000003</c:v>
                </c:pt>
                <c:pt idx="274">
                  <c:v>2.8618000000000001</c:v>
                </c:pt>
                <c:pt idx="275">
                  <c:v>2.7871999999999999</c:v>
                </c:pt>
                <c:pt idx="276">
                  <c:v>3.2347999999999999</c:v>
                </c:pt>
                <c:pt idx="277">
                  <c:v>4.8760000000000003</c:v>
                </c:pt>
                <c:pt idx="278">
                  <c:v>4.5030000000000001</c:v>
                </c:pt>
                <c:pt idx="279">
                  <c:v>7.3378000000000005</c:v>
                </c:pt>
                <c:pt idx="280">
                  <c:v>16.065999999999999</c:v>
                </c:pt>
                <c:pt idx="281">
                  <c:v>17.4834</c:v>
                </c:pt>
                <c:pt idx="282">
                  <c:v>17.7072</c:v>
                </c:pt>
                <c:pt idx="283">
                  <c:v>16.811999999999998</c:v>
                </c:pt>
                <c:pt idx="284">
                  <c:v>16.961199999999998</c:v>
                </c:pt>
                <c:pt idx="285">
                  <c:v>14.947000000000001</c:v>
                </c:pt>
                <c:pt idx="286">
                  <c:v>13.753400000000001</c:v>
                </c:pt>
                <c:pt idx="287">
                  <c:v>13.231199999999999</c:v>
                </c:pt>
                <c:pt idx="288">
                  <c:v>12.9328</c:v>
                </c:pt>
                <c:pt idx="289">
                  <c:v>9.8742000000000001</c:v>
                </c:pt>
                <c:pt idx="290">
                  <c:v>13.455</c:v>
                </c:pt>
                <c:pt idx="291">
                  <c:v>11.217000000000001</c:v>
                </c:pt>
                <c:pt idx="292">
                  <c:v>9.3520000000000003</c:v>
                </c:pt>
                <c:pt idx="293">
                  <c:v>9.6503999999999994</c:v>
                </c:pt>
                <c:pt idx="294">
                  <c:v>6.8155999999999999</c:v>
                </c:pt>
                <c:pt idx="295">
                  <c:v>5.3236000000000008</c:v>
                </c:pt>
                <c:pt idx="296">
                  <c:v>5.4728000000000003</c:v>
                </c:pt>
                <c:pt idx="297">
                  <c:v>6.1442000000000005</c:v>
                </c:pt>
                <c:pt idx="298">
                  <c:v>7.5616000000000003</c:v>
                </c:pt>
                <c:pt idx="299">
                  <c:v>7.1140000000000008</c:v>
                </c:pt>
                <c:pt idx="300">
                  <c:v>6.8155999999999999</c:v>
                </c:pt>
                <c:pt idx="301">
                  <c:v>6.1442000000000005</c:v>
                </c:pt>
                <c:pt idx="302">
                  <c:v>7.7108000000000008</c:v>
                </c:pt>
                <c:pt idx="303">
                  <c:v>7.4123999999999999</c:v>
                </c:pt>
                <c:pt idx="304">
                  <c:v>6.5918000000000001</c:v>
                </c:pt>
                <c:pt idx="305">
                  <c:v>5.9204000000000008</c:v>
                </c:pt>
                <c:pt idx="306">
                  <c:v>6.0696000000000003</c:v>
                </c:pt>
                <c:pt idx="307">
                  <c:v>7.0394000000000005</c:v>
                </c:pt>
                <c:pt idx="308">
                  <c:v>8.0838000000000001</c:v>
                </c:pt>
                <c:pt idx="309">
                  <c:v>4.13</c:v>
                </c:pt>
                <c:pt idx="310">
                  <c:v>6.3680000000000003</c:v>
                </c:pt>
                <c:pt idx="311">
                  <c:v>10.023400000000001</c:v>
                </c:pt>
                <c:pt idx="312">
                  <c:v>10.843999999999999</c:v>
                </c:pt>
                <c:pt idx="313">
                  <c:v>8.9044000000000008</c:v>
                </c:pt>
                <c:pt idx="314">
                  <c:v>11.0678</c:v>
                </c:pt>
                <c:pt idx="315">
                  <c:v>10.023400000000001</c:v>
                </c:pt>
                <c:pt idx="316">
                  <c:v>10.3218</c:v>
                </c:pt>
                <c:pt idx="317">
                  <c:v>8.3076000000000008</c:v>
                </c:pt>
                <c:pt idx="318">
                  <c:v>10.023400000000001</c:v>
                </c:pt>
                <c:pt idx="319">
                  <c:v>14.350200000000001</c:v>
                </c:pt>
                <c:pt idx="320">
                  <c:v>13.231199999999999</c:v>
                </c:pt>
                <c:pt idx="321">
                  <c:v>13.455</c:v>
                </c:pt>
                <c:pt idx="322">
                  <c:v>13.5296</c:v>
                </c:pt>
                <c:pt idx="323">
                  <c:v>15.469200000000001</c:v>
                </c:pt>
                <c:pt idx="324">
                  <c:v>15.991400000000001</c:v>
                </c:pt>
                <c:pt idx="325">
                  <c:v>15.9168</c:v>
                </c:pt>
                <c:pt idx="326">
                  <c:v>13.828000000000001</c:v>
                </c:pt>
                <c:pt idx="327">
                  <c:v>12.7836</c:v>
                </c:pt>
                <c:pt idx="328">
                  <c:v>14.350200000000001</c:v>
                </c:pt>
                <c:pt idx="329">
                  <c:v>14.275600000000001</c:v>
                </c:pt>
                <c:pt idx="330">
                  <c:v>11.963000000000001</c:v>
                </c:pt>
                <c:pt idx="331">
                  <c:v>9.0536000000000012</c:v>
                </c:pt>
                <c:pt idx="332">
                  <c:v>11.7392</c:v>
                </c:pt>
                <c:pt idx="333">
                  <c:v>10.172600000000001</c:v>
                </c:pt>
                <c:pt idx="334">
                  <c:v>8.6806000000000001</c:v>
                </c:pt>
                <c:pt idx="335">
                  <c:v>9.7249999999999996</c:v>
                </c:pt>
                <c:pt idx="336">
                  <c:v>8.6806000000000001</c:v>
                </c:pt>
                <c:pt idx="337">
                  <c:v>6.8155999999999999</c:v>
                </c:pt>
                <c:pt idx="338">
                  <c:v>7.2632000000000003</c:v>
                </c:pt>
                <c:pt idx="339">
                  <c:v>9.0536000000000012</c:v>
                </c:pt>
                <c:pt idx="340">
                  <c:v>13.007400000000001</c:v>
                </c:pt>
                <c:pt idx="341">
                  <c:v>11.6646</c:v>
                </c:pt>
                <c:pt idx="342">
                  <c:v>9.1281999999999996</c:v>
                </c:pt>
                <c:pt idx="343">
                  <c:v>9.8742000000000001</c:v>
                </c:pt>
                <c:pt idx="344">
                  <c:v>10.3218</c:v>
                </c:pt>
                <c:pt idx="345">
                  <c:v>8.9044000000000008</c:v>
                </c:pt>
                <c:pt idx="346">
                  <c:v>9.575800000000001</c:v>
                </c:pt>
                <c:pt idx="347">
                  <c:v>5.2490000000000006</c:v>
                </c:pt>
                <c:pt idx="348">
                  <c:v>7.1140000000000008</c:v>
                </c:pt>
                <c:pt idx="349">
                  <c:v>6.4426000000000005</c:v>
                </c:pt>
                <c:pt idx="350">
                  <c:v>2.4141999999999997</c:v>
                </c:pt>
                <c:pt idx="351">
                  <c:v>4.9506000000000006</c:v>
                </c:pt>
                <c:pt idx="352">
                  <c:v>6.1442000000000005</c:v>
                </c:pt>
                <c:pt idx="353">
                  <c:v>4.5776000000000003</c:v>
                </c:pt>
                <c:pt idx="354">
                  <c:v>5.1744000000000003</c:v>
                </c:pt>
                <c:pt idx="355">
                  <c:v>5.7712000000000003</c:v>
                </c:pt>
                <c:pt idx="356">
                  <c:v>4.8014000000000001</c:v>
                </c:pt>
                <c:pt idx="357">
                  <c:v>4.0554000000000006</c:v>
                </c:pt>
                <c:pt idx="358">
                  <c:v>7.1140000000000008</c:v>
                </c:pt>
                <c:pt idx="359">
                  <c:v>4.4283999999999999</c:v>
                </c:pt>
                <c:pt idx="360">
                  <c:v>6.4426000000000005</c:v>
                </c:pt>
                <c:pt idx="361">
                  <c:v>4.2046000000000001</c:v>
                </c:pt>
                <c:pt idx="362">
                  <c:v>6.8155999999999999</c:v>
                </c:pt>
                <c:pt idx="363">
                  <c:v>3.6077999999999997</c:v>
                </c:pt>
                <c:pt idx="364">
                  <c:v>5.9204000000000008</c:v>
                </c:pt>
                <c:pt idx="365">
                  <c:v>3.7570000000000001</c:v>
                </c:pt>
                <c:pt idx="366">
                  <c:v>2.5634000000000001</c:v>
                </c:pt>
                <c:pt idx="367">
                  <c:v>1.8919999999999999</c:v>
                </c:pt>
                <c:pt idx="368">
                  <c:v>3.9807999999999999</c:v>
                </c:pt>
                <c:pt idx="369">
                  <c:v>3.4586000000000001</c:v>
                </c:pt>
                <c:pt idx="370">
                  <c:v>2.6379999999999999</c:v>
                </c:pt>
                <c:pt idx="371">
                  <c:v>1.8174000000000001</c:v>
                </c:pt>
                <c:pt idx="372">
                  <c:v>2.2650000000000001</c:v>
                </c:pt>
                <c:pt idx="373">
                  <c:v>2.1903999999999999</c:v>
                </c:pt>
                <c:pt idx="374">
                  <c:v>2.8618000000000001</c:v>
                </c:pt>
                <c:pt idx="375">
                  <c:v>5.3982000000000001</c:v>
                </c:pt>
                <c:pt idx="376">
                  <c:v>3.5331999999999999</c:v>
                </c:pt>
                <c:pt idx="377">
                  <c:v>2.2650000000000001</c:v>
                </c:pt>
                <c:pt idx="378">
                  <c:v>2.1158000000000001</c:v>
                </c:pt>
                <c:pt idx="379">
                  <c:v>3.0109999999999997</c:v>
                </c:pt>
                <c:pt idx="380">
                  <c:v>3.4586000000000001</c:v>
                </c:pt>
                <c:pt idx="381">
                  <c:v>2.3395999999999999</c:v>
                </c:pt>
                <c:pt idx="382">
                  <c:v>1.6682000000000001</c:v>
                </c:pt>
                <c:pt idx="383">
                  <c:v>2.9363999999999999</c:v>
                </c:pt>
                <c:pt idx="384">
                  <c:v>3.9061999999999997</c:v>
                </c:pt>
                <c:pt idx="385">
                  <c:v>5.3236000000000008</c:v>
                </c:pt>
                <c:pt idx="386">
                  <c:v>9.2027999999999999</c:v>
                </c:pt>
                <c:pt idx="387">
                  <c:v>10.172600000000001</c:v>
                </c:pt>
                <c:pt idx="388">
                  <c:v>10.471</c:v>
                </c:pt>
                <c:pt idx="389">
                  <c:v>11.7392</c:v>
                </c:pt>
                <c:pt idx="390">
                  <c:v>11.366200000000001</c:v>
                </c:pt>
                <c:pt idx="391">
                  <c:v>12.7836</c:v>
                </c:pt>
                <c:pt idx="392">
                  <c:v>14.7232</c:v>
                </c:pt>
                <c:pt idx="393">
                  <c:v>15.32</c:v>
                </c:pt>
                <c:pt idx="394">
                  <c:v>9.3520000000000003</c:v>
                </c:pt>
                <c:pt idx="395">
                  <c:v>2.5634000000000001</c:v>
                </c:pt>
                <c:pt idx="396">
                  <c:v>1.8919999999999999</c:v>
                </c:pt>
                <c:pt idx="397">
                  <c:v>2.6379999999999999</c:v>
                </c:pt>
                <c:pt idx="398">
                  <c:v>1.5935999999999999</c:v>
                </c:pt>
                <c:pt idx="399">
                  <c:v>1.5935999999999999</c:v>
                </c:pt>
                <c:pt idx="400">
                  <c:v>2.3395999999999999</c:v>
                </c:pt>
                <c:pt idx="401">
                  <c:v>3.9807999999999999</c:v>
                </c:pt>
                <c:pt idx="402">
                  <c:v>3.8315999999999999</c:v>
                </c:pt>
                <c:pt idx="403">
                  <c:v>4.2046000000000001</c:v>
                </c:pt>
                <c:pt idx="404">
                  <c:v>3.7570000000000001</c:v>
                </c:pt>
                <c:pt idx="405">
                  <c:v>2.1903999999999999</c:v>
                </c:pt>
                <c:pt idx="406">
                  <c:v>0.99680000000000002</c:v>
                </c:pt>
                <c:pt idx="407">
                  <c:v>1.5935999999999999</c:v>
                </c:pt>
                <c:pt idx="408">
                  <c:v>4.7268000000000008</c:v>
                </c:pt>
                <c:pt idx="409">
                  <c:v>5.1744000000000003</c:v>
                </c:pt>
                <c:pt idx="410">
                  <c:v>2.9363999999999999</c:v>
                </c:pt>
                <c:pt idx="411">
                  <c:v>1.5190000000000001</c:v>
                </c:pt>
                <c:pt idx="412">
                  <c:v>1.7427999999999999</c:v>
                </c:pt>
                <c:pt idx="413">
                  <c:v>1.8174000000000001</c:v>
                </c:pt>
                <c:pt idx="414">
                  <c:v>2.1903999999999999</c:v>
                </c:pt>
                <c:pt idx="415">
                  <c:v>1.4443999999999999</c:v>
                </c:pt>
                <c:pt idx="416">
                  <c:v>1.3698000000000001</c:v>
                </c:pt>
                <c:pt idx="417">
                  <c:v>2.7871999999999999</c:v>
                </c:pt>
                <c:pt idx="418">
                  <c:v>1.7427999999999999</c:v>
                </c:pt>
                <c:pt idx="419">
                  <c:v>1.8174000000000001</c:v>
                </c:pt>
                <c:pt idx="420">
                  <c:v>1.4443999999999999</c:v>
                </c:pt>
                <c:pt idx="421">
                  <c:v>1.3698000000000001</c:v>
                </c:pt>
                <c:pt idx="422">
                  <c:v>2.0411999999999999</c:v>
                </c:pt>
                <c:pt idx="423">
                  <c:v>1.5190000000000001</c:v>
                </c:pt>
                <c:pt idx="424">
                  <c:v>2.2650000000000001</c:v>
                </c:pt>
                <c:pt idx="425">
                  <c:v>1.8174000000000001</c:v>
                </c:pt>
                <c:pt idx="426">
                  <c:v>1.8919999999999999</c:v>
                </c:pt>
                <c:pt idx="427">
                  <c:v>1.8174000000000001</c:v>
                </c:pt>
                <c:pt idx="428">
                  <c:v>2.5634000000000001</c:v>
                </c:pt>
                <c:pt idx="429">
                  <c:v>1.2206000000000001</c:v>
                </c:pt>
                <c:pt idx="430">
                  <c:v>1.2206000000000001</c:v>
                </c:pt>
                <c:pt idx="431">
                  <c:v>1.2206000000000001</c:v>
                </c:pt>
                <c:pt idx="432">
                  <c:v>1.7427999999999999</c:v>
                </c:pt>
                <c:pt idx="433">
                  <c:v>1.5190000000000001</c:v>
                </c:pt>
                <c:pt idx="434">
                  <c:v>3.0855999999999999</c:v>
                </c:pt>
                <c:pt idx="435">
                  <c:v>1.7427999999999999</c:v>
                </c:pt>
                <c:pt idx="436">
                  <c:v>2.7125999999999997</c:v>
                </c:pt>
                <c:pt idx="437">
                  <c:v>1.8919999999999999</c:v>
                </c:pt>
                <c:pt idx="438">
                  <c:v>3.1602000000000001</c:v>
                </c:pt>
                <c:pt idx="439">
                  <c:v>2.7125999999999997</c:v>
                </c:pt>
                <c:pt idx="440">
                  <c:v>2.1903999999999999</c:v>
                </c:pt>
                <c:pt idx="441">
                  <c:v>3.6823999999999999</c:v>
                </c:pt>
                <c:pt idx="442">
                  <c:v>3.9807999999999999</c:v>
                </c:pt>
                <c:pt idx="443">
                  <c:v>3.9807999999999999</c:v>
                </c:pt>
                <c:pt idx="444">
                  <c:v>5.6219999999999999</c:v>
                </c:pt>
                <c:pt idx="445">
                  <c:v>8.6059999999999999</c:v>
                </c:pt>
                <c:pt idx="446">
                  <c:v>8.6059999999999999</c:v>
                </c:pt>
                <c:pt idx="447">
                  <c:v>10.843999999999999</c:v>
                </c:pt>
                <c:pt idx="448">
                  <c:v>6.9648000000000003</c:v>
                </c:pt>
                <c:pt idx="449">
                  <c:v>7.1140000000000008</c:v>
                </c:pt>
                <c:pt idx="450">
                  <c:v>7.1140000000000008</c:v>
                </c:pt>
                <c:pt idx="451">
                  <c:v>8.3076000000000008</c:v>
                </c:pt>
                <c:pt idx="452">
                  <c:v>11.7392</c:v>
                </c:pt>
                <c:pt idx="453">
                  <c:v>11.888400000000001</c:v>
                </c:pt>
                <c:pt idx="454">
                  <c:v>11.59</c:v>
                </c:pt>
                <c:pt idx="455">
                  <c:v>11.217000000000001</c:v>
                </c:pt>
                <c:pt idx="456">
                  <c:v>10.9186</c:v>
                </c:pt>
                <c:pt idx="457">
                  <c:v>11.1424</c:v>
                </c:pt>
                <c:pt idx="458">
                  <c:v>9.7995999999999999</c:v>
                </c:pt>
                <c:pt idx="459">
                  <c:v>10.620200000000001</c:v>
                </c:pt>
                <c:pt idx="460">
                  <c:v>10.5456</c:v>
                </c:pt>
                <c:pt idx="461">
                  <c:v>9.7995999999999999</c:v>
                </c:pt>
                <c:pt idx="462">
                  <c:v>10.9932</c:v>
                </c:pt>
                <c:pt idx="463">
                  <c:v>11.1424</c:v>
                </c:pt>
                <c:pt idx="464">
                  <c:v>9.7249999999999996</c:v>
                </c:pt>
                <c:pt idx="465">
                  <c:v>10.9932</c:v>
                </c:pt>
                <c:pt idx="466">
                  <c:v>9.0536000000000012</c:v>
                </c:pt>
                <c:pt idx="467">
                  <c:v>9.2027999999999999</c:v>
                </c:pt>
                <c:pt idx="468">
                  <c:v>8.4567999999999994</c:v>
                </c:pt>
                <c:pt idx="469">
                  <c:v>9.3520000000000003</c:v>
                </c:pt>
                <c:pt idx="470">
                  <c:v>8.0838000000000001</c:v>
                </c:pt>
                <c:pt idx="471">
                  <c:v>10.5456</c:v>
                </c:pt>
                <c:pt idx="472">
                  <c:v>10.3218</c:v>
                </c:pt>
                <c:pt idx="473">
                  <c:v>11.0678</c:v>
                </c:pt>
                <c:pt idx="474">
                  <c:v>12.485200000000001</c:v>
                </c:pt>
                <c:pt idx="475">
                  <c:v>13.082000000000001</c:v>
                </c:pt>
                <c:pt idx="476">
                  <c:v>14.0518</c:v>
                </c:pt>
                <c:pt idx="477">
                  <c:v>14.201000000000001</c:v>
                </c:pt>
                <c:pt idx="478">
                  <c:v>15.7676</c:v>
                </c:pt>
                <c:pt idx="479">
                  <c:v>15.991400000000001</c:v>
                </c:pt>
                <c:pt idx="480">
                  <c:v>15.9168</c:v>
                </c:pt>
                <c:pt idx="481">
                  <c:v>16.439</c:v>
                </c:pt>
                <c:pt idx="482">
                  <c:v>14.4994</c:v>
                </c:pt>
                <c:pt idx="483">
                  <c:v>10.5456</c:v>
                </c:pt>
                <c:pt idx="484">
                  <c:v>13.082000000000001</c:v>
                </c:pt>
                <c:pt idx="489">
                  <c:v>18.154799999999998</c:v>
                </c:pt>
                <c:pt idx="490">
                  <c:v>18.453199999999999</c:v>
                </c:pt>
                <c:pt idx="491">
                  <c:v>19.8706</c:v>
                </c:pt>
                <c:pt idx="492">
                  <c:v>11.888400000000001</c:v>
                </c:pt>
                <c:pt idx="493">
                  <c:v>3.0855999999999999</c:v>
                </c:pt>
                <c:pt idx="494">
                  <c:v>4.8760000000000003</c:v>
                </c:pt>
                <c:pt idx="495">
                  <c:v>2.9363999999999999</c:v>
                </c:pt>
                <c:pt idx="496">
                  <c:v>3.6077999999999997</c:v>
                </c:pt>
                <c:pt idx="497">
                  <c:v>6.8902000000000001</c:v>
                </c:pt>
                <c:pt idx="498">
                  <c:v>4.8014000000000001</c:v>
                </c:pt>
                <c:pt idx="499">
                  <c:v>2.4887999999999999</c:v>
                </c:pt>
                <c:pt idx="500">
                  <c:v>5.1744000000000003</c:v>
                </c:pt>
                <c:pt idx="501">
                  <c:v>3.3093999999999997</c:v>
                </c:pt>
                <c:pt idx="502">
                  <c:v>6.5918000000000001</c:v>
                </c:pt>
                <c:pt idx="503">
                  <c:v>4.0554000000000006</c:v>
                </c:pt>
                <c:pt idx="504">
                  <c:v>4.8760000000000003</c:v>
                </c:pt>
                <c:pt idx="505">
                  <c:v>5.5474000000000006</c:v>
                </c:pt>
                <c:pt idx="506">
                  <c:v>5.3236000000000008</c:v>
                </c:pt>
                <c:pt idx="507">
                  <c:v>7.9346000000000005</c:v>
                </c:pt>
                <c:pt idx="508">
                  <c:v>5.0998000000000001</c:v>
                </c:pt>
                <c:pt idx="509">
                  <c:v>3.6823999999999999</c:v>
                </c:pt>
                <c:pt idx="510">
                  <c:v>6.4426000000000005</c:v>
                </c:pt>
                <c:pt idx="511">
                  <c:v>2.1903999999999999</c:v>
                </c:pt>
                <c:pt idx="512">
                  <c:v>1.8919999999999999</c:v>
                </c:pt>
                <c:pt idx="513">
                  <c:v>3.5331999999999999</c:v>
                </c:pt>
                <c:pt idx="514">
                  <c:v>4.13</c:v>
                </c:pt>
                <c:pt idx="515">
                  <c:v>3.1602000000000001</c:v>
                </c:pt>
                <c:pt idx="516">
                  <c:v>3.9807999999999999</c:v>
                </c:pt>
                <c:pt idx="517">
                  <c:v>3.0855999999999999</c:v>
                </c:pt>
                <c:pt idx="518">
                  <c:v>2.7125999999999997</c:v>
                </c:pt>
                <c:pt idx="519">
                  <c:v>3.3093999999999997</c:v>
                </c:pt>
                <c:pt idx="520">
                  <c:v>2.9363999999999999</c:v>
                </c:pt>
                <c:pt idx="521">
                  <c:v>4.3538000000000006</c:v>
                </c:pt>
                <c:pt idx="522">
                  <c:v>3.6823999999999999</c:v>
                </c:pt>
                <c:pt idx="523">
                  <c:v>4.2046000000000001</c:v>
                </c:pt>
                <c:pt idx="524">
                  <c:v>3.5331999999999999</c:v>
                </c:pt>
                <c:pt idx="525">
                  <c:v>4.9506000000000006</c:v>
                </c:pt>
                <c:pt idx="526">
                  <c:v>4.4283999999999999</c:v>
                </c:pt>
                <c:pt idx="527">
                  <c:v>3.9061999999999997</c:v>
                </c:pt>
                <c:pt idx="528">
                  <c:v>5.3982000000000001</c:v>
                </c:pt>
                <c:pt idx="529">
                  <c:v>4.5030000000000001</c:v>
                </c:pt>
                <c:pt idx="530">
                  <c:v>3.3839999999999999</c:v>
                </c:pt>
                <c:pt idx="531">
                  <c:v>2.7125999999999997</c:v>
                </c:pt>
                <c:pt idx="532">
                  <c:v>3.3093999999999997</c:v>
                </c:pt>
                <c:pt idx="533">
                  <c:v>2.4141999999999997</c:v>
                </c:pt>
                <c:pt idx="534">
                  <c:v>1.8919999999999999</c:v>
                </c:pt>
                <c:pt idx="535">
                  <c:v>0.84760000000000002</c:v>
                </c:pt>
                <c:pt idx="536">
                  <c:v>0.99680000000000002</c:v>
                </c:pt>
                <c:pt idx="537">
                  <c:v>2.1903999999999999</c:v>
                </c:pt>
                <c:pt idx="538">
                  <c:v>1.3698000000000001</c:v>
                </c:pt>
                <c:pt idx="539">
                  <c:v>2.6379999999999999</c:v>
                </c:pt>
                <c:pt idx="540">
                  <c:v>2.4141999999999997</c:v>
                </c:pt>
                <c:pt idx="541">
                  <c:v>1.9666000000000001</c:v>
                </c:pt>
                <c:pt idx="542">
                  <c:v>4.5030000000000001</c:v>
                </c:pt>
                <c:pt idx="543">
                  <c:v>3.6077999999999997</c:v>
                </c:pt>
                <c:pt idx="544">
                  <c:v>4.3538000000000006</c:v>
                </c:pt>
                <c:pt idx="545">
                  <c:v>4.5030000000000001</c:v>
                </c:pt>
                <c:pt idx="546">
                  <c:v>4.3538000000000006</c:v>
                </c:pt>
                <c:pt idx="547">
                  <c:v>5.1744000000000003</c:v>
                </c:pt>
                <c:pt idx="548">
                  <c:v>4.8014000000000001</c:v>
                </c:pt>
                <c:pt idx="549">
                  <c:v>3.3093999999999997</c:v>
                </c:pt>
                <c:pt idx="550">
                  <c:v>5.3236000000000008</c:v>
                </c:pt>
                <c:pt idx="551">
                  <c:v>6.1442000000000005</c:v>
                </c:pt>
                <c:pt idx="552">
                  <c:v>5.9950000000000001</c:v>
                </c:pt>
                <c:pt idx="553">
                  <c:v>6.8155999999999999</c:v>
                </c:pt>
                <c:pt idx="554">
                  <c:v>6.5918000000000001</c:v>
                </c:pt>
                <c:pt idx="555">
                  <c:v>3.0109999999999997</c:v>
                </c:pt>
                <c:pt idx="556">
                  <c:v>7.0394000000000005</c:v>
                </c:pt>
                <c:pt idx="557">
                  <c:v>5.1744000000000003</c:v>
                </c:pt>
                <c:pt idx="558">
                  <c:v>3.6823999999999999</c:v>
                </c:pt>
                <c:pt idx="559">
                  <c:v>5.3236000000000008</c:v>
                </c:pt>
                <c:pt idx="560">
                  <c:v>6.2934000000000001</c:v>
                </c:pt>
                <c:pt idx="561">
                  <c:v>3.9807999999999999</c:v>
                </c:pt>
                <c:pt idx="562">
                  <c:v>3.0109999999999997</c:v>
                </c:pt>
                <c:pt idx="563">
                  <c:v>3.8315999999999999</c:v>
                </c:pt>
                <c:pt idx="564">
                  <c:v>2.8618000000000001</c:v>
                </c:pt>
                <c:pt idx="565">
                  <c:v>2.8618000000000001</c:v>
                </c:pt>
                <c:pt idx="566">
                  <c:v>2.4141999999999997</c:v>
                </c:pt>
                <c:pt idx="567">
                  <c:v>3.5331999999999999</c:v>
                </c:pt>
                <c:pt idx="568">
                  <c:v>3.3839999999999999</c:v>
                </c:pt>
                <c:pt idx="569">
                  <c:v>2.7871999999999999</c:v>
                </c:pt>
                <c:pt idx="570">
                  <c:v>1.5935999999999999</c:v>
                </c:pt>
                <c:pt idx="571">
                  <c:v>4.6522000000000006</c:v>
                </c:pt>
                <c:pt idx="572">
                  <c:v>3.9807999999999999</c:v>
                </c:pt>
                <c:pt idx="573">
                  <c:v>3.6077999999999997</c:v>
                </c:pt>
                <c:pt idx="574">
                  <c:v>3.9807999999999999</c:v>
                </c:pt>
                <c:pt idx="575">
                  <c:v>4.0554000000000006</c:v>
                </c:pt>
                <c:pt idx="576">
                  <c:v>3.3839999999999999</c:v>
                </c:pt>
                <c:pt idx="577">
                  <c:v>3.3093999999999997</c:v>
                </c:pt>
                <c:pt idx="586">
                  <c:v>6.6664000000000003</c:v>
                </c:pt>
                <c:pt idx="587">
                  <c:v>7.7108000000000008</c:v>
                </c:pt>
                <c:pt idx="588">
                  <c:v>7.1140000000000008</c:v>
                </c:pt>
                <c:pt idx="589">
                  <c:v>6.1442000000000005</c:v>
                </c:pt>
                <c:pt idx="590">
                  <c:v>4.8014000000000001</c:v>
                </c:pt>
                <c:pt idx="591">
                  <c:v>5.3236000000000008</c:v>
                </c:pt>
                <c:pt idx="592">
                  <c:v>5.4728000000000003</c:v>
                </c:pt>
                <c:pt idx="593">
                  <c:v>7.5616000000000003</c:v>
                </c:pt>
                <c:pt idx="594">
                  <c:v>5.7712000000000003</c:v>
                </c:pt>
                <c:pt idx="595">
                  <c:v>5.3236000000000008</c:v>
                </c:pt>
                <c:pt idx="596">
                  <c:v>5.2490000000000006</c:v>
                </c:pt>
                <c:pt idx="597">
                  <c:v>3.1602000000000001</c:v>
                </c:pt>
                <c:pt idx="598">
                  <c:v>3.9061999999999997</c:v>
                </c:pt>
                <c:pt idx="599">
                  <c:v>4.6522000000000006</c:v>
                </c:pt>
                <c:pt idx="600">
                  <c:v>5.6966000000000001</c:v>
                </c:pt>
                <c:pt idx="601">
                  <c:v>3.6823999999999999</c:v>
                </c:pt>
                <c:pt idx="602">
                  <c:v>3.4586000000000001</c:v>
                </c:pt>
                <c:pt idx="603">
                  <c:v>6.3680000000000003</c:v>
                </c:pt>
                <c:pt idx="604">
                  <c:v>6.0696000000000003</c:v>
                </c:pt>
                <c:pt idx="605">
                  <c:v>5.7712000000000003</c:v>
                </c:pt>
                <c:pt idx="606">
                  <c:v>6.2934000000000001</c:v>
                </c:pt>
                <c:pt idx="607">
                  <c:v>5.3982000000000001</c:v>
                </c:pt>
                <c:pt idx="608">
                  <c:v>4.9506000000000006</c:v>
                </c:pt>
                <c:pt idx="609">
                  <c:v>5.3982000000000001</c:v>
                </c:pt>
                <c:pt idx="610">
                  <c:v>5.9950000000000001</c:v>
                </c:pt>
                <c:pt idx="611">
                  <c:v>2.0411999999999999</c:v>
                </c:pt>
                <c:pt idx="612">
                  <c:v>2.2650000000000001</c:v>
                </c:pt>
                <c:pt idx="613">
                  <c:v>3.0109999999999997</c:v>
                </c:pt>
                <c:pt idx="614">
                  <c:v>3.5331999999999999</c:v>
                </c:pt>
                <c:pt idx="615">
                  <c:v>3.3093999999999997</c:v>
                </c:pt>
                <c:pt idx="616">
                  <c:v>4.7268000000000008</c:v>
                </c:pt>
                <c:pt idx="617">
                  <c:v>2.8618000000000001</c:v>
                </c:pt>
                <c:pt idx="618">
                  <c:v>2.6379999999999999</c:v>
                </c:pt>
                <c:pt idx="619">
                  <c:v>2.7125999999999997</c:v>
                </c:pt>
                <c:pt idx="620">
                  <c:v>3.8315999999999999</c:v>
                </c:pt>
                <c:pt idx="621">
                  <c:v>6.8155999999999999</c:v>
                </c:pt>
                <c:pt idx="622">
                  <c:v>8.7552000000000003</c:v>
                </c:pt>
                <c:pt idx="623">
                  <c:v>9.7249999999999996</c:v>
                </c:pt>
                <c:pt idx="624">
                  <c:v>7.2632000000000003</c:v>
                </c:pt>
                <c:pt idx="625">
                  <c:v>6.2934000000000001</c:v>
                </c:pt>
                <c:pt idx="626">
                  <c:v>7.86</c:v>
                </c:pt>
                <c:pt idx="627">
                  <c:v>5.3982000000000001</c:v>
                </c:pt>
                <c:pt idx="628">
                  <c:v>5.1744000000000003</c:v>
                </c:pt>
                <c:pt idx="629">
                  <c:v>3.3839999999999999</c:v>
                </c:pt>
                <c:pt idx="630">
                  <c:v>3.5331999999999999</c:v>
                </c:pt>
                <c:pt idx="631">
                  <c:v>3.5331999999999999</c:v>
                </c:pt>
                <c:pt idx="632">
                  <c:v>3.2347999999999999</c:v>
                </c:pt>
                <c:pt idx="633">
                  <c:v>3.9061999999999997</c:v>
                </c:pt>
                <c:pt idx="634">
                  <c:v>2.6379999999999999</c:v>
                </c:pt>
                <c:pt idx="635">
                  <c:v>3.7570000000000001</c:v>
                </c:pt>
                <c:pt idx="636">
                  <c:v>3.0109999999999997</c:v>
                </c:pt>
                <c:pt idx="637">
                  <c:v>3.3839999999999999</c:v>
                </c:pt>
                <c:pt idx="638">
                  <c:v>2.6379999999999999</c:v>
                </c:pt>
                <c:pt idx="639">
                  <c:v>2.4141999999999997</c:v>
                </c:pt>
                <c:pt idx="640">
                  <c:v>3.2347999999999999</c:v>
                </c:pt>
                <c:pt idx="641">
                  <c:v>3.3839999999999999</c:v>
                </c:pt>
                <c:pt idx="642">
                  <c:v>3.0109999999999997</c:v>
                </c:pt>
                <c:pt idx="643">
                  <c:v>3.5331999999999999</c:v>
                </c:pt>
                <c:pt idx="644">
                  <c:v>4.5776000000000003</c:v>
                </c:pt>
                <c:pt idx="645">
                  <c:v>4.13</c:v>
                </c:pt>
                <c:pt idx="646">
                  <c:v>3.0855999999999999</c:v>
                </c:pt>
                <c:pt idx="647">
                  <c:v>4.5776000000000003</c:v>
                </c:pt>
                <c:pt idx="648">
                  <c:v>1.5935999999999999</c:v>
                </c:pt>
                <c:pt idx="649">
                  <c:v>3.1602000000000001</c:v>
                </c:pt>
                <c:pt idx="650">
                  <c:v>3.0109999999999997</c:v>
                </c:pt>
                <c:pt idx="651">
                  <c:v>3.7570000000000001</c:v>
                </c:pt>
                <c:pt idx="652">
                  <c:v>3.0109999999999997</c:v>
                </c:pt>
                <c:pt idx="653">
                  <c:v>5.0251999999999999</c:v>
                </c:pt>
                <c:pt idx="654">
                  <c:v>2.4141999999999997</c:v>
                </c:pt>
                <c:pt idx="655">
                  <c:v>8.2330000000000005</c:v>
                </c:pt>
                <c:pt idx="656">
                  <c:v>10.3964</c:v>
                </c:pt>
                <c:pt idx="657">
                  <c:v>4.9506000000000006</c:v>
                </c:pt>
                <c:pt idx="658">
                  <c:v>2.4141999999999997</c:v>
                </c:pt>
                <c:pt idx="659">
                  <c:v>3.6823999999999999</c:v>
                </c:pt>
                <c:pt idx="660">
                  <c:v>2.4141999999999997</c:v>
                </c:pt>
                <c:pt idx="661">
                  <c:v>2.0411999999999999</c:v>
                </c:pt>
                <c:pt idx="662">
                  <c:v>1.3698000000000001</c:v>
                </c:pt>
                <c:pt idx="663">
                  <c:v>1.5190000000000001</c:v>
                </c:pt>
                <c:pt idx="664">
                  <c:v>2.0411999999999999</c:v>
                </c:pt>
                <c:pt idx="665">
                  <c:v>2.2650000000000001</c:v>
                </c:pt>
                <c:pt idx="666">
                  <c:v>3.3093999999999997</c:v>
                </c:pt>
                <c:pt idx="667">
                  <c:v>2.4887999999999999</c:v>
                </c:pt>
                <c:pt idx="668">
                  <c:v>1.8919999999999999</c:v>
                </c:pt>
                <c:pt idx="669">
                  <c:v>1.8919999999999999</c:v>
                </c:pt>
                <c:pt idx="670">
                  <c:v>2.1158000000000001</c:v>
                </c:pt>
                <c:pt idx="671">
                  <c:v>1.5190000000000001</c:v>
                </c:pt>
                <c:pt idx="672">
                  <c:v>2.5634000000000001</c:v>
                </c:pt>
                <c:pt idx="673">
                  <c:v>2.9363999999999999</c:v>
                </c:pt>
                <c:pt idx="674">
                  <c:v>1.5190000000000001</c:v>
                </c:pt>
                <c:pt idx="675">
                  <c:v>2.3395999999999999</c:v>
                </c:pt>
                <c:pt idx="676">
                  <c:v>3.0109999999999997</c:v>
                </c:pt>
                <c:pt idx="677">
                  <c:v>1.2951999999999999</c:v>
                </c:pt>
                <c:pt idx="678">
                  <c:v>1.5190000000000001</c:v>
                </c:pt>
                <c:pt idx="679">
                  <c:v>3.4586000000000001</c:v>
                </c:pt>
                <c:pt idx="680">
                  <c:v>3.0855999999999999</c:v>
                </c:pt>
                <c:pt idx="681">
                  <c:v>1.8919999999999999</c:v>
                </c:pt>
                <c:pt idx="682">
                  <c:v>1.8174000000000001</c:v>
                </c:pt>
                <c:pt idx="683">
                  <c:v>1.5935999999999999</c:v>
                </c:pt>
                <c:pt idx="684">
                  <c:v>1.3698000000000001</c:v>
                </c:pt>
                <c:pt idx="685">
                  <c:v>1.4443999999999999</c:v>
                </c:pt>
                <c:pt idx="686">
                  <c:v>1.3698000000000001</c:v>
                </c:pt>
                <c:pt idx="687">
                  <c:v>1.2206000000000001</c:v>
                </c:pt>
                <c:pt idx="688">
                  <c:v>1.2206000000000001</c:v>
                </c:pt>
                <c:pt idx="689">
                  <c:v>1.7427999999999999</c:v>
                </c:pt>
                <c:pt idx="690">
                  <c:v>1.3698000000000001</c:v>
                </c:pt>
                <c:pt idx="691">
                  <c:v>1.8174000000000001</c:v>
                </c:pt>
                <c:pt idx="692">
                  <c:v>0.99680000000000002</c:v>
                </c:pt>
                <c:pt idx="693">
                  <c:v>2.1903999999999999</c:v>
                </c:pt>
                <c:pt idx="694">
                  <c:v>2.4887999999999999</c:v>
                </c:pt>
                <c:pt idx="695">
                  <c:v>1.7427999999999999</c:v>
                </c:pt>
                <c:pt idx="696">
                  <c:v>1.3698000000000001</c:v>
                </c:pt>
                <c:pt idx="697">
                  <c:v>2.1158000000000001</c:v>
                </c:pt>
                <c:pt idx="698">
                  <c:v>1.7427999999999999</c:v>
                </c:pt>
                <c:pt idx="699">
                  <c:v>4.6522000000000006</c:v>
                </c:pt>
                <c:pt idx="700">
                  <c:v>4.0554000000000006</c:v>
                </c:pt>
                <c:pt idx="701">
                  <c:v>7.4870000000000001</c:v>
                </c:pt>
                <c:pt idx="702">
                  <c:v>5.6219999999999999</c:v>
                </c:pt>
                <c:pt idx="703">
                  <c:v>6.1442000000000005</c:v>
                </c:pt>
                <c:pt idx="704">
                  <c:v>9.2774000000000001</c:v>
                </c:pt>
                <c:pt idx="705">
                  <c:v>8.3076000000000008</c:v>
                </c:pt>
                <c:pt idx="706">
                  <c:v>8.0091999999999999</c:v>
                </c:pt>
                <c:pt idx="707">
                  <c:v>8.6806000000000001</c:v>
                </c:pt>
                <c:pt idx="708">
                  <c:v>6.5918000000000001</c:v>
                </c:pt>
                <c:pt idx="709">
                  <c:v>10.247200000000001</c:v>
                </c:pt>
                <c:pt idx="710">
                  <c:v>13.3058</c:v>
                </c:pt>
                <c:pt idx="711">
                  <c:v>13.3058</c:v>
                </c:pt>
                <c:pt idx="712">
                  <c:v>12.634400000000001</c:v>
                </c:pt>
                <c:pt idx="713">
                  <c:v>11.291600000000001</c:v>
                </c:pt>
                <c:pt idx="714">
                  <c:v>9.575800000000001</c:v>
                </c:pt>
                <c:pt idx="715">
                  <c:v>6.1442000000000005</c:v>
                </c:pt>
                <c:pt idx="716">
                  <c:v>4.8760000000000003</c:v>
                </c:pt>
                <c:pt idx="717">
                  <c:v>6.2187999999999999</c:v>
                </c:pt>
                <c:pt idx="718">
                  <c:v>2.5634000000000001</c:v>
                </c:pt>
                <c:pt idx="719">
                  <c:v>5.9950000000000001</c:v>
                </c:pt>
                <c:pt idx="720">
                  <c:v>3.8315999999999999</c:v>
                </c:pt>
                <c:pt idx="721">
                  <c:v>5.3982000000000001</c:v>
                </c:pt>
                <c:pt idx="722">
                  <c:v>3.4586000000000001</c:v>
                </c:pt>
                <c:pt idx="725">
                  <c:v>4.3538000000000006</c:v>
                </c:pt>
                <c:pt idx="726">
                  <c:v>2.3395999999999999</c:v>
                </c:pt>
                <c:pt idx="727">
                  <c:v>3.9807999999999999</c:v>
                </c:pt>
                <c:pt idx="728">
                  <c:v>6.2934000000000001</c:v>
                </c:pt>
                <c:pt idx="729">
                  <c:v>3.4586000000000001</c:v>
                </c:pt>
                <c:pt idx="730">
                  <c:v>4.4283999999999999</c:v>
                </c:pt>
                <c:pt idx="731">
                  <c:v>3.3839999999999999</c:v>
                </c:pt>
                <c:pt idx="732">
                  <c:v>1.5935999999999999</c:v>
                </c:pt>
                <c:pt idx="733">
                  <c:v>3.4586000000000001</c:v>
                </c:pt>
                <c:pt idx="734">
                  <c:v>3.7570000000000001</c:v>
                </c:pt>
                <c:pt idx="735">
                  <c:v>3.6823999999999999</c:v>
                </c:pt>
                <c:pt idx="736">
                  <c:v>2.8618000000000001</c:v>
                </c:pt>
                <c:pt idx="737">
                  <c:v>2.7871999999999999</c:v>
                </c:pt>
                <c:pt idx="738">
                  <c:v>2.2650000000000001</c:v>
                </c:pt>
                <c:pt idx="739">
                  <c:v>2.7125999999999997</c:v>
                </c:pt>
                <c:pt idx="740">
                  <c:v>5.9204000000000008</c:v>
                </c:pt>
                <c:pt idx="741">
                  <c:v>6.8155999999999999</c:v>
                </c:pt>
                <c:pt idx="742">
                  <c:v>8.1584000000000003</c:v>
                </c:pt>
                <c:pt idx="743">
                  <c:v>8.0838000000000001</c:v>
                </c:pt>
                <c:pt idx="744">
                  <c:v>8.0091999999999999</c:v>
                </c:pt>
                <c:pt idx="745">
                  <c:v>9.1281999999999996</c:v>
                </c:pt>
                <c:pt idx="746">
                  <c:v>8.5313999999999997</c:v>
                </c:pt>
                <c:pt idx="747">
                  <c:v>8.9044000000000008</c:v>
                </c:pt>
                <c:pt idx="748">
                  <c:v>11.1424</c:v>
                </c:pt>
                <c:pt idx="749">
                  <c:v>11.1424</c:v>
                </c:pt>
                <c:pt idx="750">
                  <c:v>12.2614</c:v>
                </c:pt>
                <c:pt idx="751">
                  <c:v>11.59</c:v>
                </c:pt>
                <c:pt idx="752">
                  <c:v>10.9932</c:v>
                </c:pt>
                <c:pt idx="753">
                  <c:v>11.5154</c:v>
                </c:pt>
                <c:pt idx="754">
                  <c:v>10.471</c:v>
                </c:pt>
                <c:pt idx="755">
                  <c:v>10.023400000000001</c:v>
                </c:pt>
                <c:pt idx="756">
                  <c:v>10.247200000000001</c:v>
                </c:pt>
                <c:pt idx="757">
                  <c:v>11.440800000000001</c:v>
                </c:pt>
                <c:pt idx="758">
                  <c:v>12.7836</c:v>
                </c:pt>
                <c:pt idx="759">
                  <c:v>13.3058</c:v>
                </c:pt>
                <c:pt idx="760">
                  <c:v>13.455</c:v>
                </c:pt>
                <c:pt idx="761">
                  <c:v>11.963000000000001</c:v>
                </c:pt>
                <c:pt idx="762">
                  <c:v>11.6646</c:v>
                </c:pt>
                <c:pt idx="763">
                  <c:v>10.247200000000001</c:v>
                </c:pt>
                <c:pt idx="764">
                  <c:v>9.4266000000000005</c:v>
                </c:pt>
                <c:pt idx="765">
                  <c:v>10.172600000000001</c:v>
                </c:pt>
                <c:pt idx="766">
                  <c:v>10.5456</c:v>
                </c:pt>
                <c:pt idx="767">
                  <c:v>7.9346000000000005</c:v>
                </c:pt>
                <c:pt idx="768">
                  <c:v>7.4123999999999999</c:v>
                </c:pt>
                <c:pt idx="769">
                  <c:v>8.1584000000000003</c:v>
                </c:pt>
                <c:pt idx="770">
                  <c:v>9.1281999999999996</c:v>
                </c:pt>
                <c:pt idx="771">
                  <c:v>8.2330000000000005</c:v>
                </c:pt>
                <c:pt idx="772">
                  <c:v>8.1584000000000003</c:v>
                </c:pt>
                <c:pt idx="773">
                  <c:v>8.0838000000000001</c:v>
                </c:pt>
                <c:pt idx="774">
                  <c:v>7.7854000000000001</c:v>
                </c:pt>
                <c:pt idx="775">
                  <c:v>6.5918000000000001</c:v>
                </c:pt>
                <c:pt idx="776">
                  <c:v>6.1442000000000005</c:v>
                </c:pt>
                <c:pt idx="777">
                  <c:v>6.7410000000000005</c:v>
                </c:pt>
                <c:pt idx="778">
                  <c:v>5.9204000000000008</c:v>
                </c:pt>
                <c:pt idx="779">
                  <c:v>4.8014000000000001</c:v>
                </c:pt>
                <c:pt idx="780">
                  <c:v>4.3538000000000006</c:v>
                </c:pt>
                <c:pt idx="781">
                  <c:v>3.8315999999999999</c:v>
                </c:pt>
                <c:pt idx="782">
                  <c:v>3.3839999999999999</c:v>
                </c:pt>
                <c:pt idx="783">
                  <c:v>3.1602000000000001</c:v>
                </c:pt>
                <c:pt idx="784">
                  <c:v>2.7871999999999999</c:v>
                </c:pt>
                <c:pt idx="786">
                  <c:v>1.8174000000000001</c:v>
                </c:pt>
                <c:pt idx="787">
                  <c:v>1.3698000000000001</c:v>
                </c:pt>
                <c:pt idx="788">
                  <c:v>3.2347999999999999</c:v>
                </c:pt>
                <c:pt idx="789">
                  <c:v>3.9807999999999999</c:v>
                </c:pt>
                <c:pt idx="790">
                  <c:v>4.8014000000000001</c:v>
                </c:pt>
                <c:pt idx="791">
                  <c:v>5.2490000000000006</c:v>
                </c:pt>
                <c:pt idx="792">
                  <c:v>5.3982000000000001</c:v>
                </c:pt>
                <c:pt idx="793">
                  <c:v>5.9950000000000001</c:v>
                </c:pt>
                <c:pt idx="794">
                  <c:v>5.6966000000000001</c:v>
                </c:pt>
                <c:pt idx="795">
                  <c:v>5.9950000000000001</c:v>
                </c:pt>
                <c:pt idx="796">
                  <c:v>5.9204000000000008</c:v>
                </c:pt>
                <c:pt idx="797">
                  <c:v>6.5918000000000001</c:v>
                </c:pt>
                <c:pt idx="798">
                  <c:v>5.6966000000000001</c:v>
                </c:pt>
                <c:pt idx="799">
                  <c:v>5.2490000000000006</c:v>
                </c:pt>
                <c:pt idx="800">
                  <c:v>6.4426000000000005</c:v>
                </c:pt>
                <c:pt idx="801">
                  <c:v>5.9204000000000008</c:v>
                </c:pt>
                <c:pt idx="802">
                  <c:v>3.4586000000000001</c:v>
                </c:pt>
                <c:pt idx="803">
                  <c:v>2.4141999999999997</c:v>
                </c:pt>
                <c:pt idx="804">
                  <c:v>2.7125999999999997</c:v>
                </c:pt>
                <c:pt idx="805">
                  <c:v>3.5331999999999999</c:v>
                </c:pt>
                <c:pt idx="806">
                  <c:v>5.8458000000000006</c:v>
                </c:pt>
                <c:pt idx="807">
                  <c:v>10.023400000000001</c:v>
                </c:pt>
                <c:pt idx="808">
                  <c:v>10.172600000000001</c:v>
                </c:pt>
                <c:pt idx="809">
                  <c:v>9.2774000000000001</c:v>
                </c:pt>
                <c:pt idx="810">
                  <c:v>8.1584000000000003</c:v>
                </c:pt>
                <c:pt idx="811">
                  <c:v>8.5313999999999997</c:v>
                </c:pt>
                <c:pt idx="812">
                  <c:v>8.3821999999999992</c:v>
                </c:pt>
                <c:pt idx="813">
                  <c:v>8.2330000000000005</c:v>
                </c:pt>
                <c:pt idx="814">
                  <c:v>8.0838000000000001</c:v>
                </c:pt>
                <c:pt idx="815">
                  <c:v>8.3076000000000008</c:v>
                </c:pt>
                <c:pt idx="816">
                  <c:v>8.7552000000000003</c:v>
                </c:pt>
                <c:pt idx="817">
                  <c:v>8.6059999999999999</c:v>
                </c:pt>
                <c:pt idx="818">
                  <c:v>8.2330000000000005</c:v>
                </c:pt>
                <c:pt idx="819">
                  <c:v>7.7854000000000001</c:v>
                </c:pt>
                <c:pt idx="820">
                  <c:v>7.9346000000000005</c:v>
                </c:pt>
                <c:pt idx="821">
                  <c:v>8.1584000000000003</c:v>
                </c:pt>
                <c:pt idx="822">
                  <c:v>8.3076000000000008</c:v>
                </c:pt>
                <c:pt idx="823">
                  <c:v>7.0394000000000005</c:v>
                </c:pt>
                <c:pt idx="824">
                  <c:v>7.1886000000000001</c:v>
                </c:pt>
                <c:pt idx="825">
                  <c:v>6.6664000000000003</c:v>
                </c:pt>
                <c:pt idx="826">
                  <c:v>6.2187999999999999</c:v>
                </c:pt>
                <c:pt idx="827">
                  <c:v>6.2187999999999999</c:v>
                </c:pt>
                <c:pt idx="828">
                  <c:v>5.7712000000000003</c:v>
                </c:pt>
                <c:pt idx="829">
                  <c:v>5.0251999999999999</c:v>
                </c:pt>
                <c:pt idx="830">
                  <c:v>4.0554000000000006</c:v>
                </c:pt>
                <c:pt idx="831">
                  <c:v>3.6823999999999999</c:v>
                </c:pt>
                <c:pt idx="832">
                  <c:v>2.0411999999999999</c:v>
                </c:pt>
                <c:pt idx="833">
                  <c:v>2.1158000000000001</c:v>
                </c:pt>
                <c:pt idx="834">
                  <c:v>2.1158000000000001</c:v>
                </c:pt>
                <c:pt idx="835">
                  <c:v>2.0411999999999999</c:v>
                </c:pt>
                <c:pt idx="836">
                  <c:v>2.6379999999999999</c:v>
                </c:pt>
                <c:pt idx="837">
                  <c:v>2.1158000000000001</c:v>
                </c:pt>
                <c:pt idx="838">
                  <c:v>1.9666000000000001</c:v>
                </c:pt>
                <c:pt idx="839">
                  <c:v>1.2206000000000001</c:v>
                </c:pt>
                <c:pt idx="840">
                  <c:v>0.47460000000000002</c:v>
                </c:pt>
                <c:pt idx="841">
                  <c:v>0.99680000000000002</c:v>
                </c:pt>
                <c:pt idx="842">
                  <c:v>1.4443999999999999</c:v>
                </c:pt>
                <c:pt idx="843">
                  <c:v>2.7125999999999997</c:v>
                </c:pt>
                <c:pt idx="844">
                  <c:v>3.6823999999999999</c:v>
                </c:pt>
                <c:pt idx="845">
                  <c:v>3.7570000000000001</c:v>
                </c:pt>
                <c:pt idx="846">
                  <c:v>4.0554000000000006</c:v>
                </c:pt>
                <c:pt idx="847">
                  <c:v>4.0554000000000006</c:v>
                </c:pt>
                <c:pt idx="848">
                  <c:v>3.9061999999999997</c:v>
                </c:pt>
                <c:pt idx="849">
                  <c:v>4.2046000000000001</c:v>
                </c:pt>
                <c:pt idx="850">
                  <c:v>5.3982000000000001</c:v>
                </c:pt>
                <c:pt idx="851">
                  <c:v>5.1744000000000003</c:v>
                </c:pt>
                <c:pt idx="852">
                  <c:v>5.6966000000000001</c:v>
                </c:pt>
                <c:pt idx="853">
                  <c:v>6.0696000000000003</c:v>
                </c:pt>
                <c:pt idx="854">
                  <c:v>6.0696000000000003</c:v>
                </c:pt>
                <c:pt idx="855">
                  <c:v>6.4426000000000005</c:v>
                </c:pt>
                <c:pt idx="856">
                  <c:v>6.7410000000000005</c:v>
                </c:pt>
                <c:pt idx="857">
                  <c:v>7.9346000000000005</c:v>
                </c:pt>
                <c:pt idx="858">
                  <c:v>9.1281999999999996</c:v>
                </c:pt>
                <c:pt idx="859">
                  <c:v>8.4567999999999994</c:v>
                </c:pt>
                <c:pt idx="860">
                  <c:v>7.6362000000000005</c:v>
                </c:pt>
                <c:pt idx="861">
                  <c:v>6.3680000000000003</c:v>
                </c:pt>
                <c:pt idx="862">
                  <c:v>5.4728000000000003</c:v>
                </c:pt>
                <c:pt idx="863">
                  <c:v>4.8014000000000001</c:v>
                </c:pt>
                <c:pt idx="864">
                  <c:v>5.1744000000000003</c:v>
                </c:pt>
                <c:pt idx="865">
                  <c:v>3.9807999999999999</c:v>
                </c:pt>
                <c:pt idx="866">
                  <c:v>2.5634000000000001</c:v>
                </c:pt>
                <c:pt idx="867">
                  <c:v>3.9807999999999999</c:v>
                </c:pt>
                <c:pt idx="868">
                  <c:v>3.9061999999999997</c:v>
                </c:pt>
                <c:pt idx="869">
                  <c:v>3.6823999999999999</c:v>
                </c:pt>
                <c:pt idx="870">
                  <c:v>3.9061999999999997</c:v>
                </c:pt>
                <c:pt idx="871">
                  <c:v>2.7871999999999999</c:v>
                </c:pt>
                <c:pt idx="872">
                  <c:v>1.1459999999999999</c:v>
                </c:pt>
                <c:pt idx="873">
                  <c:v>1.8174000000000001</c:v>
                </c:pt>
                <c:pt idx="874">
                  <c:v>2.1903999999999999</c:v>
                </c:pt>
                <c:pt idx="875">
                  <c:v>1.7427999999999999</c:v>
                </c:pt>
                <c:pt idx="876">
                  <c:v>1.9666000000000001</c:v>
                </c:pt>
                <c:pt idx="877">
                  <c:v>1.7427999999999999</c:v>
                </c:pt>
                <c:pt idx="878">
                  <c:v>0.84760000000000002</c:v>
                </c:pt>
                <c:pt idx="879">
                  <c:v>1.6682000000000001</c:v>
                </c:pt>
                <c:pt idx="880">
                  <c:v>1.2206000000000001</c:v>
                </c:pt>
                <c:pt idx="881">
                  <c:v>0.4</c:v>
                </c:pt>
                <c:pt idx="882">
                  <c:v>1.9666000000000001</c:v>
                </c:pt>
                <c:pt idx="883">
                  <c:v>1.5190000000000001</c:v>
                </c:pt>
                <c:pt idx="884">
                  <c:v>0.62380000000000002</c:v>
                </c:pt>
                <c:pt idx="885">
                  <c:v>0.4</c:v>
                </c:pt>
                <c:pt idx="886">
                  <c:v>1.0714000000000001</c:v>
                </c:pt>
                <c:pt idx="887">
                  <c:v>1.2206000000000001</c:v>
                </c:pt>
                <c:pt idx="888">
                  <c:v>1.0714000000000001</c:v>
                </c:pt>
                <c:pt idx="889">
                  <c:v>0.77300000000000002</c:v>
                </c:pt>
                <c:pt idx="890">
                  <c:v>0.69840000000000002</c:v>
                </c:pt>
                <c:pt idx="891">
                  <c:v>0.62380000000000002</c:v>
                </c:pt>
                <c:pt idx="892">
                  <c:v>1.2206000000000001</c:v>
                </c:pt>
                <c:pt idx="893">
                  <c:v>1.1459999999999999</c:v>
                </c:pt>
                <c:pt idx="894">
                  <c:v>1.6682000000000001</c:v>
                </c:pt>
                <c:pt idx="895">
                  <c:v>2.4887999999999999</c:v>
                </c:pt>
                <c:pt idx="896">
                  <c:v>2.4141999999999997</c:v>
                </c:pt>
                <c:pt idx="897">
                  <c:v>1.8174000000000001</c:v>
                </c:pt>
                <c:pt idx="898">
                  <c:v>1.3698000000000001</c:v>
                </c:pt>
                <c:pt idx="899">
                  <c:v>0.62380000000000002</c:v>
                </c:pt>
                <c:pt idx="900">
                  <c:v>1.2206000000000001</c:v>
                </c:pt>
                <c:pt idx="901">
                  <c:v>1.7427999999999999</c:v>
                </c:pt>
                <c:pt idx="902">
                  <c:v>1.9666000000000001</c:v>
                </c:pt>
                <c:pt idx="903">
                  <c:v>1.3698000000000001</c:v>
                </c:pt>
                <c:pt idx="904">
                  <c:v>1.5190000000000001</c:v>
                </c:pt>
                <c:pt idx="905">
                  <c:v>1.2206000000000001</c:v>
                </c:pt>
                <c:pt idx="906">
                  <c:v>1.2951999999999999</c:v>
                </c:pt>
                <c:pt idx="907">
                  <c:v>0.84760000000000002</c:v>
                </c:pt>
                <c:pt idx="908">
                  <c:v>0.99680000000000002</c:v>
                </c:pt>
                <c:pt idx="909">
                  <c:v>2.2650000000000001</c:v>
                </c:pt>
                <c:pt idx="910">
                  <c:v>2.1903999999999999</c:v>
                </c:pt>
                <c:pt idx="911">
                  <c:v>1.8919999999999999</c:v>
                </c:pt>
                <c:pt idx="912">
                  <c:v>1.2951999999999999</c:v>
                </c:pt>
                <c:pt idx="913">
                  <c:v>1.2206000000000001</c:v>
                </c:pt>
                <c:pt idx="914">
                  <c:v>1.3698000000000001</c:v>
                </c:pt>
                <c:pt idx="915">
                  <c:v>2.0411999999999999</c:v>
                </c:pt>
                <c:pt idx="916">
                  <c:v>2.0411999999999999</c:v>
                </c:pt>
                <c:pt idx="917">
                  <c:v>2.4141999999999997</c:v>
                </c:pt>
                <c:pt idx="918">
                  <c:v>2.1903999999999999</c:v>
                </c:pt>
                <c:pt idx="919">
                  <c:v>1.6682000000000001</c:v>
                </c:pt>
                <c:pt idx="920">
                  <c:v>1.8919999999999999</c:v>
                </c:pt>
                <c:pt idx="921">
                  <c:v>1.5190000000000001</c:v>
                </c:pt>
                <c:pt idx="922">
                  <c:v>1.5935999999999999</c:v>
                </c:pt>
                <c:pt idx="923">
                  <c:v>1.7427999999999999</c:v>
                </c:pt>
                <c:pt idx="924">
                  <c:v>1.7427999999999999</c:v>
                </c:pt>
                <c:pt idx="925">
                  <c:v>1.0714000000000001</c:v>
                </c:pt>
                <c:pt idx="926">
                  <c:v>1.7427999999999999</c:v>
                </c:pt>
                <c:pt idx="927">
                  <c:v>2.4887999999999999</c:v>
                </c:pt>
                <c:pt idx="928">
                  <c:v>2.1903999999999999</c:v>
                </c:pt>
                <c:pt idx="929">
                  <c:v>1.7427999999999999</c:v>
                </c:pt>
                <c:pt idx="930">
                  <c:v>2.1158000000000001</c:v>
                </c:pt>
                <c:pt idx="931">
                  <c:v>2.1158000000000001</c:v>
                </c:pt>
                <c:pt idx="932">
                  <c:v>2.3395999999999999</c:v>
                </c:pt>
                <c:pt idx="933">
                  <c:v>3.2347999999999999</c:v>
                </c:pt>
                <c:pt idx="934">
                  <c:v>2.3395999999999999</c:v>
                </c:pt>
                <c:pt idx="935">
                  <c:v>1.5935999999999999</c:v>
                </c:pt>
                <c:pt idx="936">
                  <c:v>0.69840000000000002</c:v>
                </c:pt>
                <c:pt idx="937">
                  <c:v>1.8919999999999999</c:v>
                </c:pt>
                <c:pt idx="938">
                  <c:v>3.3093999999999997</c:v>
                </c:pt>
                <c:pt idx="939">
                  <c:v>5.3236000000000008</c:v>
                </c:pt>
                <c:pt idx="940">
                  <c:v>7.6362000000000005</c:v>
                </c:pt>
                <c:pt idx="941">
                  <c:v>8.4567999999999994</c:v>
                </c:pt>
                <c:pt idx="942">
                  <c:v>8.2330000000000005</c:v>
                </c:pt>
                <c:pt idx="943">
                  <c:v>8.1584000000000003</c:v>
                </c:pt>
                <c:pt idx="944">
                  <c:v>8.5313999999999997</c:v>
                </c:pt>
                <c:pt idx="945">
                  <c:v>8.979000000000001</c:v>
                </c:pt>
                <c:pt idx="946">
                  <c:v>8.4567999999999994</c:v>
                </c:pt>
                <c:pt idx="947">
                  <c:v>9.1281999999999996</c:v>
                </c:pt>
                <c:pt idx="948">
                  <c:v>9.4266000000000005</c:v>
                </c:pt>
                <c:pt idx="949">
                  <c:v>9.4266000000000005</c:v>
                </c:pt>
                <c:pt idx="950">
                  <c:v>10.023400000000001</c:v>
                </c:pt>
                <c:pt idx="951">
                  <c:v>9.9488000000000003</c:v>
                </c:pt>
                <c:pt idx="952">
                  <c:v>7.6362000000000005</c:v>
                </c:pt>
                <c:pt idx="953">
                  <c:v>4.5776000000000003</c:v>
                </c:pt>
                <c:pt idx="954">
                  <c:v>3.4586000000000001</c:v>
                </c:pt>
                <c:pt idx="955">
                  <c:v>3.9807999999999999</c:v>
                </c:pt>
                <c:pt idx="956">
                  <c:v>4.13</c:v>
                </c:pt>
                <c:pt idx="957">
                  <c:v>2.2650000000000001</c:v>
                </c:pt>
                <c:pt idx="958">
                  <c:v>2.1903999999999999</c:v>
                </c:pt>
                <c:pt idx="959">
                  <c:v>3.1602000000000001</c:v>
                </c:pt>
                <c:pt idx="960">
                  <c:v>2.4141999999999997</c:v>
                </c:pt>
                <c:pt idx="961">
                  <c:v>1.8174000000000001</c:v>
                </c:pt>
                <c:pt idx="962">
                  <c:v>2.3395999999999999</c:v>
                </c:pt>
                <c:pt idx="963">
                  <c:v>3.0855999999999999</c:v>
                </c:pt>
                <c:pt idx="964">
                  <c:v>3.6823999999999999</c:v>
                </c:pt>
                <c:pt idx="965">
                  <c:v>2.6379999999999999</c:v>
                </c:pt>
                <c:pt idx="966">
                  <c:v>2.5634000000000001</c:v>
                </c:pt>
                <c:pt idx="967">
                  <c:v>3.0855999999999999</c:v>
                </c:pt>
                <c:pt idx="977">
                  <c:v>4.6522000000000006</c:v>
                </c:pt>
                <c:pt idx="978">
                  <c:v>2.4141999999999997</c:v>
                </c:pt>
                <c:pt idx="979">
                  <c:v>1.8174000000000001</c:v>
                </c:pt>
                <c:pt idx="980">
                  <c:v>3.1602000000000001</c:v>
                </c:pt>
                <c:pt idx="981">
                  <c:v>2.1903999999999999</c:v>
                </c:pt>
                <c:pt idx="982">
                  <c:v>1.8919999999999999</c:v>
                </c:pt>
                <c:pt idx="983">
                  <c:v>3.6077999999999997</c:v>
                </c:pt>
                <c:pt idx="984">
                  <c:v>4.8760000000000003</c:v>
                </c:pt>
                <c:pt idx="985">
                  <c:v>3.0855999999999999</c:v>
                </c:pt>
                <c:pt idx="986">
                  <c:v>2.2650000000000001</c:v>
                </c:pt>
                <c:pt idx="987">
                  <c:v>4.4283999999999999</c:v>
                </c:pt>
                <c:pt idx="988">
                  <c:v>3.9807999999999999</c:v>
                </c:pt>
                <c:pt idx="989">
                  <c:v>1.9666000000000001</c:v>
                </c:pt>
                <c:pt idx="990">
                  <c:v>2.5634000000000001</c:v>
                </c:pt>
                <c:pt idx="991">
                  <c:v>1.5935999999999999</c:v>
                </c:pt>
                <c:pt idx="992">
                  <c:v>1.6682000000000001</c:v>
                </c:pt>
                <c:pt idx="993">
                  <c:v>3.5331999999999999</c:v>
                </c:pt>
                <c:pt idx="994">
                  <c:v>4.5776000000000003</c:v>
                </c:pt>
                <c:pt idx="995">
                  <c:v>2.1903999999999999</c:v>
                </c:pt>
                <c:pt idx="996">
                  <c:v>1.0714000000000001</c:v>
                </c:pt>
                <c:pt idx="997">
                  <c:v>3.5331999999999999</c:v>
                </c:pt>
                <c:pt idx="998">
                  <c:v>3.9061999999999997</c:v>
                </c:pt>
                <c:pt idx="999">
                  <c:v>2.7871999999999999</c:v>
                </c:pt>
                <c:pt idx="1000">
                  <c:v>2.4887999999999999</c:v>
                </c:pt>
                <c:pt idx="1001">
                  <c:v>2.2650000000000001</c:v>
                </c:pt>
                <c:pt idx="1002">
                  <c:v>3.3839999999999999</c:v>
                </c:pt>
                <c:pt idx="1003">
                  <c:v>2.3395999999999999</c:v>
                </c:pt>
                <c:pt idx="1004">
                  <c:v>1.1459999999999999</c:v>
                </c:pt>
                <c:pt idx="1005">
                  <c:v>2.1903999999999999</c:v>
                </c:pt>
                <c:pt idx="1006">
                  <c:v>2.7125999999999997</c:v>
                </c:pt>
                <c:pt idx="1007">
                  <c:v>3.2347999999999999</c:v>
                </c:pt>
                <c:pt idx="1008">
                  <c:v>3.0109999999999997</c:v>
                </c:pt>
                <c:pt idx="1009">
                  <c:v>1.9666000000000001</c:v>
                </c:pt>
                <c:pt idx="1010">
                  <c:v>1.8919999999999999</c:v>
                </c:pt>
                <c:pt idx="1011">
                  <c:v>2.7871999999999999</c:v>
                </c:pt>
                <c:pt idx="1012">
                  <c:v>3.3093999999999997</c:v>
                </c:pt>
                <c:pt idx="1013">
                  <c:v>4.13</c:v>
                </c:pt>
                <c:pt idx="1014">
                  <c:v>3.6077999999999997</c:v>
                </c:pt>
                <c:pt idx="1015">
                  <c:v>1.4443999999999999</c:v>
                </c:pt>
                <c:pt idx="1016">
                  <c:v>1.7427999999999999</c:v>
                </c:pt>
                <c:pt idx="1017">
                  <c:v>1.5190000000000001</c:v>
                </c:pt>
                <c:pt idx="1018">
                  <c:v>2.3395999999999999</c:v>
                </c:pt>
                <c:pt idx="1019">
                  <c:v>1.4443999999999999</c:v>
                </c:pt>
                <c:pt idx="1020">
                  <c:v>1.5935999999999999</c:v>
                </c:pt>
                <c:pt idx="1021">
                  <c:v>2.4141999999999997</c:v>
                </c:pt>
                <c:pt idx="1022">
                  <c:v>2.5634000000000001</c:v>
                </c:pt>
                <c:pt idx="1023">
                  <c:v>3.2347999999999999</c:v>
                </c:pt>
                <c:pt idx="1024">
                  <c:v>5.1744000000000003</c:v>
                </c:pt>
                <c:pt idx="1025">
                  <c:v>5.9204000000000008</c:v>
                </c:pt>
                <c:pt idx="1026">
                  <c:v>8.9044000000000008</c:v>
                </c:pt>
                <c:pt idx="1027">
                  <c:v>9.2027999999999999</c:v>
                </c:pt>
                <c:pt idx="1028">
                  <c:v>8.7552000000000003</c:v>
                </c:pt>
                <c:pt idx="1029">
                  <c:v>8.9044000000000008</c:v>
                </c:pt>
                <c:pt idx="1030">
                  <c:v>9.6503999999999994</c:v>
                </c:pt>
                <c:pt idx="1031">
                  <c:v>8.6059999999999999</c:v>
                </c:pt>
                <c:pt idx="1032">
                  <c:v>6.2934000000000001</c:v>
                </c:pt>
                <c:pt idx="1033">
                  <c:v>8.3076000000000008</c:v>
                </c:pt>
                <c:pt idx="1034">
                  <c:v>8.3076000000000008</c:v>
                </c:pt>
                <c:pt idx="1035">
                  <c:v>4.8760000000000003</c:v>
                </c:pt>
                <c:pt idx="1036">
                  <c:v>3.0109999999999997</c:v>
                </c:pt>
                <c:pt idx="1037">
                  <c:v>3.9807999999999999</c:v>
                </c:pt>
                <c:pt idx="1038">
                  <c:v>2.8618000000000001</c:v>
                </c:pt>
                <c:pt idx="1039">
                  <c:v>3.4586000000000001</c:v>
                </c:pt>
                <c:pt idx="1040">
                  <c:v>2.7125999999999997</c:v>
                </c:pt>
                <c:pt idx="1041">
                  <c:v>3.9807999999999999</c:v>
                </c:pt>
                <c:pt idx="1042">
                  <c:v>2.6379999999999999</c:v>
                </c:pt>
                <c:pt idx="1043">
                  <c:v>6.5918000000000001</c:v>
                </c:pt>
                <c:pt idx="1044">
                  <c:v>6.6664000000000003</c:v>
                </c:pt>
                <c:pt idx="1045">
                  <c:v>4.8760000000000003</c:v>
                </c:pt>
                <c:pt idx="1046">
                  <c:v>5.0998000000000001</c:v>
                </c:pt>
                <c:pt idx="1047">
                  <c:v>5.6966000000000001</c:v>
                </c:pt>
                <c:pt idx="1048">
                  <c:v>2.7871999999999999</c:v>
                </c:pt>
                <c:pt idx="1049">
                  <c:v>5.8458000000000006</c:v>
                </c:pt>
                <c:pt idx="1050">
                  <c:v>4.13</c:v>
                </c:pt>
                <c:pt idx="1051">
                  <c:v>4.3538000000000006</c:v>
                </c:pt>
                <c:pt idx="1052">
                  <c:v>8.8298000000000005</c:v>
                </c:pt>
                <c:pt idx="1053">
                  <c:v>8.0091999999999999</c:v>
                </c:pt>
                <c:pt idx="1054">
                  <c:v>4.5030000000000001</c:v>
                </c:pt>
                <c:pt idx="1055">
                  <c:v>2.7125999999999997</c:v>
                </c:pt>
                <c:pt idx="1056">
                  <c:v>3.9061999999999997</c:v>
                </c:pt>
                <c:pt idx="1057">
                  <c:v>3.2347999999999999</c:v>
                </c:pt>
                <c:pt idx="1058">
                  <c:v>1.5190000000000001</c:v>
                </c:pt>
                <c:pt idx="1059">
                  <c:v>3.0109999999999997</c:v>
                </c:pt>
                <c:pt idx="1060">
                  <c:v>4.8014000000000001</c:v>
                </c:pt>
                <c:pt idx="1061">
                  <c:v>4.0554000000000006</c:v>
                </c:pt>
                <c:pt idx="1062">
                  <c:v>9.5012000000000008</c:v>
                </c:pt>
                <c:pt idx="1063">
                  <c:v>13.007400000000001</c:v>
                </c:pt>
                <c:pt idx="1064">
                  <c:v>12.1868</c:v>
                </c:pt>
                <c:pt idx="1065">
                  <c:v>12.1122</c:v>
                </c:pt>
                <c:pt idx="1066">
                  <c:v>13.082000000000001</c:v>
                </c:pt>
                <c:pt idx="1067">
                  <c:v>14.6486</c:v>
                </c:pt>
                <c:pt idx="1068">
                  <c:v>12.336</c:v>
                </c:pt>
                <c:pt idx="1069">
                  <c:v>3.6823999999999999</c:v>
                </c:pt>
                <c:pt idx="1070">
                  <c:v>5.2490000000000006</c:v>
                </c:pt>
                <c:pt idx="1071">
                  <c:v>4.4283999999999999</c:v>
                </c:pt>
                <c:pt idx="1072">
                  <c:v>5.3236000000000008</c:v>
                </c:pt>
                <c:pt idx="1073">
                  <c:v>4.13</c:v>
                </c:pt>
                <c:pt idx="1074">
                  <c:v>4.5776000000000003</c:v>
                </c:pt>
                <c:pt idx="1075">
                  <c:v>5.3236000000000008</c:v>
                </c:pt>
                <c:pt idx="1076">
                  <c:v>8.6806000000000001</c:v>
                </c:pt>
                <c:pt idx="1077">
                  <c:v>6.3680000000000003</c:v>
                </c:pt>
                <c:pt idx="1078">
                  <c:v>9.0536000000000012</c:v>
                </c:pt>
                <c:pt idx="1079">
                  <c:v>9.2027999999999999</c:v>
                </c:pt>
                <c:pt idx="1080">
                  <c:v>8.3076000000000008</c:v>
                </c:pt>
                <c:pt idx="1081">
                  <c:v>11.1424</c:v>
                </c:pt>
                <c:pt idx="1082">
                  <c:v>6.8902000000000001</c:v>
                </c:pt>
                <c:pt idx="1083">
                  <c:v>8.2330000000000005</c:v>
                </c:pt>
                <c:pt idx="1084">
                  <c:v>6.9648000000000003</c:v>
                </c:pt>
                <c:pt idx="1085">
                  <c:v>5.0998000000000001</c:v>
                </c:pt>
                <c:pt idx="1086">
                  <c:v>5.3236000000000008</c:v>
                </c:pt>
                <c:pt idx="1087">
                  <c:v>3.4586000000000001</c:v>
                </c:pt>
                <c:pt idx="1088">
                  <c:v>3.9061999999999997</c:v>
                </c:pt>
                <c:pt idx="1089">
                  <c:v>3.1602000000000001</c:v>
                </c:pt>
                <c:pt idx="1090">
                  <c:v>4.4283999999999999</c:v>
                </c:pt>
                <c:pt idx="1091">
                  <c:v>2.7125999999999997</c:v>
                </c:pt>
                <c:pt idx="1092">
                  <c:v>3.2347999999999999</c:v>
                </c:pt>
                <c:pt idx="1093">
                  <c:v>3.1602000000000001</c:v>
                </c:pt>
                <c:pt idx="1094">
                  <c:v>2.7125999999999997</c:v>
                </c:pt>
                <c:pt idx="1095">
                  <c:v>1.6682000000000001</c:v>
                </c:pt>
                <c:pt idx="1096">
                  <c:v>1.4443999999999999</c:v>
                </c:pt>
                <c:pt idx="1097">
                  <c:v>4.9506000000000006</c:v>
                </c:pt>
                <c:pt idx="1098">
                  <c:v>12.410600000000001</c:v>
                </c:pt>
                <c:pt idx="1099">
                  <c:v>12.559800000000001</c:v>
                </c:pt>
                <c:pt idx="1100">
                  <c:v>13.9026</c:v>
                </c:pt>
                <c:pt idx="1101">
                  <c:v>13.082000000000001</c:v>
                </c:pt>
                <c:pt idx="1102">
                  <c:v>13.678800000000001</c:v>
                </c:pt>
                <c:pt idx="1103">
                  <c:v>13.156600000000001</c:v>
                </c:pt>
                <c:pt idx="1104">
                  <c:v>10.769400000000001</c:v>
                </c:pt>
                <c:pt idx="1105">
                  <c:v>8.7552000000000003</c:v>
                </c:pt>
                <c:pt idx="1106">
                  <c:v>4.8760000000000003</c:v>
                </c:pt>
                <c:pt idx="1107">
                  <c:v>5.6219999999999999</c:v>
                </c:pt>
                <c:pt idx="1108">
                  <c:v>3.5331999999999999</c:v>
                </c:pt>
                <c:pt idx="1109">
                  <c:v>4.7268000000000008</c:v>
                </c:pt>
                <c:pt idx="1110">
                  <c:v>4.6522000000000006</c:v>
                </c:pt>
                <c:pt idx="1111">
                  <c:v>3.7570000000000001</c:v>
                </c:pt>
                <c:pt idx="1112">
                  <c:v>3.6077999999999997</c:v>
                </c:pt>
                <c:pt idx="1113">
                  <c:v>3.7570000000000001</c:v>
                </c:pt>
                <c:pt idx="1114">
                  <c:v>5.1744000000000003</c:v>
                </c:pt>
                <c:pt idx="1115">
                  <c:v>2.2650000000000001</c:v>
                </c:pt>
                <c:pt idx="1116">
                  <c:v>6.2187999999999999</c:v>
                </c:pt>
                <c:pt idx="1117">
                  <c:v>2.9363999999999999</c:v>
                </c:pt>
                <c:pt idx="1118">
                  <c:v>9.1281999999999996</c:v>
                </c:pt>
                <c:pt idx="1119">
                  <c:v>3.0109999999999997</c:v>
                </c:pt>
                <c:pt idx="1120">
                  <c:v>8.6806000000000001</c:v>
                </c:pt>
                <c:pt idx="1121">
                  <c:v>7.9346000000000005</c:v>
                </c:pt>
                <c:pt idx="1122">
                  <c:v>7.86</c:v>
                </c:pt>
                <c:pt idx="1123">
                  <c:v>10.9186</c:v>
                </c:pt>
                <c:pt idx="1124">
                  <c:v>8.0091999999999999</c:v>
                </c:pt>
                <c:pt idx="1125">
                  <c:v>6.8155999999999999</c:v>
                </c:pt>
                <c:pt idx="1126">
                  <c:v>5.9950000000000001</c:v>
                </c:pt>
                <c:pt idx="1127">
                  <c:v>4.8760000000000003</c:v>
                </c:pt>
                <c:pt idx="1128">
                  <c:v>6.1442000000000005</c:v>
                </c:pt>
                <c:pt idx="1129">
                  <c:v>5.3236000000000008</c:v>
                </c:pt>
                <c:pt idx="1130">
                  <c:v>4.6522000000000006</c:v>
                </c:pt>
                <c:pt idx="1131">
                  <c:v>4.8014000000000001</c:v>
                </c:pt>
                <c:pt idx="1132">
                  <c:v>4.0554000000000006</c:v>
                </c:pt>
                <c:pt idx="1133">
                  <c:v>9.3520000000000003</c:v>
                </c:pt>
                <c:pt idx="1134">
                  <c:v>6.8155999999999999</c:v>
                </c:pt>
                <c:pt idx="1135">
                  <c:v>11.813800000000001</c:v>
                </c:pt>
                <c:pt idx="1136">
                  <c:v>5.5474000000000006</c:v>
                </c:pt>
                <c:pt idx="1137">
                  <c:v>4.7268000000000008</c:v>
                </c:pt>
                <c:pt idx="1138">
                  <c:v>5.9204000000000008</c:v>
                </c:pt>
                <c:pt idx="1139">
                  <c:v>4.9506000000000006</c:v>
                </c:pt>
                <c:pt idx="1140">
                  <c:v>4.4283999999999999</c:v>
                </c:pt>
                <c:pt idx="1141">
                  <c:v>3.3839999999999999</c:v>
                </c:pt>
                <c:pt idx="1142">
                  <c:v>3.7570000000000001</c:v>
                </c:pt>
                <c:pt idx="1143">
                  <c:v>3.8315999999999999</c:v>
                </c:pt>
                <c:pt idx="1144">
                  <c:v>3.8315999999999999</c:v>
                </c:pt>
                <c:pt idx="1145">
                  <c:v>2.3395999999999999</c:v>
                </c:pt>
                <c:pt idx="1146">
                  <c:v>3.6823999999999999</c:v>
                </c:pt>
                <c:pt idx="1147">
                  <c:v>5.3236000000000008</c:v>
                </c:pt>
                <c:pt idx="1148">
                  <c:v>3.3839999999999999</c:v>
                </c:pt>
                <c:pt idx="1149">
                  <c:v>1.7427999999999999</c:v>
                </c:pt>
                <c:pt idx="1150">
                  <c:v>4.8014000000000001</c:v>
                </c:pt>
                <c:pt idx="1151">
                  <c:v>3.8315999999999999</c:v>
                </c:pt>
                <c:pt idx="1152">
                  <c:v>4.3538000000000006</c:v>
                </c:pt>
                <c:pt idx="1153">
                  <c:v>2.6379999999999999</c:v>
                </c:pt>
                <c:pt idx="1154">
                  <c:v>3.3093999999999997</c:v>
                </c:pt>
                <c:pt idx="1155">
                  <c:v>3.3839999999999999</c:v>
                </c:pt>
                <c:pt idx="1156">
                  <c:v>3.2347999999999999</c:v>
                </c:pt>
                <c:pt idx="1157">
                  <c:v>1.8919999999999999</c:v>
                </c:pt>
                <c:pt idx="1158">
                  <c:v>2.1903999999999999</c:v>
                </c:pt>
                <c:pt idx="1159">
                  <c:v>1.5190000000000001</c:v>
                </c:pt>
                <c:pt idx="1160">
                  <c:v>1.4443999999999999</c:v>
                </c:pt>
                <c:pt idx="1161">
                  <c:v>0.77300000000000002</c:v>
                </c:pt>
                <c:pt idx="1162">
                  <c:v>1.3698000000000001</c:v>
                </c:pt>
                <c:pt idx="1163">
                  <c:v>6.3680000000000003</c:v>
                </c:pt>
                <c:pt idx="1164">
                  <c:v>8.0838000000000001</c:v>
                </c:pt>
                <c:pt idx="1165">
                  <c:v>8.8298000000000005</c:v>
                </c:pt>
                <c:pt idx="1166">
                  <c:v>8.5313999999999997</c:v>
                </c:pt>
                <c:pt idx="1167">
                  <c:v>9.3520000000000003</c:v>
                </c:pt>
                <c:pt idx="1168">
                  <c:v>10.023400000000001</c:v>
                </c:pt>
                <c:pt idx="1169">
                  <c:v>8.2330000000000005</c:v>
                </c:pt>
                <c:pt idx="1170">
                  <c:v>9.2027999999999999</c:v>
                </c:pt>
                <c:pt idx="1171">
                  <c:v>9.4266000000000005</c:v>
                </c:pt>
                <c:pt idx="1172">
                  <c:v>9.0536000000000012</c:v>
                </c:pt>
                <c:pt idx="1173">
                  <c:v>9.2774000000000001</c:v>
                </c:pt>
                <c:pt idx="1174">
                  <c:v>9.5012000000000008</c:v>
                </c:pt>
                <c:pt idx="1175">
                  <c:v>10.769400000000001</c:v>
                </c:pt>
                <c:pt idx="1176">
                  <c:v>10.3218</c:v>
                </c:pt>
                <c:pt idx="1177">
                  <c:v>9.575800000000001</c:v>
                </c:pt>
                <c:pt idx="1178">
                  <c:v>7.7108000000000008</c:v>
                </c:pt>
                <c:pt idx="1179">
                  <c:v>3.2347999999999999</c:v>
                </c:pt>
                <c:pt idx="1180">
                  <c:v>5.2490000000000006</c:v>
                </c:pt>
                <c:pt idx="1181">
                  <c:v>3.0109999999999997</c:v>
                </c:pt>
                <c:pt idx="1182">
                  <c:v>1.5935999999999999</c:v>
                </c:pt>
                <c:pt idx="1183">
                  <c:v>2.2650000000000001</c:v>
                </c:pt>
                <c:pt idx="1184">
                  <c:v>1.2206000000000001</c:v>
                </c:pt>
                <c:pt idx="1185">
                  <c:v>1.4443999999999999</c:v>
                </c:pt>
                <c:pt idx="1186">
                  <c:v>2.0411999999999999</c:v>
                </c:pt>
                <c:pt idx="1187">
                  <c:v>3.2347999999999999</c:v>
                </c:pt>
                <c:pt idx="1188">
                  <c:v>4.2792000000000003</c:v>
                </c:pt>
                <c:pt idx="1189">
                  <c:v>3.2347999999999999</c:v>
                </c:pt>
                <c:pt idx="1190">
                  <c:v>1.7427999999999999</c:v>
                </c:pt>
                <c:pt idx="1191">
                  <c:v>1.3698000000000001</c:v>
                </c:pt>
                <c:pt idx="1192">
                  <c:v>3.0855999999999999</c:v>
                </c:pt>
                <c:pt idx="1193">
                  <c:v>3.7570000000000001</c:v>
                </c:pt>
                <c:pt idx="1194">
                  <c:v>3.1602000000000001</c:v>
                </c:pt>
                <c:pt idx="1195">
                  <c:v>3.9061999999999997</c:v>
                </c:pt>
                <c:pt idx="1196">
                  <c:v>3.3839999999999999</c:v>
                </c:pt>
                <c:pt idx="1197">
                  <c:v>3.1602000000000001</c:v>
                </c:pt>
                <c:pt idx="1198">
                  <c:v>3.6823999999999999</c:v>
                </c:pt>
                <c:pt idx="1199">
                  <c:v>2.7125999999999997</c:v>
                </c:pt>
                <c:pt idx="1200">
                  <c:v>3.9061999999999997</c:v>
                </c:pt>
                <c:pt idx="1201">
                  <c:v>4.7268000000000008</c:v>
                </c:pt>
                <c:pt idx="1202">
                  <c:v>6.4426000000000005</c:v>
                </c:pt>
                <c:pt idx="1203">
                  <c:v>7.2632000000000003</c:v>
                </c:pt>
                <c:pt idx="1204">
                  <c:v>6.7410000000000005</c:v>
                </c:pt>
                <c:pt idx="1205">
                  <c:v>7.0394000000000005</c:v>
                </c:pt>
                <c:pt idx="1206">
                  <c:v>4.8760000000000003</c:v>
                </c:pt>
                <c:pt idx="1207">
                  <c:v>4.2046000000000001</c:v>
                </c:pt>
                <c:pt idx="1208">
                  <c:v>3.9061999999999997</c:v>
                </c:pt>
                <c:pt idx="1209">
                  <c:v>3.3839999999999999</c:v>
                </c:pt>
                <c:pt idx="1210">
                  <c:v>3.7570000000000001</c:v>
                </c:pt>
                <c:pt idx="1211">
                  <c:v>3.0855999999999999</c:v>
                </c:pt>
                <c:pt idx="1212">
                  <c:v>3.2347999999999999</c:v>
                </c:pt>
                <c:pt idx="1213">
                  <c:v>3.0855999999999999</c:v>
                </c:pt>
                <c:pt idx="1214">
                  <c:v>3.3093999999999997</c:v>
                </c:pt>
                <c:pt idx="1215">
                  <c:v>4.13</c:v>
                </c:pt>
                <c:pt idx="1216">
                  <c:v>13.082000000000001</c:v>
                </c:pt>
                <c:pt idx="1217">
                  <c:v>12.559800000000001</c:v>
                </c:pt>
                <c:pt idx="1218">
                  <c:v>11.0678</c:v>
                </c:pt>
                <c:pt idx="1219">
                  <c:v>11.440800000000001</c:v>
                </c:pt>
                <c:pt idx="1220">
                  <c:v>12.037599999999999</c:v>
                </c:pt>
                <c:pt idx="1221">
                  <c:v>7.2632000000000003</c:v>
                </c:pt>
                <c:pt idx="1222">
                  <c:v>5.0998000000000001</c:v>
                </c:pt>
                <c:pt idx="1223">
                  <c:v>5.3236000000000008</c:v>
                </c:pt>
                <c:pt idx="1224">
                  <c:v>5.6219999999999999</c:v>
                </c:pt>
                <c:pt idx="1225">
                  <c:v>5.0251999999999999</c:v>
                </c:pt>
                <c:pt idx="1226">
                  <c:v>6.5918000000000001</c:v>
                </c:pt>
                <c:pt idx="1227">
                  <c:v>3.9807999999999999</c:v>
                </c:pt>
                <c:pt idx="1228">
                  <c:v>4.5776000000000003</c:v>
                </c:pt>
                <c:pt idx="1229">
                  <c:v>3.9807999999999999</c:v>
                </c:pt>
                <c:pt idx="1230">
                  <c:v>5.6966000000000001</c:v>
                </c:pt>
                <c:pt idx="1231">
                  <c:v>3.9807999999999999</c:v>
                </c:pt>
                <c:pt idx="1232">
                  <c:v>4.5776000000000003</c:v>
                </c:pt>
                <c:pt idx="1233">
                  <c:v>5.3236000000000008</c:v>
                </c:pt>
                <c:pt idx="1234">
                  <c:v>4.8014000000000001</c:v>
                </c:pt>
                <c:pt idx="1235">
                  <c:v>5.7712000000000003</c:v>
                </c:pt>
                <c:pt idx="1236">
                  <c:v>5.7712000000000003</c:v>
                </c:pt>
                <c:pt idx="1237">
                  <c:v>5.6966000000000001</c:v>
                </c:pt>
                <c:pt idx="1238">
                  <c:v>2.6379999999999999</c:v>
                </c:pt>
                <c:pt idx="1239">
                  <c:v>5.0998000000000001</c:v>
                </c:pt>
                <c:pt idx="1240">
                  <c:v>2.3395999999999999</c:v>
                </c:pt>
                <c:pt idx="1241">
                  <c:v>4.0554000000000006</c:v>
                </c:pt>
                <c:pt idx="1242">
                  <c:v>2.7125999999999997</c:v>
                </c:pt>
                <c:pt idx="1243">
                  <c:v>5.7712000000000003</c:v>
                </c:pt>
                <c:pt idx="1244">
                  <c:v>4.0554000000000006</c:v>
                </c:pt>
                <c:pt idx="1245">
                  <c:v>4.5776000000000003</c:v>
                </c:pt>
                <c:pt idx="1246">
                  <c:v>4.2046000000000001</c:v>
                </c:pt>
                <c:pt idx="1247">
                  <c:v>4.0554000000000006</c:v>
                </c:pt>
                <c:pt idx="1248">
                  <c:v>4.0554000000000006</c:v>
                </c:pt>
                <c:pt idx="1249">
                  <c:v>3.9807999999999999</c:v>
                </c:pt>
                <c:pt idx="1250">
                  <c:v>5.7712000000000003</c:v>
                </c:pt>
                <c:pt idx="1251">
                  <c:v>3.7570000000000001</c:v>
                </c:pt>
                <c:pt idx="1252">
                  <c:v>6.9648000000000003</c:v>
                </c:pt>
                <c:pt idx="1253">
                  <c:v>4.8760000000000003</c:v>
                </c:pt>
                <c:pt idx="1254">
                  <c:v>4.5776000000000003</c:v>
                </c:pt>
                <c:pt idx="1255">
                  <c:v>5.7712000000000003</c:v>
                </c:pt>
                <c:pt idx="1256">
                  <c:v>3.8315999999999999</c:v>
                </c:pt>
                <c:pt idx="1257">
                  <c:v>4.4283999999999999</c:v>
                </c:pt>
                <c:pt idx="1258">
                  <c:v>2.0411999999999999</c:v>
                </c:pt>
                <c:pt idx="1259">
                  <c:v>1.5935999999999999</c:v>
                </c:pt>
                <c:pt idx="1260">
                  <c:v>3.8315999999999999</c:v>
                </c:pt>
                <c:pt idx="1261">
                  <c:v>2.6379999999999999</c:v>
                </c:pt>
                <c:pt idx="1262">
                  <c:v>4.5776000000000003</c:v>
                </c:pt>
                <c:pt idx="1263">
                  <c:v>4.5776000000000003</c:v>
                </c:pt>
                <c:pt idx="1264">
                  <c:v>3.4586000000000001</c:v>
                </c:pt>
                <c:pt idx="1265">
                  <c:v>5.9950000000000001</c:v>
                </c:pt>
                <c:pt idx="1266">
                  <c:v>3.3093999999999997</c:v>
                </c:pt>
                <c:pt idx="1267">
                  <c:v>5.0251999999999999</c:v>
                </c:pt>
                <c:pt idx="1268">
                  <c:v>3.2347999999999999</c:v>
                </c:pt>
                <c:pt idx="1269">
                  <c:v>7.0394000000000005</c:v>
                </c:pt>
                <c:pt idx="1270">
                  <c:v>4.5776000000000003</c:v>
                </c:pt>
                <c:pt idx="1271">
                  <c:v>2.7871999999999999</c:v>
                </c:pt>
                <c:pt idx="1272">
                  <c:v>3.5331999999999999</c:v>
                </c:pt>
                <c:pt idx="1273">
                  <c:v>3.6077999999999997</c:v>
                </c:pt>
                <c:pt idx="1274">
                  <c:v>2.0411999999999999</c:v>
                </c:pt>
                <c:pt idx="1275">
                  <c:v>3.9061999999999997</c:v>
                </c:pt>
                <c:pt idx="1276">
                  <c:v>5.6219999999999999</c:v>
                </c:pt>
                <c:pt idx="1277">
                  <c:v>2.4141999999999997</c:v>
                </c:pt>
                <c:pt idx="1278">
                  <c:v>3.0109999999999997</c:v>
                </c:pt>
                <c:pt idx="1279">
                  <c:v>4.5030000000000001</c:v>
                </c:pt>
                <c:pt idx="1280">
                  <c:v>5.1744000000000003</c:v>
                </c:pt>
                <c:pt idx="1281">
                  <c:v>3.6823999999999999</c:v>
                </c:pt>
                <c:pt idx="1282">
                  <c:v>4.9506000000000006</c:v>
                </c:pt>
                <c:pt idx="1283">
                  <c:v>8.8298000000000005</c:v>
                </c:pt>
                <c:pt idx="1284">
                  <c:v>5.9204000000000008</c:v>
                </c:pt>
                <c:pt idx="1285">
                  <c:v>8.0091999999999999</c:v>
                </c:pt>
                <c:pt idx="1286">
                  <c:v>8.3821999999999992</c:v>
                </c:pt>
                <c:pt idx="1287">
                  <c:v>8.0091999999999999</c:v>
                </c:pt>
                <c:pt idx="1288">
                  <c:v>10.694800000000001</c:v>
                </c:pt>
                <c:pt idx="1289">
                  <c:v>9.575800000000001</c:v>
                </c:pt>
                <c:pt idx="1290">
                  <c:v>12.410600000000001</c:v>
                </c:pt>
                <c:pt idx="1291">
                  <c:v>15.469200000000001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1A-48D1-B18A-2D4D28EE111E}"/>
            </c:ext>
          </c:extLst>
        </c:ser>
        <c:ser>
          <c:idx val="1"/>
          <c:order val="1"/>
          <c:spPr>
            <a:ln w="3175">
              <a:solidFill>
                <a:srgbClr val="FF00FF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AADATA!$H$3:$H$1292</c:f>
              <c:numCache>
                <c:formatCode>m/d/yyyy\ h:mm</c:formatCode>
                <c:ptCount val="1290"/>
                <c:pt idx="0">
                  <c:v>36828.708333333336</c:v>
                </c:pt>
                <c:pt idx="1">
                  <c:v>36828.729166666672</c:v>
                </c:pt>
                <c:pt idx="2">
                  <c:v>36828.750000000007</c:v>
                </c:pt>
                <c:pt idx="3">
                  <c:v>36828.770833333343</c:v>
                </c:pt>
                <c:pt idx="4">
                  <c:v>36828.791666666679</c:v>
                </c:pt>
                <c:pt idx="5">
                  <c:v>36828.812500000015</c:v>
                </c:pt>
                <c:pt idx="6">
                  <c:v>36828.83333333335</c:v>
                </c:pt>
                <c:pt idx="7">
                  <c:v>36828.854166666686</c:v>
                </c:pt>
                <c:pt idx="8">
                  <c:v>36828.875000000022</c:v>
                </c:pt>
                <c:pt idx="9">
                  <c:v>36828.895833333358</c:v>
                </c:pt>
                <c:pt idx="10">
                  <c:v>36828.916666666693</c:v>
                </c:pt>
                <c:pt idx="11">
                  <c:v>36828.937500000029</c:v>
                </c:pt>
                <c:pt idx="12">
                  <c:v>36828.958333333365</c:v>
                </c:pt>
                <c:pt idx="13">
                  <c:v>36828.979166666701</c:v>
                </c:pt>
                <c:pt idx="14">
                  <c:v>36829.000000000036</c:v>
                </c:pt>
                <c:pt idx="15">
                  <c:v>36829.020833333372</c:v>
                </c:pt>
                <c:pt idx="16">
                  <c:v>36829.041666666708</c:v>
                </c:pt>
                <c:pt idx="17">
                  <c:v>36829.062500000044</c:v>
                </c:pt>
                <c:pt idx="18">
                  <c:v>36829.083333333379</c:v>
                </c:pt>
                <c:pt idx="19">
                  <c:v>36829.104166666715</c:v>
                </c:pt>
                <c:pt idx="20">
                  <c:v>36829.125000000051</c:v>
                </c:pt>
                <c:pt idx="21">
                  <c:v>36829.145833333387</c:v>
                </c:pt>
                <c:pt idx="22">
                  <c:v>36829.166666666722</c:v>
                </c:pt>
                <c:pt idx="23">
                  <c:v>36829.187500000058</c:v>
                </c:pt>
                <c:pt idx="24">
                  <c:v>36829.208333333394</c:v>
                </c:pt>
                <c:pt idx="25">
                  <c:v>36829.22916666673</c:v>
                </c:pt>
                <c:pt idx="26">
                  <c:v>36829.250000000065</c:v>
                </c:pt>
                <c:pt idx="27">
                  <c:v>36829.270833333401</c:v>
                </c:pt>
                <c:pt idx="28">
                  <c:v>36829.291666666737</c:v>
                </c:pt>
                <c:pt idx="29">
                  <c:v>36829.312500000073</c:v>
                </c:pt>
                <c:pt idx="30">
                  <c:v>36829.333333333409</c:v>
                </c:pt>
                <c:pt idx="31">
                  <c:v>36829.354166666744</c:v>
                </c:pt>
                <c:pt idx="32">
                  <c:v>36829.37500000008</c:v>
                </c:pt>
                <c:pt idx="33">
                  <c:v>36829.395833333416</c:v>
                </c:pt>
                <c:pt idx="34">
                  <c:v>36829.416666666752</c:v>
                </c:pt>
                <c:pt idx="35">
                  <c:v>36829.437500000087</c:v>
                </c:pt>
                <c:pt idx="36">
                  <c:v>36829.458333333423</c:v>
                </c:pt>
                <c:pt idx="37">
                  <c:v>36829.479166666759</c:v>
                </c:pt>
                <c:pt idx="38">
                  <c:v>36829.500000000095</c:v>
                </c:pt>
                <c:pt idx="39">
                  <c:v>36829.52083333343</c:v>
                </c:pt>
                <c:pt idx="40">
                  <c:v>36829.541666666766</c:v>
                </c:pt>
                <c:pt idx="41">
                  <c:v>36829.562500000102</c:v>
                </c:pt>
                <c:pt idx="42">
                  <c:v>36829.583333333438</c:v>
                </c:pt>
                <c:pt idx="43">
                  <c:v>36829.604166666773</c:v>
                </c:pt>
                <c:pt idx="44">
                  <c:v>36829.625000000109</c:v>
                </c:pt>
                <c:pt idx="45">
                  <c:v>36829.645833333445</c:v>
                </c:pt>
                <c:pt idx="46">
                  <c:v>36829.666666666781</c:v>
                </c:pt>
                <c:pt idx="47">
                  <c:v>36829.687500000116</c:v>
                </c:pt>
                <c:pt idx="48">
                  <c:v>36829.708333333452</c:v>
                </c:pt>
                <c:pt idx="49">
                  <c:v>36829.729166666788</c:v>
                </c:pt>
                <c:pt idx="50">
                  <c:v>36829.750000000124</c:v>
                </c:pt>
                <c:pt idx="51">
                  <c:v>36829.770833333459</c:v>
                </c:pt>
                <c:pt idx="52">
                  <c:v>36829.791666666795</c:v>
                </c:pt>
                <c:pt idx="53">
                  <c:v>36829.812500000131</c:v>
                </c:pt>
                <c:pt idx="54">
                  <c:v>36829.833333333467</c:v>
                </c:pt>
                <c:pt idx="55">
                  <c:v>36829.854166666802</c:v>
                </c:pt>
                <c:pt idx="56">
                  <c:v>36829.875000000138</c:v>
                </c:pt>
                <c:pt idx="57">
                  <c:v>36829.895833333474</c:v>
                </c:pt>
                <c:pt idx="58">
                  <c:v>36829.91666666681</c:v>
                </c:pt>
                <c:pt idx="59">
                  <c:v>36829.937500000146</c:v>
                </c:pt>
                <c:pt idx="60">
                  <c:v>36829.958333333481</c:v>
                </c:pt>
                <c:pt idx="61">
                  <c:v>36829.979166666817</c:v>
                </c:pt>
                <c:pt idx="62">
                  <c:v>36830.000000000153</c:v>
                </c:pt>
                <c:pt idx="63">
                  <c:v>36830.020833333489</c:v>
                </c:pt>
                <c:pt idx="64">
                  <c:v>36830.041666666824</c:v>
                </c:pt>
                <c:pt idx="65">
                  <c:v>36830.06250000016</c:v>
                </c:pt>
                <c:pt idx="66">
                  <c:v>36830.083333333496</c:v>
                </c:pt>
                <c:pt idx="67">
                  <c:v>36830.104166666832</c:v>
                </c:pt>
                <c:pt idx="68">
                  <c:v>36830.125000000167</c:v>
                </c:pt>
                <c:pt idx="69">
                  <c:v>36830.145833333503</c:v>
                </c:pt>
                <c:pt idx="70">
                  <c:v>36830.166666666839</c:v>
                </c:pt>
                <c:pt idx="71">
                  <c:v>36830.187500000175</c:v>
                </c:pt>
                <c:pt idx="72">
                  <c:v>36830.20833333351</c:v>
                </c:pt>
                <c:pt idx="73">
                  <c:v>36830.229166666846</c:v>
                </c:pt>
                <c:pt idx="74">
                  <c:v>36830.250000000182</c:v>
                </c:pt>
                <c:pt idx="75">
                  <c:v>36830.270833333518</c:v>
                </c:pt>
                <c:pt idx="76">
                  <c:v>36830.291666666853</c:v>
                </c:pt>
                <c:pt idx="77">
                  <c:v>36830.312500000189</c:v>
                </c:pt>
                <c:pt idx="78">
                  <c:v>36830.333333333525</c:v>
                </c:pt>
                <c:pt idx="79">
                  <c:v>36830.354166666861</c:v>
                </c:pt>
                <c:pt idx="80">
                  <c:v>36830.375000000196</c:v>
                </c:pt>
                <c:pt idx="81">
                  <c:v>36830.395833333532</c:v>
                </c:pt>
                <c:pt idx="82">
                  <c:v>36830.416666666868</c:v>
                </c:pt>
                <c:pt idx="83">
                  <c:v>36830.437500000204</c:v>
                </c:pt>
                <c:pt idx="84">
                  <c:v>36830.458333333539</c:v>
                </c:pt>
                <c:pt idx="85">
                  <c:v>36830.479166666875</c:v>
                </c:pt>
                <c:pt idx="86">
                  <c:v>36830.500000000211</c:v>
                </c:pt>
                <c:pt idx="87">
                  <c:v>36830.520833333547</c:v>
                </c:pt>
                <c:pt idx="88">
                  <c:v>36830.541666666883</c:v>
                </c:pt>
                <c:pt idx="89">
                  <c:v>36830.562500000218</c:v>
                </c:pt>
                <c:pt idx="90">
                  <c:v>36830.583333333554</c:v>
                </c:pt>
                <c:pt idx="91">
                  <c:v>36830.60416666689</c:v>
                </c:pt>
                <c:pt idx="92">
                  <c:v>36830.625000000226</c:v>
                </c:pt>
                <c:pt idx="93">
                  <c:v>36830.645833333561</c:v>
                </c:pt>
                <c:pt idx="94">
                  <c:v>36830.666666666897</c:v>
                </c:pt>
                <c:pt idx="95">
                  <c:v>36830.687500000233</c:v>
                </c:pt>
                <c:pt idx="96">
                  <c:v>36830.708333333569</c:v>
                </c:pt>
                <c:pt idx="97">
                  <c:v>36830.729166666904</c:v>
                </c:pt>
                <c:pt idx="98">
                  <c:v>36830.75000000024</c:v>
                </c:pt>
                <c:pt idx="99">
                  <c:v>36830.770833333576</c:v>
                </c:pt>
                <c:pt idx="100">
                  <c:v>36830.791666666912</c:v>
                </c:pt>
                <c:pt idx="101">
                  <c:v>36830.812500000247</c:v>
                </c:pt>
                <c:pt idx="102">
                  <c:v>36830.833333333583</c:v>
                </c:pt>
                <c:pt idx="103">
                  <c:v>36830.854166666919</c:v>
                </c:pt>
                <c:pt idx="104">
                  <c:v>36830.875000000255</c:v>
                </c:pt>
                <c:pt idx="105">
                  <c:v>36830.89583333359</c:v>
                </c:pt>
                <c:pt idx="106">
                  <c:v>36830.916666666926</c:v>
                </c:pt>
                <c:pt idx="107">
                  <c:v>36830.937500000262</c:v>
                </c:pt>
                <c:pt idx="108">
                  <c:v>36830.958333333598</c:v>
                </c:pt>
                <c:pt idx="109">
                  <c:v>36830.979166666933</c:v>
                </c:pt>
                <c:pt idx="110">
                  <c:v>36831.000000000269</c:v>
                </c:pt>
                <c:pt idx="111">
                  <c:v>36831.020833333605</c:v>
                </c:pt>
                <c:pt idx="112">
                  <c:v>36831.041666666941</c:v>
                </c:pt>
                <c:pt idx="113">
                  <c:v>36831.062500000276</c:v>
                </c:pt>
                <c:pt idx="114">
                  <c:v>36831.083333333612</c:v>
                </c:pt>
                <c:pt idx="115">
                  <c:v>36831.104166666948</c:v>
                </c:pt>
                <c:pt idx="116">
                  <c:v>36831.125000000284</c:v>
                </c:pt>
                <c:pt idx="117">
                  <c:v>36831.14583333362</c:v>
                </c:pt>
                <c:pt idx="118">
                  <c:v>36831.166666666955</c:v>
                </c:pt>
                <c:pt idx="119">
                  <c:v>36831.187500000291</c:v>
                </c:pt>
                <c:pt idx="120">
                  <c:v>36831.208333333627</c:v>
                </c:pt>
                <c:pt idx="121">
                  <c:v>36831.229166666963</c:v>
                </c:pt>
                <c:pt idx="122">
                  <c:v>36831.250000000298</c:v>
                </c:pt>
                <c:pt idx="123">
                  <c:v>36831.270833333634</c:v>
                </c:pt>
                <c:pt idx="124">
                  <c:v>36831.29166666697</c:v>
                </c:pt>
                <c:pt idx="125">
                  <c:v>36831.312500000306</c:v>
                </c:pt>
                <c:pt idx="126">
                  <c:v>36831.333333333641</c:v>
                </c:pt>
                <c:pt idx="127">
                  <c:v>36831.354166666977</c:v>
                </c:pt>
                <c:pt idx="128">
                  <c:v>36831.375000000313</c:v>
                </c:pt>
                <c:pt idx="129">
                  <c:v>36831.395833333649</c:v>
                </c:pt>
                <c:pt idx="130">
                  <c:v>36831.416666666984</c:v>
                </c:pt>
                <c:pt idx="131">
                  <c:v>36831.43750000032</c:v>
                </c:pt>
                <c:pt idx="132">
                  <c:v>36831.458333333656</c:v>
                </c:pt>
                <c:pt idx="133">
                  <c:v>36831.479166666992</c:v>
                </c:pt>
                <c:pt idx="134">
                  <c:v>36831.500000000327</c:v>
                </c:pt>
                <c:pt idx="135">
                  <c:v>36831.520833333663</c:v>
                </c:pt>
                <c:pt idx="136">
                  <c:v>36831.541666666999</c:v>
                </c:pt>
                <c:pt idx="137">
                  <c:v>36831.562500000335</c:v>
                </c:pt>
                <c:pt idx="138">
                  <c:v>36831.58333333367</c:v>
                </c:pt>
                <c:pt idx="139">
                  <c:v>36831.604166667006</c:v>
                </c:pt>
                <c:pt idx="140">
                  <c:v>36831.625000000342</c:v>
                </c:pt>
                <c:pt idx="141">
                  <c:v>36831.645833333678</c:v>
                </c:pt>
                <c:pt idx="142">
                  <c:v>36831.666666667013</c:v>
                </c:pt>
                <c:pt idx="143">
                  <c:v>36831.687500000349</c:v>
                </c:pt>
                <c:pt idx="144">
                  <c:v>36831.708333333685</c:v>
                </c:pt>
                <c:pt idx="145">
                  <c:v>36831.729166667021</c:v>
                </c:pt>
                <c:pt idx="146">
                  <c:v>36831.750000000357</c:v>
                </c:pt>
                <c:pt idx="147">
                  <c:v>36831.770833333692</c:v>
                </c:pt>
                <c:pt idx="148">
                  <c:v>36831.791666667028</c:v>
                </c:pt>
                <c:pt idx="149">
                  <c:v>36831.812500000364</c:v>
                </c:pt>
                <c:pt idx="150">
                  <c:v>36831.8333333337</c:v>
                </c:pt>
                <c:pt idx="151">
                  <c:v>36831.854166667035</c:v>
                </c:pt>
                <c:pt idx="152">
                  <c:v>36831.875000000371</c:v>
                </c:pt>
                <c:pt idx="153">
                  <c:v>36831.895833333707</c:v>
                </c:pt>
                <c:pt idx="154">
                  <c:v>36831.916666667043</c:v>
                </c:pt>
                <c:pt idx="155">
                  <c:v>36831.937500000378</c:v>
                </c:pt>
                <c:pt idx="156">
                  <c:v>36831.958333333714</c:v>
                </c:pt>
                <c:pt idx="157">
                  <c:v>36831.97916666705</c:v>
                </c:pt>
                <c:pt idx="158">
                  <c:v>36832.000000000386</c:v>
                </c:pt>
                <c:pt idx="159">
                  <c:v>36832.020833333721</c:v>
                </c:pt>
                <c:pt idx="160">
                  <c:v>36832.041666667057</c:v>
                </c:pt>
                <c:pt idx="161">
                  <c:v>36832.062500000393</c:v>
                </c:pt>
                <c:pt idx="162">
                  <c:v>36832.083333333729</c:v>
                </c:pt>
                <c:pt idx="163">
                  <c:v>36832.104166667064</c:v>
                </c:pt>
                <c:pt idx="164">
                  <c:v>36832.1250000004</c:v>
                </c:pt>
                <c:pt idx="165">
                  <c:v>36832.145833333736</c:v>
                </c:pt>
                <c:pt idx="166">
                  <c:v>36832.166666667072</c:v>
                </c:pt>
                <c:pt idx="167">
                  <c:v>36832.187500000407</c:v>
                </c:pt>
                <c:pt idx="168">
                  <c:v>36832.208333333743</c:v>
                </c:pt>
                <c:pt idx="169">
                  <c:v>36832.229166667079</c:v>
                </c:pt>
                <c:pt idx="170">
                  <c:v>36832.250000000415</c:v>
                </c:pt>
                <c:pt idx="171">
                  <c:v>36832.27083333375</c:v>
                </c:pt>
                <c:pt idx="172">
                  <c:v>36832.291666667086</c:v>
                </c:pt>
                <c:pt idx="173">
                  <c:v>36832.312500000422</c:v>
                </c:pt>
                <c:pt idx="174">
                  <c:v>36832.333333333758</c:v>
                </c:pt>
                <c:pt idx="175">
                  <c:v>36832.354166667094</c:v>
                </c:pt>
                <c:pt idx="176">
                  <c:v>36832.375000000429</c:v>
                </c:pt>
                <c:pt idx="177">
                  <c:v>36832.395833333765</c:v>
                </c:pt>
                <c:pt idx="178">
                  <c:v>36832.416666667101</c:v>
                </c:pt>
                <c:pt idx="179">
                  <c:v>36832.437500000437</c:v>
                </c:pt>
                <c:pt idx="180">
                  <c:v>36832.458333333772</c:v>
                </c:pt>
                <c:pt idx="181">
                  <c:v>36832.479166667108</c:v>
                </c:pt>
                <c:pt idx="182">
                  <c:v>36832.500000000444</c:v>
                </c:pt>
                <c:pt idx="183">
                  <c:v>36832.52083333378</c:v>
                </c:pt>
                <c:pt idx="184">
                  <c:v>36832.541666667115</c:v>
                </c:pt>
                <c:pt idx="185">
                  <c:v>36832.562500000451</c:v>
                </c:pt>
                <c:pt idx="186">
                  <c:v>36832.583333333787</c:v>
                </c:pt>
                <c:pt idx="187">
                  <c:v>36832.604166667123</c:v>
                </c:pt>
                <c:pt idx="188">
                  <c:v>36832.625000000458</c:v>
                </c:pt>
                <c:pt idx="189">
                  <c:v>36832.645833333794</c:v>
                </c:pt>
                <c:pt idx="190">
                  <c:v>36832.66666666713</c:v>
                </c:pt>
                <c:pt idx="191">
                  <c:v>36832.687500000466</c:v>
                </c:pt>
                <c:pt idx="192">
                  <c:v>36832.708333333801</c:v>
                </c:pt>
                <c:pt idx="193">
                  <c:v>36832.729166667137</c:v>
                </c:pt>
                <c:pt idx="194">
                  <c:v>36832.750000000473</c:v>
                </c:pt>
                <c:pt idx="195">
                  <c:v>36832.770833333809</c:v>
                </c:pt>
                <c:pt idx="196">
                  <c:v>36832.791666667144</c:v>
                </c:pt>
                <c:pt idx="197">
                  <c:v>36832.81250000048</c:v>
                </c:pt>
                <c:pt idx="198">
                  <c:v>36832.833333333816</c:v>
                </c:pt>
                <c:pt idx="199">
                  <c:v>36832.854166667152</c:v>
                </c:pt>
                <c:pt idx="200">
                  <c:v>36832.875000000487</c:v>
                </c:pt>
                <c:pt idx="201">
                  <c:v>36832.895833333823</c:v>
                </c:pt>
                <c:pt idx="202">
                  <c:v>36832.916666667159</c:v>
                </c:pt>
                <c:pt idx="203">
                  <c:v>36832.937500000495</c:v>
                </c:pt>
                <c:pt idx="204">
                  <c:v>36832.958333333831</c:v>
                </c:pt>
                <c:pt idx="205">
                  <c:v>36832.979166667166</c:v>
                </c:pt>
                <c:pt idx="206">
                  <c:v>36833.000000000502</c:v>
                </c:pt>
                <c:pt idx="207">
                  <c:v>36833.020833333838</c:v>
                </c:pt>
                <c:pt idx="208">
                  <c:v>36833.041666667174</c:v>
                </c:pt>
                <c:pt idx="209">
                  <c:v>36833.062500000509</c:v>
                </c:pt>
                <c:pt idx="210">
                  <c:v>36833.083333333845</c:v>
                </c:pt>
                <c:pt idx="211">
                  <c:v>36833.104166667181</c:v>
                </c:pt>
                <c:pt idx="212">
                  <c:v>36833.125000000517</c:v>
                </c:pt>
                <c:pt idx="213">
                  <c:v>36833.145833333852</c:v>
                </c:pt>
                <c:pt idx="214">
                  <c:v>36833.166666667188</c:v>
                </c:pt>
                <c:pt idx="215">
                  <c:v>36833.187500000524</c:v>
                </c:pt>
                <c:pt idx="216">
                  <c:v>36833.20833333386</c:v>
                </c:pt>
                <c:pt idx="217">
                  <c:v>36833.229166667195</c:v>
                </c:pt>
                <c:pt idx="218">
                  <c:v>36833.250000000531</c:v>
                </c:pt>
                <c:pt idx="219">
                  <c:v>36833.270833333867</c:v>
                </c:pt>
                <c:pt idx="220">
                  <c:v>36833.291666667203</c:v>
                </c:pt>
                <c:pt idx="221">
                  <c:v>36833.312500000538</c:v>
                </c:pt>
                <c:pt idx="222">
                  <c:v>36833.333333333874</c:v>
                </c:pt>
                <c:pt idx="223">
                  <c:v>36833.35416666721</c:v>
                </c:pt>
                <c:pt idx="224">
                  <c:v>36833.375000000546</c:v>
                </c:pt>
                <c:pt idx="225">
                  <c:v>36833.395833333881</c:v>
                </c:pt>
                <c:pt idx="226">
                  <c:v>36833.416666667217</c:v>
                </c:pt>
                <c:pt idx="227">
                  <c:v>36833.437500000553</c:v>
                </c:pt>
                <c:pt idx="228">
                  <c:v>36833.458333333889</c:v>
                </c:pt>
                <c:pt idx="229">
                  <c:v>36833.479166667224</c:v>
                </c:pt>
                <c:pt idx="230">
                  <c:v>36833.50000000056</c:v>
                </c:pt>
                <c:pt idx="231">
                  <c:v>36833.520833333896</c:v>
                </c:pt>
                <c:pt idx="232">
                  <c:v>36833.541666667232</c:v>
                </c:pt>
                <c:pt idx="233">
                  <c:v>36833.562500000568</c:v>
                </c:pt>
                <c:pt idx="234">
                  <c:v>36833.583333333903</c:v>
                </c:pt>
                <c:pt idx="235">
                  <c:v>36833.604166667239</c:v>
                </c:pt>
                <c:pt idx="236">
                  <c:v>36833.625000000575</c:v>
                </c:pt>
                <c:pt idx="237">
                  <c:v>36833.645833333911</c:v>
                </c:pt>
                <c:pt idx="238">
                  <c:v>36833.666666667246</c:v>
                </c:pt>
                <c:pt idx="239">
                  <c:v>36833.687500000582</c:v>
                </c:pt>
                <c:pt idx="240">
                  <c:v>36833.708333333918</c:v>
                </c:pt>
                <c:pt idx="241">
                  <c:v>36833.729166667254</c:v>
                </c:pt>
                <c:pt idx="242">
                  <c:v>36833.750000000589</c:v>
                </c:pt>
                <c:pt idx="243">
                  <c:v>36833.770833333925</c:v>
                </c:pt>
                <c:pt idx="244">
                  <c:v>36833.791666667261</c:v>
                </c:pt>
                <c:pt idx="245">
                  <c:v>36833.812500000597</c:v>
                </c:pt>
                <c:pt idx="246">
                  <c:v>36833.833333333932</c:v>
                </c:pt>
                <c:pt idx="247">
                  <c:v>36833.854166667268</c:v>
                </c:pt>
                <c:pt idx="248">
                  <c:v>36833.875000000604</c:v>
                </c:pt>
                <c:pt idx="249">
                  <c:v>36833.89583333394</c:v>
                </c:pt>
                <c:pt idx="250">
                  <c:v>36833.916666667275</c:v>
                </c:pt>
                <c:pt idx="251">
                  <c:v>36833.937500000611</c:v>
                </c:pt>
                <c:pt idx="252">
                  <c:v>36833.958333333947</c:v>
                </c:pt>
                <c:pt idx="253">
                  <c:v>36833.979166667283</c:v>
                </c:pt>
                <c:pt idx="254">
                  <c:v>36834.000000000618</c:v>
                </c:pt>
                <c:pt idx="255">
                  <c:v>36834.020833333954</c:v>
                </c:pt>
                <c:pt idx="256">
                  <c:v>36834.04166666729</c:v>
                </c:pt>
                <c:pt idx="257">
                  <c:v>36834.062500000626</c:v>
                </c:pt>
                <c:pt idx="258">
                  <c:v>36834.083333333961</c:v>
                </c:pt>
                <c:pt idx="259">
                  <c:v>36834.104166667297</c:v>
                </c:pt>
                <c:pt idx="260">
                  <c:v>36834.125000000633</c:v>
                </c:pt>
                <c:pt idx="261">
                  <c:v>36834.145833333969</c:v>
                </c:pt>
                <c:pt idx="262">
                  <c:v>36834.166666667305</c:v>
                </c:pt>
                <c:pt idx="263">
                  <c:v>36834.18750000064</c:v>
                </c:pt>
                <c:pt idx="264">
                  <c:v>36834.208333333976</c:v>
                </c:pt>
                <c:pt idx="265">
                  <c:v>36834.229166667312</c:v>
                </c:pt>
                <c:pt idx="266">
                  <c:v>36834.250000000648</c:v>
                </c:pt>
                <c:pt idx="267">
                  <c:v>36834.270833333983</c:v>
                </c:pt>
                <c:pt idx="268">
                  <c:v>36834.291666667319</c:v>
                </c:pt>
                <c:pt idx="269">
                  <c:v>36834.312500000655</c:v>
                </c:pt>
                <c:pt idx="270">
                  <c:v>36834.333333333991</c:v>
                </c:pt>
                <c:pt idx="271">
                  <c:v>36834.354166667326</c:v>
                </c:pt>
                <c:pt idx="272">
                  <c:v>36834.375000000662</c:v>
                </c:pt>
                <c:pt idx="273">
                  <c:v>36834.395833333998</c:v>
                </c:pt>
                <c:pt idx="274">
                  <c:v>36834.416666667334</c:v>
                </c:pt>
                <c:pt idx="275">
                  <c:v>36834.437500000669</c:v>
                </c:pt>
                <c:pt idx="276">
                  <c:v>36834.458333334005</c:v>
                </c:pt>
                <c:pt idx="277">
                  <c:v>36834.479166667341</c:v>
                </c:pt>
                <c:pt idx="278">
                  <c:v>36834.500000000677</c:v>
                </c:pt>
                <c:pt idx="279">
                  <c:v>36834.520833334012</c:v>
                </c:pt>
                <c:pt idx="280">
                  <c:v>36834.541666667348</c:v>
                </c:pt>
                <c:pt idx="281">
                  <c:v>36834.562500000684</c:v>
                </c:pt>
                <c:pt idx="282">
                  <c:v>36834.58333333402</c:v>
                </c:pt>
                <c:pt idx="283">
                  <c:v>36834.604166667355</c:v>
                </c:pt>
                <c:pt idx="284">
                  <c:v>36834.625000000691</c:v>
                </c:pt>
                <c:pt idx="285">
                  <c:v>36834.645833334027</c:v>
                </c:pt>
                <c:pt idx="286">
                  <c:v>36834.666666667363</c:v>
                </c:pt>
                <c:pt idx="287">
                  <c:v>36834.687500000698</c:v>
                </c:pt>
                <c:pt idx="288">
                  <c:v>36834.708333334034</c:v>
                </c:pt>
                <c:pt idx="289">
                  <c:v>36834.72916666737</c:v>
                </c:pt>
                <c:pt idx="290">
                  <c:v>36834.750000000706</c:v>
                </c:pt>
                <c:pt idx="291">
                  <c:v>36834.770833334042</c:v>
                </c:pt>
                <c:pt idx="292">
                  <c:v>36834.791666667377</c:v>
                </c:pt>
                <c:pt idx="293">
                  <c:v>36834.812500000713</c:v>
                </c:pt>
                <c:pt idx="294">
                  <c:v>36834.833333334049</c:v>
                </c:pt>
                <c:pt idx="295">
                  <c:v>36834.854166667385</c:v>
                </c:pt>
                <c:pt idx="296">
                  <c:v>36834.87500000072</c:v>
                </c:pt>
                <c:pt idx="297">
                  <c:v>36834.895833334056</c:v>
                </c:pt>
                <c:pt idx="298">
                  <c:v>36834.916666667392</c:v>
                </c:pt>
                <c:pt idx="299">
                  <c:v>36834.937500000728</c:v>
                </c:pt>
                <c:pt idx="300">
                  <c:v>36834.958333334063</c:v>
                </c:pt>
                <c:pt idx="301">
                  <c:v>36834.979166667399</c:v>
                </c:pt>
                <c:pt idx="302">
                  <c:v>36835.000000000735</c:v>
                </c:pt>
                <c:pt idx="303">
                  <c:v>36835.020833334071</c:v>
                </c:pt>
                <c:pt idx="304">
                  <c:v>36835.041666667406</c:v>
                </c:pt>
                <c:pt idx="305">
                  <c:v>36835.062500000742</c:v>
                </c:pt>
                <c:pt idx="306">
                  <c:v>36835.083333334078</c:v>
                </c:pt>
                <c:pt idx="307">
                  <c:v>36835.104166667414</c:v>
                </c:pt>
                <c:pt idx="308">
                  <c:v>36835.125000000749</c:v>
                </c:pt>
                <c:pt idx="309">
                  <c:v>36835.145833334085</c:v>
                </c:pt>
                <c:pt idx="310">
                  <c:v>36835.166666667421</c:v>
                </c:pt>
                <c:pt idx="311">
                  <c:v>36835.187500000757</c:v>
                </c:pt>
                <c:pt idx="312">
                  <c:v>36835.208333334092</c:v>
                </c:pt>
                <c:pt idx="313">
                  <c:v>36835.229166667428</c:v>
                </c:pt>
                <c:pt idx="314">
                  <c:v>36835.250000000764</c:v>
                </c:pt>
                <c:pt idx="315">
                  <c:v>36835.2708333341</c:v>
                </c:pt>
                <c:pt idx="316">
                  <c:v>36835.291666667435</c:v>
                </c:pt>
                <c:pt idx="317">
                  <c:v>36835.312500000771</c:v>
                </c:pt>
                <c:pt idx="318">
                  <c:v>36835.333333334107</c:v>
                </c:pt>
                <c:pt idx="319">
                  <c:v>36835.354166667443</c:v>
                </c:pt>
                <c:pt idx="320">
                  <c:v>36835.375000000779</c:v>
                </c:pt>
                <c:pt idx="321">
                  <c:v>36835.395833334114</c:v>
                </c:pt>
                <c:pt idx="322">
                  <c:v>36835.41666666745</c:v>
                </c:pt>
                <c:pt idx="323">
                  <c:v>36835.437500000786</c:v>
                </c:pt>
                <c:pt idx="324">
                  <c:v>36835.458333334122</c:v>
                </c:pt>
                <c:pt idx="325">
                  <c:v>36835.479166667457</c:v>
                </c:pt>
                <c:pt idx="326">
                  <c:v>36835.500000000793</c:v>
                </c:pt>
                <c:pt idx="327">
                  <c:v>36835.520833334129</c:v>
                </c:pt>
                <c:pt idx="328">
                  <c:v>36835.541666667465</c:v>
                </c:pt>
                <c:pt idx="329">
                  <c:v>36835.5625000008</c:v>
                </c:pt>
                <c:pt idx="330">
                  <c:v>36835.583333334136</c:v>
                </c:pt>
                <c:pt idx="331">
                  <c:v>36835.604166667472</c:v>
                </c:pt>
                <c:pt idx="332">
                  <c:v>36835.625000000808</c:v>
                </c:pt>
                <c:pt idx="333">
                  <c:v>36835.645833334143</c:v>
                </c:pt>
                <c:pt idx="334">
                  <c:v>36835.666666667479</c:v>
                </c:pt>
                <c:pt idx="335">
                  <c:v>36835.687500000815</c:v>
                </c:pt>
                <c:pt idx="336">
                  <c:v>36835.708333334151</c:v>
                </c:pt>
                <c:pt idx="337">
                  <c:v>36835.729166667486</c:v>
                </c:pt>
                <c:pt idx="338">
                  <c:v>36835.750000000822</c:v>
                </c:pt>
                <c:pt idx="339">
                  <c:v>36835.770833334158</c:v>
                </c:pt>
                <c:pt idx="340">
                  <c:v>36835.791666667494</c:v>
                </c:pt>
                <c:pt idx="341">
                  <c:v>36835.812500000829</c:v>
                </c:pt>
                <c:pt idx="342">
                  <c:v>36835.833333334165</c:v>
                </c:pt>
                <c:pt idx="343">
                  <c:v>36835.854166667501</c:v>
                </c:pt>
                <c:pt idx="344">
                  <c:v>36835.875000000837</c:v>
                </c:pt>
                <c:pt idx="345">
                  <c:v>36835.895833334172</c:v>
                </c:pt>
                <c:pt idx="346">
                  <c:v>36835.916666667508</c:v>
                </c:pt>
                <c:pt idx="347">
                  <c:v>36835.937500000844</c:v>
                </c:pt>
                <c:pt idx="348">
                  <c:v>36835.95833333418</c:v>
                </c:pt>
                <c:pt idx="349">
                  <c:v>36835.979166667516</c:v>
                </c:pt>
                <c:pt idx="350">
                  <c:v>36836.000000000851</c:v>
                </c:pt>
                <c:pt idx="351">
                  <c:v>36836.020833334187</c:v>
                </c:pt>
                <c:pt idx="352">
                  <c:v>36836.041666667523</c:v>
                </c:pt>
                <c:pt idx="353">
                  <c:v>36836.062500000859</c:v>
                </c:pt>
                <c:pt idx="354">
                  <c:v>36836.083333334194</c:v>
                </c:pt>
                <c:pt idx="355">
                  <c:v>36836.10416666753</c:v>
                </c:pt>
                <c:pt idx="356">
                  <c:v>36836.125000000866</c:v>
                </c:pt>
                <c:pt idx="357">
                  <c:v>36836.145833334202</c:v>
                </c:pt>
                <c:pt idx="358">
                  <c:v>36836.166666667537</c:v>
                </c:pt>
                <c:pt idx="359">
                  <c:v>36836.187500000873</c:v>
                </c:pt>
                <c:pt idx="360">
                  <c:v>36836.208333334209</c:v>
                </c:pt>
                <c:pt idx="361">
                  <c:v>36836.229166667545</c:v>
                </c:pt>
                <c:pt idx="362">
                  <c:v>36836.25000000088</c:v>
                </c:pt>
                <c:pt idx="363">
                  <c:v>36836.270833334216</c:v>
                </c:pt>
                <c:pt idx="364">
                  <c:v>36836.291666667552</c:v>
                </c:pt>
                <c:pt idx="365">
                  <c:v>36836.312500000888</c:v>
                </c:pt>
                <c:pt idx="366">
                  <c:v>36836.333333334223</c:v>
                </c:pt>
                <c:pt idx="367">
                  <c:v>36836.354166667559</c:v>
                </c:pt>
                <c:pt idx="368">
                  <c:v>36836.375000000895</c:v>
                </c:pt>
                <c:pt idx="369">
                  <c:v>36836.395833334231</c:v>
                </c:pt>
                <c:pt idx="370">
                  <c:v>36836.416666667566</c:v>
                </c:pt>
                <c:pt idx="371">
                  <c:v>36836.437500000902</c:v>
                </c:pt>
                <c:pt idx="372">
                  <c:v>36836.458333334238</c:v>
                </c:pt>
                <c:pt idx="373">
                  <c:v>36836.479166667574</c:v>
                </c:pt>
                <c:pt idx="374">
                  <c:v>36836.500000000909</c:v>
                </c:pt>
                <c:pt idx="375">
                  <c:v>36836.520833334245</c:v>
                </c:pt>
                <c:pt idx="376">
                  <c:v>36836.541666667581</c:v>
                </c:pt>
                <c:pt idx="377">
                  <c:v>36836.562500000917</c:v>
                </c:pt>
                <c:pt idx="378">
                  <c:v>36836.583333334253</c:v>
                </c:pt>
                <c:pt idx="379">
                  <c:v>36836.604166667588</c:v>
                </c:pt>
                <c:pt idx="380">
                  <c:v>36836.625000000924</c:v>
                </c:pt>
                <c:pt idx="381">
                  <c:v>36836.64583333426</c:v>
                </c:pt>
                <c:pt idx="382">
                  <c:v>36836.666666667596</c:v>
                </c:pt>
                <c:pt idx="383">
                  <c:v>36836.687500000931</c:v>
                </c:pt>
                <c:pt idx="384">
                  <c:v>36836.708333334267</c:v>
                </c:pt>
                <c:pt idx="385">
                  <c:v>36836.729166667603</c:v>
                </c:pt>
                <c:pt idx="386">
                  <c:v>36836.750000000939</c:v>
                </c:pt>
                <c:pt idx="387">
                  <c:v>36836.770833334274</c:v>
                </c:pt>
                <c:pt idx="388">
                  <c:v>36836.79166666761</c:v>
                </c:pt>
                <c:pt idx="389">
                  <c:v>36836.812500000946</c:v>
                </c:pt>
                <c:pt idx="390">
                  <c:v>36836.833333334282</c:v>
                </c:pt>
                <c:pt idx="391">
                  <c:v>36836.854166667617</c:v>
                </c:pt>
                <c:pt idx="392">
                  <c:v>36836.875000000953</c:v>
                </c:pt>
                <c:pt idx="393">
                  <c:v>36836.895833334289</c:v>
                </c:pt>
                <c:pt idx="394">
                  <c:v>36836.916666667625</c:v>
                </c:pt>
                <c:pt idx="395">
                  <c:v>36836.93750000096</c:v>
                </c:pt>
                <c:pt idx="396">
                  <c:v>36836.958333334296</c:v>
                </c:pt>
                <c:pt idx="397">
                  <c:v>36836.979166667632</c:v>
                </c:pt>
                <c:pt idx="398">
                  <c:v>36837.000000000968</c:v>
                </c:pt>
                <c:pt idx="399">
                  <c:v>36837.020833334303</c:v>
                </c:pt>
                <c:pt idx="400">
                  <c:v>36837.041666667639</c:v>
                </c:pt>
                <c:pt idx="401">
                  <c:v>36837.062500000975</c:v>
                </c:pt>
                <c:pt idx="402">
                  <c:v>36837.083333334311</c:v>
                </c:pt>
                <c:pt idx="403">
                  <c:v>36837.104166667646</c:v>
                </c:pt>
                <c:pt idx="404">
                  <c:v>36837.125000000982</c:v>
                </c:pt>
                <c:pt idx="405">
                  <c:v>36837.145833334318</c:v>
                </c:pt>
                <c:pt idx="406">
                  <c:v>36837.166666667654</c:v>
                </c:pt>
                <c:pt idx="407">
                  <c:v>36837.18750000099</c:v>
                </c:pt>
                <c:pt idx="408">
                  <c:v>36837.208333334325</c:v>
                </c:pt>
                <c:pt idx="409">
                  <c:v>36837.229166667661</c:v>
                </c:pt>
                <c:pt idx="410">
                  <c:v>36837.250000000997</c:v>
                </c:pt>
                <c:pt idx="411">
                  <c:v>36837.270833334333</c:v>
                </c:pt>
                <c:pt idx="412">
                  <c:v>36837.291666667668</c:v>
                </c:pt>
                <c:pt idx="413">
                  <c:v>36837.312500001004</c:v>
                </c:pt>
                <c:pt idx="414">
                  <c:v>36837.33333333434</c:v>
                </c:pt>
                <c:pt idx="415">
                  <c:v>36837.354166667676</c:v>
                </c:pt>
                <c:pt idx="416">
                  <c:v>36837.375000001011</c:v>
                </c:pt>
                <c:pt idx="417">
                  <c:v>36837.395833334347</c:v>
                </c:pt>
                <c:pt idx="418">
                  <c:v>36837.416666667683</c:v>
                </c:pt>
                <c:pt idx="419">
                  <c:v>36837.437500001019</c:v>
                </c:pt>
                <c:pt idx="420">
                  <c:v>36837.458333334354</c:v>
                </c:pt>
                <c:pt idx="421">
                  <c:v>36837.47916666769</c:v>
                </c:pt>
                <c:pt idx="422">
                  <c:v>36837.500000001026</c:v>
                </c:pt>
                <c:pt idx="423">
                  <c:v>36837.520833334362</c:v>
                </c:pt>
                <c:pt idx="424">
                  <c:v>36837.541666667697</c:v>
                </c:pt>
                <c:pt idx="425">
                  <c:v>36837.562500001033</c:v>
                </c:pt>
                <c:pt idx="426">
                  <c:v>36837.583333334369</c:v>
                </c:pt>
                <c:pt idx="427">
                  <c:v>36837.604166667705</c:v>
                </c:pt>
                <c:pt idx="428">
                  <c:v>36837.62500000104</c:v>
                </c:pt>
                <c:pt idx="429">
                  <c:v>36837.645833334376</c:v>
                </c:pt>
                <c:pt idx="430">
                  <c:v>36837.666666667712</c:v>
                </c:pt>
                <c:pt idx="431">
                  <c:v>36837.687500001048</c:v>
                </c:pt>
                <c:pt idx="432">
                  <c:v>36837.708333334383</c:v>
                </c:pt>
                <c:pt idx="433">
                  <c:v>36837.729166667719</c:v>
                </c:pt>
                <c:pt idx="434">
                  <c:v>36837.750000001055</c:v>
                </c:pt>
                <c:pt idx="435">
                  <c:v>36837.770833334391</c:v>
                </c:pt>
                <c:pt idx="436">
                  <c:v>36837.791666667727</c:v>
                </c:pt>
                <c:pt idx="437">
                  <c:v>36837.812500001062</c:v>
                </c:pt>
                <c:pt idx="438">
                  <c:v>36837.833333334398</c:v>
                </c:pt>
                <c:pt idx="439">
                  <c:v>36837.854166667734</c:v>
                </c:pt>
                <c:pt idx="440">
                  <c:v>36837.87500000107</c:v>
                </c:pt>
                <c:pt idx="441">
                  <c:v>36837.895833334405</c:v>
                </c:pt>
                <c:pt idx="442">
                  <c:v>36837.916666667741</c:v>
                </c:pt>
                <c:pt idx="443">
                  <c:v>36837.937500001077</c:v>
                </c:pt>
                <c:pt idx="444">
                  <c:v>36837.958333334413</c:v>
                </c:pt>
                <c:pt idx="445">
                  <c:v>36837.979166667748</c:v>
                </c:pt>
                <c:pt idx="446">
                  <c:v>36838.000000001084</c:v>
                </c:pt>
                <c:pt idx="447">
                  <c:v>36838.02083333442</c:v>
                </c:pt>
                <c:pt idx="448">
                  <c:v>36838.041666667756</c:v>
                </c:pt>
                <c:pt idx="449">
                  <c:v>36838.062500001091</c:v>
                </c:pt>
                <c:pt idx="450">
                  <c:v>36838.083333334427</c:v>
                </c:pt>
                <c:pt idx="451">
                  <c:v>36838.104166667763</c:v>
                </c:pt>
                <c:pt idx="452">
                  <c:v>36838.125000001099</c:v>
                </c:pt>
                <c:pt idx="453">
                  <c:v>36838.145833334434</c:v>
                </c:pt>
                <c:pt idx="454">
                  <c:v>36838.16666666777</c:v>
                </c:pt>
                <c:pt idx="455">
                  <c:v>36838.187500001106</c:v>
                </c:pt>
                <c:pt idx="456">
                  <c:v>36838.208333334442</c:v>
                </c:pt>
                <c:pt idx="457">
                  <c:v>36838.229166667777</c:v>
                </c:pt>
                <c:pt idx="458">
                  <c:v>36838.250000001113</c:v>
                </c:pt>
                <c:pt idx="459">
                  <c:v>36838.270833334449</c:v>
                </c:pt>
                <c:pt idx="460">
                  <c:v>36838.291666667785</c:v>
                </c:pt>
                <c:pt idx="461">
                  <c:v>36838.31250000112</c:v>
                </c:pt>
                <c:pt idx="462">
                  <c:v>36838.333333334456</c:v>
                </c:pt>
                <c:pt idx="463">
                  <c:v>36838.354166667792</c:v>
                </c:pt>
                <c:pt idx="464">
                  <c:v>36838.375000001128</c:v>
                </c:pt>
                <c:pt idx="465">
                  <c:v>36838.395833334464</c:v>
                </c:pt>
                <c:pt idx="466">
                  <c:v>36838.416666667799</c:v>
                </c:pt>
                <c:pt idx="467">
                  <c:v>36838.437500001135</c:v>
                </c:pt>
                <c:pt idx="468">
                  <c:v>36838.458333334471</c:v>
                </c:pt>
                <c:pt idx="469">
                  <c:v>36838.479166667807</c:v>
                </c:pt>
                <c:pt idx="470">
                  <c:v>36838.500000001142</c:v>
                </c:pt>
                <c:pt idx="471">
                  <c:v>36838.520833334478</c:v>
                </c:pt>
                <c:pt idx="472">
                  <c:v>36838.541666667814</c:v>
                </c:pt>
                <c:pt idx="473">
                  <c:v>36838.56250000115</c:v>
                </c:pt>
                <c:pt idx="474">
                  <c:v>36838.583333334485</c:v>
                </c:pt>
                <c:pt idx="475">
                  <c:v>36838.604166667821</c:v>
                </c:pt>
                <c:pt idx="476">
                  <c:v>36838.625000001157</c:v>
                </c:pt>
                <c:pt idx="477">
                  <c:v>36838.645833334493</c:v>
                </c:pt>
                <c:pt idx="478">
                  <c:v>36838.666666667828</c:v>
                </c:pt>
                <c:pt idx="479">
                  <c:v>36838.687500001164</c:v>
                </c:pt>
                <c:pt idx="480">
                  <c:v>36838.7083333345</c:v>
                </c:pt>
                <c:pt idx="481">
                  <c:v>36838.729166667836</c:v>
                </c:pt>
                <c:pt idx="482">
                  <c:v>36838.750000001171</c:v>
                </c:pt>
                <c:pt idx="483">
                  <c:v>36838.770833334507</c:v>
                </c:pt>
                <c:pt idx="484">
                  <c:v>36838.791666667843</c:v>
                </c:pt>
                <c:pt idx="485">
                  <c:v>36838.812500001179</c:v>
                </c:pt>
                <c:pt idx="486">
                  <c:v>36838.833333334514</c:v>
                </c:pt>
                <c:pt idx="487">
                  <c:v>36838.85416666785</c:v>
                </c:pt>
                <c:pt idx="488">
                  <c:v>36838.875000001186</c:v>
                </c:pt>
                <c:pt idx="489">
                  <c:v>36838.895833334522</c:v>
                </c:pt>
                <c:pt idx="490">
                  <c:v>36838.916666667857</c:v>
                </c:pt>
                <c:pt idx="491">
                  <c:v>36838.937500001193</c:v>
                </c:pt>
                <c:pt idx="492">
                  <c:v>36838.958333334529</c:v>
                </c:pt>
                <c:pt idx="493">
                  <c:v>36838.979166667865</c:v>
                </c:pt>
                <c:pt idx="494">
                  <c:v>36839.000000001201</c:v>
                </c:pt>
                <c:pt idx="495">
                  <c:v>36839.020833334536</c:v>
                </c:pt>
                <c:pt idx="496">
                  <c:v>36839.041666667872</c:v>
                </c:pt>
                <c:pt idx="497">
                  <c:v>36839.062500001208</c:v>
                </c:pt>
                <c:pt idx="498">
                  <c:v>36839.083333334544</c:v>
                </c:pt>
                <c:pt idx="499">
                  <c:v>36839.104166667879</c:v>
                </c:pt>
                <c:pt idx="500">
                  <c:v>36839.125000001215</c:v>
                </c:pt>
                <c:pt idx="501">
                  <c:v>36839.145833334551</c:v>
                </c:pt>
                <c:pt idx="502">
                  <c:v>36839.166666667887</c:v>
                </c:pt>
                <c:pt idx="503">
                  <c:v>36839.187500001222</c:v>
                </c:pt>
                <c:pt idx="504">
                  <c:v>36839.208333334558</c:v>
                </c:pt>
                <c:pt idx="505">
                  <c:v>36839.229166667894</c:v>
                </c:pt>
                <c:pt idx="506">
                  <c:v>36839.25000000123</c:v>
                </c:pt>
                <c:pt idx="507">
                  <c:v>36839.270833334565</c:v>
                </c:pt>
                <c:pt idx="508">
                  <c:v>36839.291666667901</c:v>
                </c:pt>
                <c:pt idx="509">
                  <c:v>36839.312500001237</c:v>
                </c:pt>
                <c:pt idx="510">
                  <c:v>36839.333333334573</c:v>
                </c:pt>
                <c:pt idx="511">
                  <c:v>36839.354166667908</c:v>
                </c:pt>
                <c:pt idx="512">
                  <c:v>36839.375000001244</c:v>
                </c:pt>
                <c:pt idx="513">
                  <c:v>36839.39583333458</c:v>
                </c:pt>
                <c:pt idx="514">
                  <c:v>36839.416666667916</c:v>
                </c:pt>
                <c:pt idx="515">
                  <c:v>36839.437500001251</c:v>
                </c:pt>
                <c:pt idx="516">
                  <c:v>36839.458333334587</c:v>
                </c:pt>
                <c:pt idx="517">
                  <c:v>36839.479166667923</c:v>
                </c:pt>
                <c:pt idx="518">
                  <c:v>36839.500000001259</c:v>
                </c:pt>
                <c:pt idx="519">
                  <c:v>36839.520833334594</c:v>
                </c:pt>
                <c:pt idx="520">
                  <c:v>36839.54166666793</c:v>
                </c:pt>
                <c:pt idx="521">
                  <c:v>36839.562500001266</c:v>
                </c:pt>
                <c:pt idx="522">
                  <c:v>36839.583333334602</c:v>
                </c:pt>
                <c:pt idx="523">
                  <c:v>36839.604166667938</c:v>
                </c:pt>
                <c:pt idx="524">
                  <c:v>36839.625000001273</c:v>
                </c:pt>
                <c:pt idx="525">
                  <c:v>36839.645833334609</c:v>
                </c:pt>
                <c:pt idx="526">
                  <c:v>36839.666666667945</c:v>
                </c:pt>
                <c:pt idx="527">
                  <c:v>36839.687500001281</c:v>
                </c:pt>
                <c:pt idx="528">
                  <c:v>36839.708333334616</c:v>
                </c:pt>
                <c:pt idx="529">
                  <c:v>36839.729166667952</c:v>
                </c:pt>
                <c:pt idx="530">
                  <c:v>36839.750000001288</c:v>
                </c:pt>
                <c:pt idx="531">
                  <c:v>36839.770833334624</c:v>
                </c:pt>
                <c:pt idx="532">
                  <c:v>36839.791666667959</c:v>
                </c:pt>
                <c:pt idx="533">
                  <c:v>36839.812500001295</c:v>
                </c:pt>
                <c:pt idx="534">
                  <c:v>36839.833333334631</c:v>
                </c:pt>
                <c:pt idx="535">
                  <c:v>36839.854166667967</c:v>
                </c:pt>
                <c:pt idx="536">
                  <c:v>36839.875000001302</c:v>
                </c:pt>
                <c:pt idx="537">
                  <c:v>36839.895833334638</c:v>
                </c:pt>
                <c:pt idx="538">
                  <c:v>36839.916666667974</c:v>
                </c:pt>
                <c:pt idx="539">
                  <c:v>36839.93750000131</c:v>
                </c:pt>
                <c:pt idx="540">
                  <c:v>36839.958333334645</c:v>
                </c:pt>
                <c:pt idx="541">
                  <c:v>36839.979166667981</c:v>
                </c:pt>
                <c:pt idx="542">
                  <c:v>36840.000000001317</c:v>
                </c:pt>
                <c:pt idx="543">
                  <c:v>36840.020833334653</c:v>
                </c:pt>
                <c:pt idx="544">
                  <c:v>36840.041666667988</c:v>
                </c:pt>
                <c:pt idx="545">
                  <c:v>36840.062500001324</c:v>
                </c:pt>
                <c:pt idx="546">
                  <c:v>36840.08333333466</c:v>
                </c:pt>
                <c:pt idx="547">
                  <c:v>36840.104166667996</c:v>
                </c:pt>
                <c:pt idx="548">
                  <c:v>36840.125000001332</c:v>
                </c:pt>
                <c:pt idx="549">
                  <c:v>36840.145833334667</c:v>
                </c:pt>
                <c:pt idx="550">
                  <c:v>36840.166666668003</c:v>
                </c:pt>
                <c:pt idx="551">
                  <c:v>36840.187500001339</c:v>
                </c:pt>
                <c:pt idx="552">
                  <c:v>36840.208333334675</c:v>
                </c:pt>
                <c:pt idx="553">
                  <c:v>36840.22916666801</c:v>
                </c:pt>
                <c:pt idx="554">
                  <c:v>36840.250000001346</c:v>
                </c:pt>
                <c:pt idx="555">
                  <c:v>36840.270833334682</c:v>
                </c:pt>
                <c:pt idx="556">
                  <c:v>36840.291666668018</c:v>
                </c:pt>
                <c:pt idx="557">
                  <c:v>36840.312500001353</c:v>
                </c:pt>
                <c:pt idx="558">
                  <c:v>36840.333333334689</c:v>
                </c:pt>
                <c:pt idx="559">
                  <c:v>36840.354166668025</c:v>
                </c:pt>
                <c:pt idx="560">
                  <c:v>36840.375000001361</c:v>
                </c:pt>
                <c:pt idx="561">
                  <c:v>36840.395833334696</c:v>
                </c:pt>
                <c:pt idx="562">
                  <c:v>36840.416666668032</c:v>
                </c:pt>
                <c:pt idx="563">
                  <c:v>36840.437500001368</c:v>
                </c:pt>
                <c:pt idx="564">
                  <c:v>36840.458333334704</c:v>
                </c:pt>
                <c:pt idx="565">
                  <c:v>36840.479166668039</c:v>
                </c:pt>
                <c:pt idx="566">
                  <c:v>36840.500000001375</c:v>
                </c:pt>
                <c:pt idx="567">
                  <c:v>36840.520833334711</c:v>
                </c:pt>
                <c:pt idx="568">
                  <c:v>36840.541666668047</c:v>
                </c:pt>
                <c:pt idx="569">
                  <c:v>36840.562500001382</c:v>
                </c:pt>
                <c:pt idx="570">
                  <c:v>36840.583333334718</c:v>
                </c:pt>
                <c:pt idx="571">
                  <c:v>36840.604166668054</c:v>
                </c:pt>
                <c:pt idx="572">
                  <c:v>36840.62500000139</c:v>
                </c:pt>
                <c:pt idx="573">
                  <c:v>36840.645833334725</c:v>
                </c:pt>
                <c:pt idx="574">
                  <c:v>36840.666666668061</c:v>
                </c:pt>
                <c:pt idx="575">
                  <c:v>36840.687500001397</c:v>
                </c:pt>
                <c:pt idx="576">
                  <c:v>36840.708333334733</c:v>
                </c:pt>
                <c:pt idx="577">
                  <c:v>36840.729166668069</c:v>
                </c:pt>
                <c:pt idx="578">
                  <c:v>36840.750000001404</c:v>
                </c:pt>
                <c:pt idx="579">
                  <c:v>36840.77083333474</c:v>
                </c:pt>
                <c:pt idx="580">
                  <c:v>36840.791666668076</c:v>
                </c:pt>
                <c:pt idx="581">
                  <c:v>36840.812500001412</c:v>
                </c:pt>
                <c:pt idx="582">
                  <c:v>36840.833333334747</c:v>
                </c:pt>
                <c:pt idx="583">
                  <c:v>36840.854166668083</c:v>
                </c:pt>
                <c:pt idx="584">
                  <c:v>36840.875000001419</c:v>
                </c:pt>
                <c:pt idx="585">
                  <c:v>36840.895833334755</c:v>
                </c:pt>
                <c:pt idx="586">
                  <c:v>36840.91666666809</c:v>
                </c:pt>
                <c:pt idx="587">
                  <c:v>36840.937500001426</c:v>
                </c:pt>
                <c:pt idx="588">
                  <c:v>36840.958333334762</c:v>
                </c:pt>
                <c:pt idx="589">
                  <c:v>36840.979166668098</c:v>
                </c:pt>
                <c:pt idx="590">
                  <c:v>36841.000000001433</c:v>
                </c:pt>
                <c:pt idx="591">
                  <c:v>36841.020833334769</c:v>
                </c:pt>
                <c:pt idx="592">
                  <c:v>36841.041666668105</c:v>
                </c:pt>
                <c:pt idx="593">
                  <c:v>36841.062500001441</c:v>
                </c:pt>
                <c:pt idx="594">
                  <c:v>36841.083333334776</c:v>
                </c:pt>
                <c:pt idx="595">
                  <c:v>36841.104166668112</c:v>
                </c:pt>
                <c:pt idx="596">
                  <c:v>36841.125000001448</c:v>
                </c:pt>
                <c:pt idx="597">
                  <c:v>36841.145833334784</c:v>
                </c:pt>
                <c:pt idx="598">
                  <c:v>36841.166666668119</c:v>
                </c:pt>
                <c:pt idx="599">
                  <c:v>36841.187500001455</c:v>
                </c:pt>
                <c:pt idx="600">
                  <c:v>36841.208333334791</c:v>
                </c:pt>
                <c:pt idx="601">
                  <c:v>36841.229166668127</c:v>
                </c:pt>
                <c:pt idx="602">
                  <c:v>36841.250000001462</c:v>
                </c:pt>
                <c:pt idx="603">
                  <c:v>36841.270833334798</c:v>
                </c:pt>
                <c:pt idx="604">
                  <c:v>36841.291666668134</c:v>
                </c:pt>
                <c:pt idx="605">
                  <c:v>36841.31250000147</c:v>
                </c:pt>
                <c:pt idx="606">
                  <c:v>36841.333333334806</c:v>
                </c:pt>
                <c:pt idx="607">
                  <c:v>36841.354166668141</c:v>
                </c:pt>
                <c:pt idx="608">
                  <c:v>36841.375000001477</c:v>
                </c:pt>
                <c:pt idx="609">
                  <c:v>36841.395833334813</c:v>
                </c:pt>
                <c:pt idx="610">
                  <c:v>36841.416666668149</c:v>
                </c:pt>
                <c:pt idx="611">
                  <c:v>36841.437500001484</c:v>
                </c:pt>
                <c:pt idx="612">
                  <c:v>36841.45833333482</c:v>
                </c:pt>
                <c:pt idx="613">
                  <c:v>36841.479166668156</c:v>
                </c:pt>
                <c:pt idx="614">
                  <c:v>36841.500000001492</c:v>
                </c:pt>
                <c:pt idx="615">
                  <c:v>36841.520833334827</c:v>
                </c:pt>
                <c:pt idx="616">
                  <c:v>36841.541666668163</c:v>
                </c:pt>
                <c:pt idx="617">
                  <c:v>36841.562500001499</c:v>
                </c:pt>
                <c:pt idx="618">
                  <c:v>36841.583333334835</c:v>
                </c:pt>
                <c:pt idx="619">
                  <c:v>36841.60416666817</c:v>
                </c:pt>
                <c:pt idx="620">
                  <c:v>36841.625000001506</c:v>
                </c:pt>
                <c:pt idx="621">
                  <c:v>36841.645833334842</c:v>
                </c:pt>
                <c:pt idx="622">
                  <c:v>36841.666666668178</c:v>
                </c:pt>
                <c:pt idx="623">
                  <c:v>36841.687500001513</c:v>
                </c:pt>
                <c:pt idx="624">
                  <c:v>36841.708333334849</c:v>
                </c:pt>
                <c:pt idx="625">
                  <c:v>36841.729166668185</c:v>
                </c:pt>
                <c:pt idx="626">
                  <c:v>36841.750000001521</c:v>
                </c:pt>
                <c:pt idx="627">
                  <c:v>36841.770833334856</c:v>
                </c:pt>
                <c:pt idx="628">
                  <c:v>36841.791666668192</c:v>
                </c:pt>
                <c:pt idx="629">
                  <c:v>36841.812500001528</c:v>
                </c:pt>
                <c:pt idx="630">
                  <c:v>36841.833333334864</c:v>
                </c:pt>
                <c:pt idx="631">
                  <c:v>36841.854166668199</c:v>
                </c:pt>
                <c:pt idx="632">
                  <c:v>36841.875000001535</c:v>
                </c:pt>
                <c:pt idx="633">
                  <c:v>36841.895833334871</c:v>
                </c:pt>
                <c:pt idx="634">
                  <c:v>36841.916666668207</c:v>
                </c:pt>
                <c:pt idx="635">
                  <c:v>36841.937500001543</c:v>
                </c:pt>
                <c:pt idx="636">
                  <c:v>36841.958333334878</c:v>
                </c:pt>
                <c:pt idx="637">
                  <c:v>36841.979166668214</c:v>
                </c:pt>
                <c:pt idx="638">
                  <c:v>36842.00000000155</c:v>
                </c:pt>
                <c:pt idx="639">
                  <c:v>36842.020833334886</c:v>
                </c:pt>
                <c:pt idx="640">
                  <c:v>36842.041666668221</c:v>
                </c:pt>
                <c:pt idx="641">
                  <c:v>36842.062500001557</c:v>
                </c:pt>
                <c:pt idx="642">
                  <c:v>36842.083333334893</c:v>
                </c:pt>
                <c:pt idx="643">
                  <c:v>36842.104166668229</c:v>
                </c:pt>
                <c:pt idx="644">
                  <c:v>36842.125000001564</c:v>
                </c:pt>
                <c:pt idx="645">
                  <c:v>36842.1458333349</c:v>
                </c:pt>
                <c:pt idx="646">
                  <c:v>36842.166666668236</c:v>
                </c:pt>
                <c:pt idx="647">
                  <c:v>36842.187500001572</c:v>
                </c:pt>
                <c:pt idx="648">
                  <c:v>36842.208333334907</c:v>
                </c:pt>
                <c:pt idx="649">
                  <c:v>36842.229166668243</c:v>
                </c:pt>
                <c:pt idx="650">
                  <c:v>36842.250000001579</c:v>
                </c:pt>
                <c:pt idx="651">
                  <c:v>36842.270833334915</c:v>
                </c:pt>
                <c:pt idx="652">
                  <c:v>36842.29166666825</c:v>
                </c:pt>
                <c:pt idx="653">
                  <c:v>36842.312500001586</c:v>
                </c:pt>
                <c:pt idx="654">
                  <c:v>36842.333333334922</c:v>
                </c:pt>
                <c:pt idx="655">
                  <c:v>36842.354166668258</c:v>
                </c:pt>
                <c:pt idx="656">
                  <c:v>36842.375000001593</c:v>
                </c:pt>
                <c:pt idx="657">
                  <c:v>36842.395833334929</c:v>
                </c:pt>
                <c:pt idx="658">
                  <c:v>36842.416666668265</c:v>
                </c:pt>
                <c:pt idx="659">
                  <c:v>36842.437500001601</c:v>
                </c:pt>
                <c:pt idx="660">
                  <c:v>36842.458333334936</c:v>
                </c:pt>
                <c:pt idx="661">
                  <c:v>36842.479166668272</c:v>
                </c:pt>
                <c:pt idx="662">
                  <c:v>36842.500000001608</c:v>
                </c:pt>
                <c:pt idx="663">
                  <c:v>36842.520833334944</c:v>
                </c:pt>
                <c:pt idx="664">
                  <c:v>36842.54166666828</c:v>
                </c:pt>
                <c:pt idx="665">
                  <c:v>36842.562500001615</c:v>
                </c:pt>
                <c:pt idx="666">
                  <c:v>36842.583333334951</c:v>
                </c:pt>
                <c:pt idx="667">
                  <c:v>36842.604166668287</c:v>
                </c:pt>
                <c:pt idx="668">
                  <c:v>36842.625000001623</c:v>
                </c:pt>
                <c:pt idx="669">
                  <c:v>36842.645833334958</c:v>
                </c:pt>
                <c:pt idx="670">
                  <c:v>36842.666666668294</c:v>
                </c:pt>
                <c:pt idx="671">
                  <c:v>36842.68750000163</c:v>
                </c:pt>
                <c:pt idx="672">
                  <c:v>36842.708333334966</c:v>
                </c:pt>
                <c:pt idx="673">
                  <c:v>36842.729166668301</c:v>
                </c:pt>
                <c:pt idx="674">
                  <c:v>36842.750000001637</c:v>
                </c:pt>
                <c:pt idx="675">
                  <c:v>36842.770833334973</c:v>
                </c:pt>
                <c:pt idx="676">
                  <c:v>36842.791666668309</c:v>
                </c:pt>
                <c:pt idx="677">
                  <c:v>36842.812500001644</c:v>
                </c:pt>
                <c:pt idx="678">
                  <c:v>36842.83333333498</c:v>
                </c:pt>
                <c:pt idx="679">
                  <c:v>36842.854166668316</c:v>
                </c:pt>
                <c:pt idx="680">
                  <c:v>36842.875000001652</c:v>
                </c:pt>
                <c:pt idx="681">
                  <c:v>36842.895833334987</c:v>
                </c:pt>
                <c:pt idx="682">
                  <c:v>36842.916666668323</c:v>
                </c:pt>
                <c:pt idx="683">
                  <c:v>36842.937500001659</c:v>
                </c:pt>
                <c:pt idx="684">
                  <c:v>36842.958333334995</c:v>
                </c:pt>
                <c:pt idx="685">
                  <c:v>36842.97916666833</c:v>
                </c:pt>
                <c:pt idx="686">
                  <c:v>36843.000000001666</c:v>
                </c:pt>
                <c:pt idx="687">
                  <c:v>36843.020833335002</c:v>
                </c:pt>
                <c:pt idx="688">
                  <c:v>36843.041666668338</c:v>
                </c:pt>
                <c:pt idx="689">
                  <c:v>36843.062500001673</c:v>
                </c:pt>
                <c:pt idx="690">
                  <c:v>36843.083333335009</c:v>
                </c:pt>
                <c:pt idx="691">
                  <c:v>36843.104166668345</c:v>
                </c:pt>
                <c:pt idx="692">
                  <c:v>36843.125000001681</c:v>
                </c:pt>
                <c:pt idx="693">
                  <c:v>36843.145833335017</c:v>
                </c:pt>
                <c:pt idx="694">
                  <c:v>36843.166666668352</c:v>
                </c:pt>
                <c:pt idx="695">
                  <c:v>36843.187500001688</c:v>
                </c:pt>
                <c:pt idx="696">
                  <c:v>36843.208333335024</c:v>
                </c:pt>
                <c:pt idx="697">
                  <c:v>36843.22916666836</c:v>
                </c:pt>
                <c:pt idx="698">
                  <c:v>36843.250000001695</c:v>
                </c:pt>
                <c:pt idx="699">
                  <c:v>36843.270833335031</c:v>
                </c:pt>
                <c:pt idx="700">
                  <c:v>36843.291666668367</c:v>
                </c:pt>
                <c:pt idx="701">
                  <c:v>36843.312500001703</c:v>
                </c:pt>
                <c:pt idx="702">
                  <c:v>36843.333333335038</c:v>
                </c:pt>
                <c:pt idx="703">
                  <c:v>36843.354166668374</c:v>
                </c:pt>
                <c:pt idx="704">
                  <c:v>36843.37500000171</c:v>
                </c:pt>
                <c:pt idx="705">
                  <c:v>36843.395833335046</c:v>
                </c:pt>
                <c:pt idx="706">
                  <c:v>36843.416666668381</c:v>
                </c:pt>
                <c:pt idx="707">
                  <c:v>36843.437500001717</c:v>
                </c:pt>
                <c:pt idx="708">
                  <c:v>36843.458333335053</c:v>
                </c:pt>
                <c:pt idx="709">
                  <c:v>36843.479166668389</c:v>
                </c:pt>
                <c:pt idx="710">
                  <c:v>36843.500000001724</c:v>
                </c:pt>
                <c:pt idx="711">
                  <c:v>36843.52083333506</c:v>
                </c:pt>
                <c:pt idx="712">
                  <c:v>36843.541666668396</c:v>
                </c:pt>
                <c:pt idx="713">
                  <c:v>36843.562500001732</c:v>
                </c:pt>
                <c:pt idx="714">
                  <c:v>36843.583333335067</c:v>
                </c:pt>
                <c:pt idx="715">
                  <c:v>36843.604166668403</c:v>
                </c:pt>
                <c:pt idx="716">
                  <c:v>36843.625000001739</c:v>
                </c:pt>
                <c:pt idx="717">
                  <c:v>36843.645833335075</c:v>
                </c:pt>
                <c:pt idx="718">
                  <c:v>36843.66666666841</c:v>
                </c:pt>
                <c:pt idx="719">
                  <c:v>36843.687500001746</c:v>
                </c:pt>
                <c:pt idx="720">
                  <c:v>36843.708333335082</c:v>
                </c:pt>
                <c:pt idx="721">
                  <c:v>36843.729166668418</c:v>
                </c:pt>
                <c:pt idx="722">
                  <c:v>36843.750000001754</c:v>
                </c:pt>
                <c:pt idx="723">
                  <c:v>36843.770833335089</c:v>
                </c:pt>
                <c:pt idx="724">
                  <c:v>36843.791666668425</c:v>
                </c:pt>
                <c:pt idx="725">
                  <c:v>36843.812500001761</c:v>
                </c:pt>
                <c:pt idx="726">
                  <c:v>36843.833333335097</c:v>
                </c:pt>
                <c:pt idx="727">
                  <c:v>36843.854166666664</c:v>
                </c:pt>
                <c:pt idx="728">
                  <c:v>36843.875</c:v>
                </c:pt>
                <c:pt idx="729">
                  <c:v>36843.895833333336</c:v>
                </c:pt>
                <c:pt idx="730">
                  <c:v>36843.916666666672</c:v>
                </c:pt>
                <c:pt idx="731">
                  <c:v>36843.937500000007</c:v>
                </c:pt>
                <c:pt idx="732">
                  <c:v>36843.958333333343</c:v>
                </c:pt>
                <c:pt idx="733">
                  <c:v>36843.979166666679</c:v>
                </c:pt>
                <c:pt idx="734">
                  <c:v>36844.000000000015</c:v>
                </c:pt>
                <c:pt idx="735">
                  <c:v>36844.02083333335</c:v>
                </c:pt>
                <c:pt idx="736">
                  <c:v>36844.041666666686</c:v>
                </c:pt>
                <c:pt idx="737">
                  <c:v>36844.062500000022</c:v>
                </c:pt>
                <c:pt idx="738">
                  <c:v>36844.083333333358</c:v>
                </c:pt>
                <c:pt idx="739">
                  <c:v>36844.104166666693</c:v>
                </c:pt>
                <c:pt idx="740">
                  <c:v>36844.125000000029</c:v>
                </c:pt>
                <c:pt idx="741">
                  <c:v>36844.145833333365</c:v>
                </c:pt>
                <c:pt idx="742">
                  <c:v>36844.166666666701</c:v>
                </c:pt>
                <c:pt idx="743">
                  <c:v>36844.187500000036</c:v>
                </c:pt>
                <c:pt idx="744">
                  <c:v>36844.208333333372</c:v>
                </c:pt>
                <c:pt idx="745">
                  <c:v>36844.229166666708</c:v>
                </c:pt>
                <c:pt idx="746">
                  <c:v>36844.250000000044</c:v>
                </c:pt>
                <c:pt idx="747">
                  <c:v>36844.270833333379</c:v>
                </c:pt>
                <c:pt idx="748">
                  <c:v>36844.291666666715</c:v>
                </c:pt>
                <c:pt idx="749">
                  <c:v>36844.312500000051</c:v>
                </c:pt>
                <c:pt idx="750">
                  <c:v>36844.333333333387</c:v>
                </c:pt>
                <c:pt idx="751">
                  <c:v>36844.354166666722</c:v>
                </c:pt>
                <c:pt idx="752">
                  <c:v>36844.375000000058</c:v>
                </c:pt>
                <c:pt idx="753">
                  <c:v>36844.395833333394</c:v>
                </c:pt>
                <c:pt idx="754">
                  <c:v>36844.41666666673</c:v>
                </c:pt>
                <c:pt idx="755">
                  <c:v>36844.437500000065</c:v>
                </c:pt>
                <c:pt idx="756">
                  <c:v>36844.458333333401</c:v>
                </c:pt>
                <c:pt idx="757">
                  <c:v>36844.479166666737</c:v>
                </c:pt>
                <c:pt idx="758">
                  <c:v>36844.500000000073</c:v>
                </c:pt>
                <c:pt idx="759">
                  <c:v>36844.520833333409</c:v>
                </c:pt>
                <c:pt idx="760">
                  <c:v>36844.541666666744</c:v>
                </c:pt>
                <c:pt idx="761">
                  <c:v>36844.56250000008</c:v>
                </c:pt>
                <c:pt idx="762">
                  <c:v>36844.583333333416</c:v>
                </c:pt>
                <c:pt idx="763">
                  <c:v>36844.604166666752</c:v>
                </c:pt>
                <c:pt idx="764">
                  <c:v>36844.625000000087</c:v>
                </c:pt>
                <c:pt idx="765">
                  <c:v>36844.645833333423</c:v>
                </c:pt>
                <c:pt idx="766">
                  <c:v>36844.666666666759</c:v>
                </c:pt>
                <c:pt idx="767">
                  <c:v>36844.687500000095</c:v>
                </c:pt>
                <c:pt idx="768">
                  <c:v>36844.70833333343</c:v>
                </c:pt>
                <c:pt idx="769">
                  <c:v>36844.729166666766</c:v>
                </c:pt>
                <c:pt idx="770">
                  <c:v>36844.750000000102</c:v>
                </c:pt>
                <c:pt idx="771">
                  <c:v>36844.770833333438</c:v>
                </c:pt>
                <c:pt idx="772">
                  <c:v>36844.791666666773</c:v>
                </c:pt>
                <c:pt idx="773">
                  <c:v>36844.812500000109</c:v>
                </c:pt>
                <c:pt idx="774">
                  <c:v>36844.833333333445</c:v>
                </c:pt>
                <c:pt idx="775">
                  <c:v>36844.854166666781</c:v>
                </c:pt>
                <c:pt idx="776">
                  <c:v>36844.875000000116</c:v>
                </c:pt>
                <c:pt idx="777">
                  <c:v>36844.895833333452</c:v>
                </c:pt>
                <c:pt idx="778">
                  <c:v>36844.916666666788</c:v>
                </c:pt>
                <c:pt idx="779">
                  <c:v>36844.937500000124</c:v>
                </c:pt>
                <c:pt idx="780">
                  <c:v>36844.958333333459</c:v>
                </c:pt>
                <c:pt idx="781">
                  <c:v>36844.979166666795</c:v>
                </c:pt>
                <c:pt idx="782">
                  <c:v>36845.000000000131</c:v>
                </c:pt>
                <c:pt idx="783">
                  <c:v>36845.020833333467</c:v>
                </c:pt>
                <c:pt idx="784">
                  <c:v>36845.041666666802</c:v>
                </c:pt>
                <c:pt idx="785">
                  <c:v>36845.062500000138</c:v>
                </c:pt>
                <c:pt idx="786">
                  <c:v>36845.083333333474</c:v>
                </c:pt>
                <c:pt idx="787">
                  <c:v>36845.10416666681</c:v>
                </c:pt>
                <c:pt idx="788">
                  <c:v>36845.125000000146</c:v>
                </c:pt>
                <c:pt idx="789">
                  <c:v>36845.145833333481</c:v>
                </c:pt>
                <c:pt idx="790">
                  <c:v>36845.166666666817</c:v>
                </c:pt>
                <c:pt idx="791">
                  <c:v>36845.187500000153</c:v>
                </c:pt>
                <c:pt idx="792">
                  <c:v>36845.208333333489</c:v>
                </c:pt>
                <c:pt idx="793">
                  <c:v>36845.229166666824</c:v>
                </c:pt>
                <c:pt idx="794">
                  <c:v>36845.25000000016</c:v>
                </c:pt>
                <c:pt idx="795">
                  <c:v>36845.270833333496</c:v>
                </c:pt>
                <c:pt idx="796">
                  <c:v>36845.291666666832</c:v>
                </c:pt>
                <c:pt idx="797">
                  <c:v>36845.312500000167</c:v>
                </c:pt>
                <c:pt idx="798">
                  <c:v>36845.333333333503</c:v>
                </c:pt>
                <c:pt idx="799">
                  <c:v>36845.354166666839</c:v>
                </c:pt>
                <c:pt idx="800">
                  <c:v>36845.375000000175</c:v>
                </c:pt>
                <c:pt idx="801">
                  <c:v>36845.39583333351</c:v>
                </c:pt>
                <c:pt idx="802">
                  <c:v>36845.416666666846</c:v>
                </c:pt>
                <c:pt idx="803">
                  <c:v>36845.437500000182</c:v>
                </c:pt>
                <c:pt idx="804">
                  <c:v>36845.458333333518</c:v>
                </c:pt>
                <c:pt idx="805">
                  <c:v>36845.479166666853</c:v>
                </c:pt>
                <c:pt idx="806">
                  <c:v>36845.500000000189</c:v>
                </c:pt>
                <c:pt idx="807">
                  <c:v>36845.520833333525</c:v>
                </c:pt>
                <c:pt idx="808">
                  <c:v>36845.541666666861</c:v>
                </c:pt>
                <c:pt idx="809">
                  <c:v>36845.562500000196</c:v>
                </c:pt>
                <c:pt idx="810">
                  <c:v>36845.583333333532</c:v>
                </c:pt>
                <c:pt idx="811">
                  <c:v>36845.604166666868</c:v>
                </c:pt>
                <c:pt idx="812">
                  <c:v>36845.625000000204</c:v>
                </c:pt>
                <c:pt idx="813">
                  <c:v>36845.645833333539</c:v>
                </c:pt>
                <c:pt idx="814">
                  <c:v>36845.666666666875</c:v>
                </c:pt>
                <c:pt idx="815">
                  <c:v>36845.687500000211</c:v>
                </c:pt>
                <c:pt idx="816">
                  <c:v>36845.708333333547</c:v>
                </c:pt>
                <c:pt idx="817">
                  <c:v>36845.729166666883</c:v>
                </c:pt>
                <c:pt idx="818">
                  <c:v>36845.750000000218</c:v>
                </c:pt>
                <c:pt idx="819">
                  <c:v>36845.770833333554</c:v>
                </c:pt>
                <c:pt idx="820">
                  <c:v>36845.79166666689</c:v>
                </c:pt>
                <c:pt idx="821">
                  <c:v>36845.812500000226</c:v>
                </c:pt>
                <c:pt idx="822">
                  <c:v>36845.833333333561</c:v>
                </c:pt>
                <c:pt idx="823">
                  <c:v>36845.854166666897</c:v>
                </c:pt>
                <c:pt idx="824">
                  <c:v>36845.875000000233</c:v>
                </c:pt>
                <c:pt idx="825">
                  <c:v>36845.895833333569</c:v>
                </c:pt>
                <c:pt idx="826">
                  <c:v>36845.916666666904</c:v>
                </c:pt>
                <c:pt idx="827">
                  <c:v>36845.93750000024</c:v>
                </c:pt>
                <c:pt idx="828">
                  <c:v>36845.958333333576</c:v>
                </c:pt>
                <c:pt idx="829">
                  <c:v>36845.979166666912</c:v>
                </c:pt>
                <c:pt idx="830">
                  <c:v>36846.000000000247</c:v>
                </c:pt>
                <c:pt idx="831">
                  <c:v>36846.020833333583</c:v>
                </c:pt>
                <c:pt idx="832">
                  <c:v>36846.041666666919</c:v>
                </c:pt>
                <c:pt idx="833">
                  <c:v>36846.062500000255</c:v>
                </c:pt>
                <c:pt idx="834">
                  <c:v>36846.08333333359</c:v>
                </c:pt>
                <c:pt idx="835">
                  <c:v>36846.104166666926</c:v>
                </c:pt>
                <c:pt idx="836">
                  <c:v>36846.125000000262</c:v>
                </c:pt>
                <c:pt idx="837">
                  <c:v>36846.145833333598</c:v>
                </c:pt>
                <c:pt idx="838">
                  <c:v>36846.166666666933</c:v>
                </c:pt>
                <c:pt idx="839">
                  <c:v>36846.187500000269</c:v>
                </c:pt>
                <c:pt idx="840">
                  <c:v>36846.208333333605</c:v>
                </c:pt>
                <c:pt idx="841">
                  <c:v>36846.229166666941</c:v>
                </c:pt>
                <c:pt idx="842">
                  <c:v>36846.250000000276</c:v>
                </c:pt>
                <c:pt idx="843">
                  <c:v>36846.270833333612</c:v>
                </c:pt>
                <c:pt idx="844">
                  <c:v>36846.291666666948</c:v>
                </c:pt>
                <c:pt idx="845">
                  <c:v>36846.312500000284</c:v>
                </c:pt>
                <c:pt idx="846">
                  <c:v>36846.33333333362</c:v>
                </c:pt>
                <c:pt idx="847">
                  <c:v>36846.354166666955</c:v>
                </c:pt>
                <c:pt idx="848">
                  <c:v>36846.375000000291</c:v>
                </c:pt>
                <c:pt idx="849">
                  <c:v>36846.395833333627</c:v>
                </c:pt>
                <c:pt idx="850">
                  <c:v>36846.416666666963</c:v>
                </c:pt>
                <c:pt idx="851">
                  <c:v>36846.437500000298</c:v>
                </c:pt>
                <c:pt idx="852">
                  <c:v>36846.458333333634</c:v>
                </c:pt>
                <c:pt idx="853">
                  <c:v>36846.47916666697</c:v>
                </c:pt>
                <c:pt idx="854">
                  <c:v>36846.500000000306</c:v>
                </c:pt>
                <c:pt idx="855">
                  <c:v>36846.520833333641</c:v>
                </c:pt>
                <c:pt idx="856">
                  <c:v>36846.541666666977</c:v>
                </c:pt>
                <c:pt idx="857">
                  <c:v>36846.562500000313</c:v>
                </c:pt>
                <c:pt idx="858">
                  <c:v>36846.583333333649</c:v>
                </c:pt>
                <c:pt idx="859">
                  <c:v>36846.604166666984</c:v>
                </c:pt>
                <c:pt idx="860">
                  <c:v>36846.62500000032</c:v>
                </c:pt>
                <c:pt idx="861">
                  <c:v>36846.645833333656</c:v>
                </c:pt>
                <c:pt idx="862">
                  <c:v>36846.666666666992</c:v>
                </c:pt>
                <c:pt idx="863">
                  <c:v>36846.687500000327</c:v>
                </c:pt>
                <c:pt idx="864">
                  <c:v>36846.708333333663</c:v>
                </c:pt>
                <c:pt idx="865">
                  <c:v>36846.729166666999</c:v>
                </c:pt>
                <c:pt idx="866">
                  <c:v>36846.750000000335</c:v>
                </c:pt>
                <c:pt idx="867">
                  <c:v>36846.77083333367</c:v>
                </c:pt>
                <c:pt idx="868">
                  <c:v>36846.791666667006</c:v>
                </c:pt>
                <c:pt idx="869">
                  <c:v>36846.812500000342</c:v>
                </c:pt>
                <c:pt idx="870">
                  <c:v>36846.833333333678</c:v>
                </c:pt>
                <c:pt idx="871">
                  <c:v>36846.854166667013</c:v>
                </c:pt>
                <c:pt idx="872">
                  <c:v>36846.875000000349</c:v>
                </c:pt>
                <c:pt idx="873">
                  <c:v>36846.895833333685</c:v>
                </c:pt>
                <c:pt idx="874">
                  <c:v>36846.916666667021</c:v>
                </c:pt>
                <c:pt idx="875">
                  <c:v>36846.937500000357</c:v>
                </c:pt>
                <c:pt idx="876">
                  <c:v>36846.958333333692</c:v>
                </c:pt>
                <c:pt idx="877">
                  <c:v>36846.979166667028</c:v>
                </c:pt>
                <c:pt idx="878">
                  <c:v>36847.000000000364</c:v>
                </c:pt>
                <c:pt idx="879">
                  <c:v>36847.0208333337</c:v>
                </c:pt>
                <c:pt idx="880">
                  <c:v>36847.041666667035</c:v>
                </c:pt>
                <c:pt idx="881">
                  <c:v>36847.062500000371</c:v>
                </c:pt>
                <c:pt idx="882">
                  <c:v>36847.083333333707</c:v>
                </c:pt>
                <c:pt idx="883">
                  <c:v>36847.104166667043</c:v>
                </c:pt>
                <c:pt idx="884">
                  <c:v>36847.125000000378</c:v>
                </c:pt>
                <c:pt idx="885">
                  <c:v>36847.145833333714</c:v>
                </c:pt>
                <c:pt idx="886">
                  <c:v>36847.16666666705</c:v>
                </c:pt>
                <c:pt idx="887">
                  <c:v>36847.187500000386</c:v>
                </c:pt>
                <c:pt idx="888">
                  <c:v>36847.208333333721</c:v>
                </c:pt>
                <c:pt idx="889">
                  <c:v>36847.229166667057</c:v>
                </c:pt>
                <c:pt idx="890">
                  <c:v>36847.250000000393</c:v>
                </c:pt>
                <c:pt idx="891">
                  <c:v>36847.270833333729</c:v>
                </c:pt>
                <c:pt idx="892">
                  <c:v>36847.291666667064</c:v>
                </c:pt>
                <c:pt idx="893">
                  <c:v>36847.3125000004</c:v>
                </c:pt>
                <c:pt idx="894">
                  <c:v>36847.333333333736</c:v>
                </c:pt>
                <c:pt idx="895">
                  <c:v>36847.354166667072</c:v>
                </c:pt>
                <c:pt idx="896">
                  <c:v>36847.375000000407</c:v>
                </c:pt>
                <c:pt idx="897">
                  <c:v>36847.395833333743</c:v>
                </c:pt>
                <c:pt idx="898">
                  <c:v>36847.416666667079</c:v>
                </c:pt>
                <c:pt idx="899">
                  <c:v>36847.437500000415</c:v>
                </c:pt>
                <c:pt idx="900">
                  <c:v>36847.45833333375</c:v>
                </c:pt>
                <c:pt idx="901">
                  <c:v>36847.479166667086</c:v>
                </c:pt>
                <c:pt idx="902">
                  <c:v>36847.500000000422</c:v>
                </c:pt>
                <c:pt idx="903">
                  <c:v>36847.520833333758</c:v>
                </c:pt>
                <c:pt idx="904">
                  <c:v>36847.541666667094</c:v>
                </c:pt>
                <c:pt idx="905">
                  <c:v>36847.562500000429</c:v>
                </c:pt>
                <c:pt idx="906">
                  <c:v>36847.583333333765</c:v>
                </c:pt>
                <c:pt idx="907">
                  <c:v>36847.604166667101</c:v>
                </c:pt>
                <c:pt idx="908">
                  <c:v>36847.625000000437</c:v>
                </c:pt>
                <c:pt idx="909">
                  <c:v>36847.645833333772</c:v>
                </c:pt>
                <c:pt idx="910">
                  <c:v>36847.666666667108</c:v>
                </c:pt>
                <c:pt idx="911">
                  <c:v>36847.687500000444</c:v>
                </c:pt>
                <c:pt idx="912">
                  <c:v>36847.70833333378</c:v>
                </c:pt>
                <c:pt idx="913">
                  <c:v>36847.729166667115</c:v>
                </c:pt>
                <c:pt idx="914">
                  <c:v>36847.750000000451</c:v>
                </c:pt>
                <c:pt idx="915">
                  <c:v>36847.770833333787</c:v>
                </c:pt>
                <c:pt idx="916">
                  <c:v>36847.791666667123</c:v>
                </c:pt>
                <c:pt idx="917">
                  <c:v>36847.812500000458</c:v>
                </c:pt>
                <c:pt idx="918">
                  <c:v>36847.833333333794</c:v>
                </c:pt>
                <c:pt idx="919">
                  <c:v>36847.85416666713</c:v>
                </c:pt>
                <c:pt idx="920">
                  <c:v>36847.875000000466</c:v>
                </c:pt>
                <c:pt idx="921">
                  <c:v>36847.895833333801</c:v>
                </c:pt>
                <c:pt idx="922">
                  <c:v>36847.916666667137</c:v>
                </c:pt>
                <c:pt idx="923">
                  <c:v>36847.937500000473</c:v>
                </c:pt>
                <c:pt idx="924">
                  <c:v>36847.958333333809</c:v>
                </c:pt>
                <c:pt idx="925">
                  <c:v>36847.979166667144</c:v>
                </c:pt>
                <c:pt idx="926">
                  <c:v>36848.00000000048</c:v>
                </c:pt>
                <c:pt idx="927">
                  <c:v>36848.020833333816</c:v>
                </c:pt>
                <c:pt idx="928">
                  <c:v>36848.041666667152</c:v>
                </c:pt>
                <c:pt idx="929">
                  <c:v>36848.062500000487</c:v>
                </c:pt>
                <c:pt idx="930">
                  <c:v>36848.083333333823</c:v>
                </c:pt>
                <c:pt idx="931">
                  <c:v>36848.104166667159</c:v>
                </c:pt>
                <c:pt idx="932">
                  <c:v>36848.125000000495</c:v>
                </c:pt>
                <c:pt idx="933">
                  <c:v>36848.145833333831</c:v>
                </c:pt>
                <c:pt idx="934">
                  <c:v>36848.166666667166</c:v>
                </c:pt>
                <c:pt idx="935">
                  <c:v>36848.187500000502</c:v>
                </c:pt>
                <c:pt idx="936">
                  <c:v>36848.208333333838</c:v>
                </c:pt>
                <c:pt idx="937">
                  <c:v>36848.229166667174</c:v>
                </c:pt>
                <c:pt idx="938">
                  <c:v>36848.250000000509</c:v>
                </c:pt>
                <c:pt idx="939">
                  <c:v>36848.270833333845</c:v>
                </c:pt>
                <c:pt idx="940">
                  <c:v>36848.291666667181</c:v>
                </c:pt>
                <c:pt idx="941">
                  <c:v>36848.312500000517</c:v>
                </c:pt>
                <c:pt idx="942">
                  <c:v>36848.333333333852</c:v>
                </c:pt>
                <c:pt idx="943">
                  <c:v>36848.354166667188</c:v>
                </c:pt>
                <c:pt idx="944">
                  <c:v>36848.375000000524</c:v>
                </c:pt>
                <c:pt idx="945">
                  <c:v>36848.39583333386</c:v>
                </c:pt>
                <c:pt idx="946">
                  <c:v>36848.416666667195</c:v>
                </c:pt>
                <c:pt idx="947">
                  <c:v>36848.437500000531</c:v>
                </c:pt>
                <c:pt idx="948">
                  <c:v>36848.458333333867</c:v>
                </c:pt>
                <c:pt idx="949">
                  <c:v>36848.479166667203</c:v>
                </c:pt>
                <c:pt idx="950">
                  <c:v>36848.500000000538</c:v>
                </c:pt>
                <c:pt idx="951">
                  <c:v>36848.520833333874</c:v>
                </c:pt>
                <c:pt idx="952">
                  <c:v>36848.54166666721</c:v>
                </c:pt>
                <c:pt idx="953">
                  <c:v>36848.562500000546</c:v>
                </c:pt>
                <c:pt idx="954">
                  <c:v>36848.583333333881</c:v>
                </c:pt>
                <c:pt idx="955">
                  <c:v>36848.604166667217</c:v>
                </c:pt>
                <c:pt idx="956">
                  <c:v>36848.625000000553</c:v>
                </c:pt>
                <c:pt idx="957">
                  <c:v>36848.645833333889</c:v>
                </c:pt>
                <c:pt idx="958">
                  <c:v>36848.666666667224</c:v>
                </c:pt>
                <c:pt idx="959">
                  <c:v>36848.68750000056</c:v>
                </c:pt>
                <c:pt idx="960">
                  <c:v>36848.708333333896</c:v>
                </c:pt>
                <c:pt idx="961">
                  <c:v>36848.729166667232</c:v>
                </c:pt>
                <c:pt idx="962">
                  <c:v>36848.750000000568</c:v>
                </c:pt>
                <c:pt idx="963">
                  <c:v>36848.770833333903</c:v>
                </c:pt>
                <c:pt idx="964">
                  <c:v>36848.791666667239</c:v>
                </c:pt>
                <c:pt idx="965">
                  <c:v>36848.812500000575</c:v>
                </c:pt>
                <c:pt idx="966">
                  <c:v>36848.833333333911</c:v>
                </c:pt>
                <c:pt idx="967">
                  <c:v>36848.854166667246</c:v>
                </c:pt>
                <c:pt idx="968">
                  <c:v>36848.875000000582</c:v>
                </c:pt>
                <c:pt idx="969">
                  <c:v>36848.895833333918</c:v>
                </c:pt>
                <c:pt idx="970">
                  <c:v>36848.916666667254</c:v>
                </c:pt>
                <c:pt idx="971">
                  <c:v>36848.937500000589</c:v>
                </c:pt>
                <c:pt idx="972">
                  <c:v>36848.958333333925</c:v>
                </c:pt>
                <c:pt idx="973">
                  <c:v>36848.979166667261</c:v>
                </c:pt>
                <c:pt idx="974">
                  <c:v>36849.000000000597</c:v>
                </c:pt>
                <c:pt idx="975">
                  <c:v>36849.020833333932</c:v>
                </c:pt>
                <c:pt idx="976">
                  <c:v>36849.041666667268</c:v>
                </c:pt>
                <c:pt idx="977">
                  <c:v>36849.062500000604</c:v>
                </c:pt>
                <c:pt idx="978">
                  <c:v>36849.08333333394</c:v>
                </c:pt>
                <c:pt idx="979">
                  <c:v>36849.104166667275</c:v>
                </c:pt>
                <c:pt idx="980">
                  <c:v>36849.125000000611</c:v>
                </c:pt>
                <c:pt idx="981">
                  <c:v>36849.145833333947</c:v>
                </c:pt>
                <c:pt idx="982">
                  <c:v>36849.166666667283</c:v>
                </c:pt>
                <c:pt idx="983">
                  <c:v>36849.187500000618</c:v>
                </c:pt>
                <c:pt idx="984">
                  <c:v>36849.208333333954</c:v>
                </c:pt>
                <c:pt idx="985">
                  <c:v>36849.22916666729</c:v>
                </c:pt>
                <c:pt idx="986">
                  <c:v>36849.250000000626</c:v>
                </c:pt>
                <c:pt idx="987">
                  <c:v>36849.270833333961</c:v>
                </c:pt>
                <c:pt idx="988">
                  <c:v>36849.291666667297</c:v>
                </c:pt>
                <c:pt idx="989">
                  <c:v>36849.312500000633</c:v>
                </c:pt>
                <c:pt idx="990">
                  <c:v>36849.333333333969</c:v>
                </c:pt>
                <c:pt idx="991">
                  <c:v>36849.354166667305</c:v>
                </c:pt>
                <c:pt idx="992">
                  <c:v>36849.37500000064</c:v>
                </c:pt>
                <c:pt idx="993">
                  <c:v>36849.395833333976</c:v>
                </c:pt>
                <c:pt idx="994">
                  <c:v>36849.416666667312</c:v>
                </c:pt>
                <c:pt idx="995">
                  <c:v>36849.437500000648</c:v>
                </c:pt>
                <c:pt idx="996">
                  <c:v>36849.458333333983</c:v>
                </c:pt>
                <c:pt idx="997">
                  <c:v>36849.479166667319</c:v>
                </c:pt>
                <c:pt idx="998">
                  <c:v>36849.500000000655</c:v>
                </c:pt>
                <c:pt idx="999">
                  <c:v>36849.520833333991</c:v>
                </c:pt>
                <c:pt idx="1000">
                  <c:v>36849.541666667326</c:v>
                </c:pt>
                <c:pt idx="1001">
                  <c:v>36849.562500000662</c:v>
                </c:pt>
                <c:pt idx="1002">
                  <c:v>36849.583333333998</c:v>
                </c:pt>
                <c:pt idx="1003">
                  <c:v>36849.604166667334</c:v>
                </c:pt>
                <c:pt idx="1004">
                  <c:v>36849.625000000669</c:v>
                </c:pt>
                <c:pt idx="1005">
                  <c:v>36849.645833334005</c:v>
                </c:pt>
                <c:pt idx="1006">
                  <c:v>36849.666666667341</c:v>
                </c:pt>
                <c:pt idx="1007">
                  <c:v>36849.687500000677</c:v>
                </c:pt>
                <c:pt idx="1008">
                  <c:v>36849.708333334012</c:v>
                </c:pt>
                <c:pt idx="1009">
                  <c:v>36849.729166667348</c:v>
                </c:pt>
                <c:pt idx="1010">
                  <c:v>36849.750000000684</c:v>
                </c:pt>
                <c:pt idx="1011">
                  <c:v>36849.77083333402</c:v>
                </c:pt>
                <c:pt idx="1012">
                  <c:v>36849.791666667355</c:v>
                </c:pt>
                <c:pt idx="1013">
                  <c:v>36849.812500000691</c:v>
                </c:pt>
                <c:pt idx="1014">
                  <c:v>36849.833333334027</c:v>
                </c:pt>
                <c:pt idx="1015">
                  <c:v>36849.854166667363</c:v>
                </c:pt>
                <c:pt idx="1016">
                  <c:v>36849.875000000698</c:v>
                </c:pt>
                <c:pt idx="1017">
                  <c:v>36849.895833334034</c:v>
                </c:pt>
                <c:pt idx="1018">
                  <c:v>36849.91666666737</c:v>
                </c:pt>
                <c:pt idx="1019">
                  <c:v>36849.937500000706</c:v>
                </c:pt>
                <c:pt idx="1020">
                  <c:v>36849.958333334042</c:v>
                </c:pt>
                <c:pt idx="1021">
                  <c:v>36849.979166667377</c:v>
                </c:pt>
                <c:pt idx="1022">
                  <c:v>36850.000000000713</c:v>
                </c:pt>
                <c:pt idx="1023">
                  <c:v>36850.020833334049</c:v>
                </c:pt>
                <c:pt idx="1024">
                  <c:v>36850.041666667385</c:v>
                </c:pt>
                <c:pt idx="1025">
                  <c:v>36850.06250000072</c:v>
                </c:pt>
                <c:pt idx="1026">
                  <c:v>36850.083333334056</c:v>
                </c:pt>
                <c:pt idx="1027">
                  <c:v>36850.104166667392</c:v>
                </c:pt>
                <c:pt idx="1028">
                  <c:v>36850.125000000728</c:v>
                </c:pt>
                <c:pt idx="1029">
                  <c:v>36850.145833334063</c:v>
                </c:pt>
                <c:pt idx="1030">
                  <c:v>36850.166666667399</c:v>
                </c:pt>
                <c:pt idx="1031">
                  <c:v>36850.187500000735</c:v>
                </c:pt>
                <c:pt idx="1032">
                  <c:v>36850.208333334071</c:v>
                </c:pt>
                <c:pt idx="1033">
                  <c:v>36850.229166667406</c:v>
                </c:pt>
                <c:pt idx="1034">
                  <c:v>36850.250000000742</c:v>
                </c:pt>
                <c:pt idx="1035">
                  <c:v>36850.270833334078</c:v>
                </c:pt>
                <c:pt idx="1036">
                  <c:v>36850.291666667414</c:v>
                </c:pt>
                <c:pt idx="1037">
                  <c:v>36850.312500000749</c:v>
                </c:pt>
                <c:pt idx="1038">
                  <c:v>36850.333333334085</c:v>
                </c:pt>
                <c:pt idx="1039">
                  <c:v>36850.354166667421</c:v>
                </c:pt>
                <c:pt idx="1040">
                  <c:v>36850.375000000757</c:v>
                </c:pt>
                <c:pt idx="1041">
                  <c:v>36850.395833334092</c:v>
                </c:pt>
                <c:pt idx="1042">
                  <c:v>36850.416666667428</c:v>
                </c:pt>
                <c:pt idx="1043">
                  <c:v>36850.437500000764</c:v>
                </c:pt>
                <c:pt idx="1044">
                  <c:v>36850.4583333341</c:v>
                </c:pt>
                <c:pt idx="1045">
                  <c:v>36850.479166667435</c:v>
                </c:pt>
                <c:pt idx="1046">
                  <c:v>36850.500000000771</c:v>
                </c:pt>
                <c:pt idx="1047">
                  <c:v>36850.520833334107</c:v>
                </c:pt>
                <c:pt idx="1048">
                  <c:v>36850.541666667443</c:v>
                </c:pt>
                <c:pt idx="1049">
                  <c:v>36850.562500000779</c:v>
                </c:pt>
                <c:pt idx="1050">
                  <c:v>36850.583333334114</c:v>
                </c:pt>
                <c:pt idx="1051">
                  <c:v>36850.60416666745</c:v>
                </c:pt>
                <c:pt idx="1052">
                  <c:v>36850.625000000786</c:v>
                </c:pt>
                <c:pt idx="1053">
                  <c:v>36850.645833334122</c:v>
                </c:pt>
                <c:pt idx="1054">
                  <c:v>36850.666666667457</c:v>
                </c:pt>
                <c:pt idx="1055">
                  <c:v>36850.687500000793</c:v>
                </c:pt>
                <c:pt idx="1056">
                  <c:v>36850.708333334129</c:v>
                </c:pt>
                <c:pt idx="1057">
                  <c:v>36850.729166667465</c:v>
                </c:pt>
                <c:pt idx="1058">
                  <c:v>36850.7500000008</c:v>
                </c:pt>
                <c:pt idx="1059">
                  <c:v>36850.770833334136</c:v>
                </c:pt>
                <c:pt idx="1060">
                  <c:v>36850.791666667472</c:v>
                </c:pt>
                <c:pt idx="1061">
                  <c:v>36850.812500000808</c:v>
                </c:pt>
                <c:pt idx="1062">
                  <c:v>36850.833333334143</c:v>
                </c:pt>
                <c:pt idx="1063">
                  <c:v>36850.854166667479</c:v>
                </c:pt>
                <c:pt idx="1064">
                  <c:v>36850.875000000815</c:v>
                </c:pt>
                <c:pt idx="1065">
                  <c:v>36850.895833334151</c:v>
                </c:pt>
                <c:pt idx="1066">
                  <c:v>36850.916666667486</c:v>
                </c:pt>
                <c:pt idx="1067">
                  <c:v>36850.937500000822</c:v>
                </c:pt>
                <c:pt idx="1068">
                  <c:v>36850.958333334158</c:v>
                </c:pt>
                <c:pt idx="1069">
                  <c:v>36850.979166667494</c:v>
                </c:pt>
                <c:pt idx="1070">
                  <c:v>36851.000000000829</c:v>
                </c:pt>
                <c:pt idx="1071">
                  <c:v>36851.020833334165</c:v>
                </c:pt>
                <c:pt idx="1072">
                  <c:v>36851.041666667501</c:v>
                </c:pt>
                <c:pt idx="1073">
                  <c:v>36851.062500000837</c:v>
                </c:pt>
                <c:pt idx="1074">
                  <c:v>36851.083333334172</c:v>
                </c:pt>
                <c:pt idx="1075">
                  <c:v>36851.104166667508</c:v>
                </c:pt>
                <c:pt idx="1076">
                  <c:v>36851.125000000844</c:v>
                </c:pt>
                <c:pt idx="1077">
                  <c:v>36851.14583333418</c:v>
                </c:pt>
                <c:pt idx="1078">
                  <c:v>36851.166666667516</c:v>
                </c:pt>
                <c:pt idx="1079">
                  <c:v>36851.187500000851</c:v>
                </c:pt>
                <c:pt idx="1080">
                  <c:v>36851.208333334187</c:v>
                </c:pt>
                <c:pt idx="1081">
                  <c:v>36851.229166667523</c:v>
                </c:pt>
                <c:pt idx="1082">
                  <c:v>36851.250000000859</c:v>
                </c:pt>
                <c:pt idx="1083">
                  <c:v>36851.270833334194</c:v>
                </c:pt>
                <c:pt idx="1084">
                  <c:v>36851.29166666753</c:v>
                </c:pt>
                <c:pt idx="1085">
                  <c:v>36851.312500000866</c:v>
                </c:pt>
                <c:pt idx="1086">
                  <c:v>36851.333333334202</c:v>
                </c:pt>
                <c:pt idx="1087">
                  <c:v>36851.354166667537</c:v>
                </c:pt>
                <c:pt idx="1088">
                  <c:v>36851.375000000873</c:v>
                </c:pt>
                <c:pt idx="1089">
                  <c:v>36851.395833334209</c:v>
                </c:pt>
                <c:pt idx="1090">
                  <c:v>36851.416666667545</c:v>
                </c:pt>
                <c:pt idx="1091">
                  <c:v>36851.43750000088</c:v>
                </c:pt>
                <c:pt idx="1092">
                  <c:v>36851.458333334216</c:v>
                </c:pt>
                <c:pt idx="1093">
                  <c:v>36851.479166667552</c:v>
                </c:pt>
                <c:pt idx="1094">
                  <c:v>36851.500000000888</c:v>
                </c:pt>
                <c:pt idx="1095">
                  <c:v>36851.520833334223</c:v>
                </c:pt>
                <c:pt idx="1096">
                  <c:v>36851.541666667559</c:v>
                </c:pt>
                <c:pt idx="1097">
                  <c:v>36851.562500000895</c:v>
                </c:pt>
                <c:pt idx="1098">
                  <c:v>36851.583333334231</c:v>
                </c:pt>
                <c:pt idx="1099">
                  <c:v>36851.604166667566</c:v>
                </c:pt>
                <c:pt idx="1100">
                  <c:v>36851.625000000902</c:v>
                </c:pt>
                <c:pt idx="1101">
                  <c:v>36851.645833334238</c:v>
                </c:pt>
                <c:pt idx="1102">
                  <c:v>36851.666666667574</c:v>
                </c:pt>
                <c:pt idx="1103">
                  <c:v>36851.687500000909</c:v>
                </c:pt>
                <c:pt idx="1104">
                  <c:v>36851.708333334245</c:v>
                </c:pt>
                <c:pt idx="1105">
                  <c:v>36851.729166667581</c:v>
                </c:pt>
                <c:pt idx="1106">
                  <c:v>36851.750000000917</c:v>
                </c:pt>
                <c:pt idx="1107">
                  <c:v>36851.770833334253</c:v>
                </c:pt>
                <c:pt idx="1108">
                  <c:v>36851.791666667588</c:v>
                </c:pt>
                <c:pt idx="1109">
                  <c:v>36851.812500000924</c:v>
                </c:pt>
                <c:pt idx="1110">
                  <c:v>36851.83333333426</c:v>
                </c:pt>
                <c:pt idx="1111">
                  <c:v>36851.854166667596</c:v>
                </c:pt>
                <c:pt idx="1112">
                  <c:v>36851.875000000931</c:v>
                </c:pt>
                <c:pt idx="1113">
                  <c:v>36851.895833334267</c:v>
                </c:pt>
                <c:pt idx="1114">
                  <c:v>36851.916666667603</c:v>
                </c:pt>
                <c:pt idx="1115">
                  <c:v>36851.937500000939</c:v>
                </c:pt>
                <c:pt idx="1116">
                  <c:v>36851.958333334274</c:v>
                </c:pt>
                <c:pt idx="1117">
                  <c:v>36851.97916666761</c:v>
                </c:pt>
                <c:pt idx="1118">
                  <c:v>36852.000000000946</c:v>
                </c:pt>
                <c:pt idx="1119">
                  <c:v>36852.020833334282</c:v>
                </c:pt>
                <c:pt idx="1120">
                  <c:v>36852.041666667617</c:v>
                </c:pt>
                <c:pt idx="1121">
                  <c:v>36852.062500000953</c:v>
                </c:pt>
                <c:pt idx="1122">
                  <c:v>36852.083333334289</c:v>
                </c:pt>
                <c:pt idx="1123">
                  <c:v>36852.104166667625</c:v>
                </c:pt>
                <c:pt idx="1124">
                  <c:v>36852.12500000096</c:v>
                </c:pt>
                <c:pt idx="1125">
                  <c:v>36852.145833334296</c:v>
                </c:pt>
                <c:pt idx="1126">
                  <c:v>36852.166666667632</c:v>
                </c:pt>
                <c:pt idx="1127">
                  <c:v>36852.187500000968</c:v>
                </c:pt>
                <c:pt idx="1128">
                  <c:v>36852.208333334303</c:v>
                </c:pt>
                <c:pt idx="1129">
                  <c:v>36852.229166667639</c:v>
                </c:pt>
                <c:pt idx="1130">
                  <c:v>36852.250000000975</c:v>
                </c:pt>
                <c:pt idx="1131">
                  <c:v>36852.270833334311</c:v>
                </c:pt>
                <c:pt idx="1132">
                  <c:v>36852.291666667646</c:v>
                </c:pt>
                <c:pt idx="1133">
                  <c:v>36852.312500000982</c:v>
                </c:pt>
                <c:pt idx="1134">
                  <c:v>36852.333333334318</c:v>
                </c:pt>
                <c:pt idx="1135">
                  <c:v>36852.354166667654</c:v>
                </c:pt>
                <c:pt idx="1136">
                  <c:v>36852.37500000099</c:v>
                </c:pt>
                <c:pt idx="1137">
                  <c:v>36852.395833334325</c:v>
                </c:pt>
                <c:pt idx="1138">
                  <c:v>36852.416666667661</c:v>
                </c:pt>
                <c:pt idx="1139">
                  <c:v>36852.437500000997</c:v>
                </c:pt>
                <c:pt idx="1140">
                  <c:v>36852.458333334333</c:v>
                </c:pt>
                <c:pt idx="1141">
                  <c:v>36852.479166667668</c:v>
                </c:pt>
                <c:pt idx="1142">
                  <c:v>36852.500000001004</c:v>
                </c:pt>
                <c:pt idx="1143">
                  <c:v>36852.52083333434</c:v>
                </c:pt>
                <c:pt idx="1144">
                  <c:v>36852.541666667676</c:v>
                </c:pt>
                <c:pt idx="1145">
                  <c:v>36852.562500001011</c:v>
                </c:pt>
                <c:pt idx="1146">
                  <c:v>36852.583333334347</c:v>
                </c:pt>
                <c:pt idx="1147">
                  <c:v>36852.604166667683</c:v>
                </c:pt>
                <c:pt idx="1148">
                  <c:v>36852.625000001019</c:v>
                </c:pt>
                <c:pt idx="1149">
                  <c:v>36852.645833334354</c:v>
                </c:pt>
                <c:pt idx="1150">
                  <c:v>36852.66666666769</c:v>
                </c:pt>
                <c:pt idx="1151">
                  <c:v>36852.687500001026</c:v>
                </c:pt>
                <c:pt idx="1152">
                  <c:v>36852.708333334362</c:v>
                </c:pt>
                <c:pt idx="1153">
                  <c:v>36852.729166667697</c:v>
                </c:pt>
                <c:pt idx="1154">
                  <c:v>36852.750000001033</c:v>
                </c:pt>
                <c:pt idx="1155">
                  <c:v>36852.770833334369</c:v>
                </c:pt>
                <c:pt idx="1156">
                  <c:v>36852.791666667705</c:v>
                </c:pt>
                <c:pt idx="1157">
                  <c:v>36852.81250000104</c:v>
                </c:pt>
                <c:pt idx="1158">
                  <c:v>36852.833333334376</c:v>
                </c:pt>
                <c:pt idx="1159">
                  <c:v>36852.854166667712</c:v>
                </c:pt>
                <c:pt idx="1160">
                  <c:v>36852.875000001048</c:v>
                </c:pt>
                <c:pt idx="1161">
                  <c:v>36852.895833334383</c:v>
                </c:pt>
                <c:pt idx="1162">
                  <c:v>36852.916666667719</c:v>
                </c:pt>
                <c:pt idx="1163">
                  <c:v>36852.937500001055</c:v>
                </c:pt>
                <c:pt idx="1164">
                  <c:v>36852.958333334391</c:v>
                </c:pt>
                <c:pt idx="1165">
                  <c:v>36852.979166667727</c:v>
                </c:pt>
                <c:pt idx="1166">
                  <c:v>36853.000000001062</c:v>
                </c:pt>
                <c:pt idx="1167">
                  <c:v>36853.020833334398</c:v>
                </c:pt>
                <c:pt idx="1168">
                  <c:v>36853.041666667734</c:v>
                </c:pt>
                <c:pt idx="1169">
                  <c:v>36853.06250000107</c:v>
                </c:pt>
                <c:pt idx="1170">
                  <c:v>36853.083333334405</c:v>
                </c:pt>
                <c:pt idx="1171">
                  <c:v>36853.104166667741</c:v>
                </c:pt>
                <c:pt idx="1172">
                  <c:v>36853.125000001077</c:v>
                </c:pt>
                <c:pt idx="1173">
                  <c:v>36853.145833334413</c:v>
                </c:pt>
                <c:pt idx="1174">
                  <c:v>36853.166666667748</c:v>
                </c:pt>
                <c:pt idx="1175">
                  <c:v>36853.187500001084</c:v>
                </c:pt>
                <c:pt idx="1176">
                  <c:v>36853.20833333442</c:v>
                </c:pt>
                <c:pt idx="1177">
                  <c:v>36853.229166667756</c:v>
                </c:pt>
                <c:pt idx="1178">
                  <c:v>36853.250000001091</c:v>
                </c:pt>
                <c:pt idx="1179">
                  <c:v>36853.270833334427</c:v>
                </c:pt>
                <c:pt idx="1180">
                  <c:v>36853.291666667763</c:v>
                </c:pt>
                <c:pt idx="1181">
                  <c:v>36853.312500001099</c:v>
                </c:pt>
                <c:pt idx="1182">
                  <c:v>36853.333333334434</c:v>
                </c:pt>
                <c:pt idx="1183">
                  <c:v>36853.35416666777</c:v>
                </c:pt>
                <c:pt idx="1184">
                  <c:v>36853.375000001106</c:v>
                </c:pt>
                <c:pt idx="1185">
                  <c:v>36853.395833334442</c:v>
                </c:pt>
                <c:pt idx="1186">
                  <c:v>36853.416666667777</c:v>
                </c:pt>
                <c:pt idx="1187">
                  <c:v>36853.437500001113</c:v>
                </c:pt>
                <c:pt idx="1188">
                  <c:v>36853.458333334449</c:v>
                </c:pt>
                <c:pt idx="1189">
                  <c:v>36853.479166667785</c:v>
                </c:pt>
                <c:pt idx="1190">
                  <c:v>36853.50000000112</c:v>
                </c:pt>
                <c:pt idx="1191">
                  <c:v>36853.520833334456</c:v>
                </c:pt>
                <c:pt idx="1192">
                  <c:v>36853.541666667792</c:v>
                </c:pt>
                <c:pt idx="1193">
                  <c:v>36853.562500001128</c:v>
                </c:pt>
                <c:pt idx="1194">
                  <c:v>36853.583333334464</c:v>
                </c:pt>
                <c:pt idx="1195">
                  <c:v>36853.604166667799</c:v>
                </c:pt>
                <c:pt idx="1196">
                  <c:v>36853.625000001135</c:v>
                </c:pt>
                <c:pt idx="1197">
                  <c:v>36853.645833334471</c:v>
                </c:pt>
                <c:pt idx="1198">
                  <c:v>36853.666666667807</c:v>
                </c:pt>
                <c:pt idx="1199">
                  <c:v>36853.687500001142</c:v>
                </c:pt>
                <c:pt idx="1200">
                  <c:v>36853.708333334478</c:v>
                </c:pt>
                <c:pt idx="1201">
                  <c:v>36853.729166667814</c:v>
                </c:pt>
                <c:pt idx="1202">
                  <c:v>36853.75000000115</c:v>
                </c:pt>
                <c:pt idx="1203">
                  <c:v>36853.770833334485</c:v>
                </c:pt>
                <c:pt idx="1204">
                  <c:v>36853.791666667821</c:v>
                </c:pt>
                <c:pt idx="1205">
                  <c:v>36853.812500001157</c:v>
                </c:pt>
                <c:pt idx="1206">
                  <c:v>36853.833333334493</c:v>
                </c:pt>
                <c:pt idx="1207">
                  <c:v>36853.854166667828</c:v>
                </c:pt>
                <c:pt idx="1208">
                  <c:v>36853.875000001164</c:v>
                </c:pt>
                <c:pt idx="1209">
                  <c:v>36853.8958333345</c:v>
                </c:pt>
                <c:pt idx="1210">
                  <c:v>36853.916666667836</c:v>
                </c:pt>
                <c:pt idx="1211">
                  <c:v>36853.937500001171</c:v>
                </c:pt>
                <c:pt idx="1212">
                  <c:v>36853.958333334507</c:v>
                </c:pt>
                <c:pt idx="1213">
                  <c:v>36853.979166667843</c:v>
                </c:pt>
                <c:pt idx="1214">
                  <c:v>36854.000000001179</c:v>
                </c:pt>
                <c:pt idx="1215">
                  <c:v>36854.020833334514</c:v>
                </c:pt>
                <c:pt idx="1216">
                  <c:v>36854.04166666785</c:v>
                </c:pt>
                <c:pt idx="1217">
                  <c:v>36854.062500001186</c:v>
                </c:pt>
                <c:pt idx="1218">
                  <c:v>36854.083333334522</c:v>
                </c:pt>
                <c:pt idx="1219">
                  <c:v>36854.104166667857</c:v>
                </c:pt>
                <c:pt idx="1220">
                  <c:v>36854.125000001193</c:v>
                </c:pt>
                <c:pt idx="1221">
                  <c:v>36854.145833334529</c:v>
                </c:pt>
                <c:pt idx="1222">
                  <c:v>36854.166666667865</c:v>
                </c:pt>
                <c:pt idx="1223">
                  <c:v>36854.187500001201</c:v>
                </c:pt>
                <c:pt idx="1224">
                  <c:v>36854.208333334536</c:v>
                </c:pt>
                <c:pt idx="1225">
                  <c:v>36854.229166667872</c:v>
                </c:pt>
                <c:pt idx="1226">
                  <c:v>36854.250000001208</c:v>
                </c:pt>
                <c:pt idx="1227">
                  <c:v>36854.270833334544</c:v>
                </c:pt>
                <c:pt idx="1228">
                  <c:v>36854.291666667879</c:v>
                </c:pt>
                <c:pt idx="1229">
                  <c:v>36854.312500001215</c:v>
                </c:pt>
                <c:pt idx="1230">
                  <c:v>36854.333333334551</c:v>
                </c:pt>
                <c:pt idx="1231">
                  <c:v>36854.354166667887</c:v>
                </c:pt>
                <c:pt idx="1232">
                  <c:v>36854.375000001222</c:v>
                </c:pt>
                <c:pt idx="1233">
                  <c:v>36854.395833334558</c:v>
                </c:pt>
                <c:pt idx="1234">
                  <c:v>36854.416666667894</c:v>
                </c:pt>
                <c:pt idx="1235">
                  <c:v>36854.43750000123</c:v>
                </c:pt>
                <c:pt idx="1236">
                  <c:v>36854.458333334565</c:v>
                </c:pt>
                <c:pt idx="1237">
                  <c:v>36854.479166667901</c:v>
                </c:pt>
                <c:pt idx="1238">
                  <c:v>36854.500000001237</c:v>
                </c:pt>
                <c:pt idx="1239">
                  <c:v>36854.520833334573</c:v>
                </c:pt>
                <c:pt idx="1240">
                  <c:v>36854.541666667908</c:v>
                </c:pt>
                <c:pt idx="1241">
                  <c:v>36854.562500001244</c:v>
                </c:pt>
                <c:pt idx="1242">
                  <c:v>36854.58333333458</c:v>
                </c:pt>
                <c:pt idx="1243">
                  <c:v>36854.604166667916</c:v>
                </c:pt>
                <c:pt idx="1244">
                  <c:v>36854.625000001251</c:v>
                </c:pt>
                <c:pt idx="1245">
                  <c:v>36854.645833334587</c:v>
                </c:pt>
                <c:pt idx="1246">
                  <c:v>36854.666666667923</c:v>
                </c:pt>
                <c:pt idx="1247">
                  <c:v>36854.687500001259</c:v>
                </c:pt>
                <c:pt idx="1248">
                  <c:v>36854.708333334594</c:v>
                </c:pt>
                <c:pt idx="1249">
                  <c:v>36854.72916666793</c:v>
                </c:pt>
                <c:pt idx="1250">
                  <c:v>36854.750000001266</c:v>
                </c:pt>
                <c:pt idx="1251">
                  <c:v>36854.770833334602</c:v>
                </c:pt>
                <c:pt idx="1252">
                  <c:v>36854.791666667938</c:v>
                </c:pt>
                <c:pt idx="1253">
                  <c:v>36854.812500001273</c:v>
                </c:pt>
                <c:pt idx="1254">
                  <c:v>36854.833333334609</c:v>
                </c:pt>
                <c:pt idx="1255">
                  <c:v>36854.854166667945</c:v>
                </c:pt>
                <c:pt idx="1256">
                  <c:v>36854.875000001281</c:v>
                </c:pt>
                <c:pt idx="1257">
                  <c:v>36854.895833334616</c:v>
                </c:pt>
                <c:pt idx="1258">
                  <c:v>36854.916666667952</c:v>
                </c:pt>
                <c:pt idx="1259">
                  <c:v>36854.937500001288</c:v>
                </c:pt>
                <c:pt idx="1260">
                  <c:v>36854.958333334624</c:v>
                </c:pt>
                <c:pt idx="1261">
                  <c:v>36854.979166667959</c:v>
                </c:pt>
                <c:pt idx="1262">
                  <c:v>36855.000000001295</c:v>
                </c:pt>
                <c:pt idx="1263">
                  <c:v>36855.020833334631</c:v>
                </c:pt>
                <c:pt idx="1264">
                  <c:v>36855.041666667967</c:v>
                </c:pt>
                <c:pt idx="1265">
                  <c:v>36855.062500001302</c:v>
                </c:pt>
                <c:pt idx="1266">
                  <c:v>36855.083333334638</c:v>
                </c:pt>
                <c:pt idx="1267">
                  <c:v>36855.104166667974</c:v>
                </c:pt>
                <c:pt idx="1268">
                  <c:v>36855.12500000131</c:v>
                </c:pt>
                <c:pt idx="1269">
                  <c:v>36855.145833334645</c:v>
                </c:pt>
                <c:pt idx="1270">
                  <c:v>36855.166666667981</c:v>
                </c:pt>
                <c:pt idx="1271">
                  <c:v>36855.187500001317</c:v>
                </c:pt>
                <c:pt idx="1272">
                  <c:v>36855.208333334653</c:v>
                </c:pt>
                <c:pt idx="1273">
                  <c:v>36855.229166667988</c:v>
                </c:pt>
                <c:pt idx="1274">
                  <c:v>36855.250000001324</c:v>
                </c:pt>
                <c:pt idx="1275">
                  <c:v>36855.27083333466</c:v>
                </c:pt>
                <c:pt idx="1276">
                  <c:v>36855.291666667996</c:v>
                </c:pt>
                <c:pt idx="1277">
                  <c:v>36855.312500001332</c:v>
                </c:pt>
                <c:pt idx="1278">
                  <c:v>36855.333333334667</c:v>
                </c:pt>
                <c:pt idx="1279">
                  <c:v>36855.354166668003</c:v>
                </c:pt>
                <c:pt idx="1280">
                  <c:v>36855.375000001339</c:v>
                </c:pt>
                <c:pt idx="1281">
                  <c:v>36855.395833334675</c:v>
                </c:pt>
                <c:pt idx="1282">
                  <c:v>36855.41666666801</c:v>
                </c:pt>
                <c:pt idx="1283">
                  <c:v>36855.437500001346</c:v>
                </c:pt>
                <c:pt idx="1284">
                  <c:v>36855.458333334682</c:v>
                </c:pt>
                <c:pt idx="1285">
                  <c:v>36855.479166668018</c:v>
                </c:pt>
                <c:pt idx="1286">
                  <c:v>36855.500000001353</c:v>
                </c:pt>
                <c:pt idx="1287">
                  <c:v>36855.520833334689</c:v>
                </c:pt>
                <c:pt idx="1288">
                  <c:v>36855.541666668025</c:v>
                </c:pt>
                <c:pt idx="1289">
                  <c:v>36855.562500001361</c:v>
                </c:pt>
              </c:numCache>
            </c:numRef>
          </c:xVal>
          <c:yVal>
            <c:numRef>
              <c:f>AADATA!$J:$J</c:f>
              <c:numCache>
                <c:formatCode>General</c:formatCode>
                <c:ptCount val="65536"/>
                <c:pt idx="0">
                  <c:v>0</c:v>
                </c:pt>
                <c:pt idx="3">
                  <c:v>6.9648000000000003</c:v>
                </c:pt>
                <c:pt idx="4">
                  <c:v>7.86</c:v>
                </c:pt>
                <c:pt idx="5">
                  <c:v>6.9648000000000003</c:v>
                </c:pt>
                <c:pt idx="6">
                  <c:v>12.037599999999999</c:v>
                </c:pt>
                <c:pt idx="7">
                  <c:v>6.3680000000000003</c:v>
                </c:pt>
                <c:pt idx="8">
                  <c:v>14.7232</c:v>
                </c:pt>
                <c:pt idx="9">
                  <c:v>11.7392</c:v>
                </c:pt>
                <c:pt idx="10">
                  <c:v>25.763999999999999</c:v>
                </c:pt>
                <c:pt idx="11">
                  <c:v>25.763999999999999</c:v>
                </c:pt>
                <c:pt idx="12">
                  <c:v>22.779999999999998</c:v>
                </c:pt>
                <c:pt idx="13">
                  <c:v>20.691199999999998</c:v>
                </c:pt>
                <c:pt idx="14">
                  <c:v>23.376799999999999</c:v>
                </c:pt>
                <c:pt idx="15">
                  <c:v>20.392799999999998</c:v>
                </c:pt>
                <c:pt idx="16">
                  <c:v>24.271999999999998</c:v>
                </c:pt>
                <c:pt idx="17">
                  <c:v>24.271999999999998</c:v>
                </c:pt>
                <c:pt idx="18">
                  <c:v>15.618399999999999</c:v>
                </c:pt>
                <c:pt idx="19">
                  <c:v>13.231199999999999</c:v>
                </c:pt>
                <c:pt idx="20">
                  <c:v>15.021600000000001</c:v>
                </c:pt>
                <c:pt idx="21">
                  <c:v>9.9488000000000003</c:v>
                </c:pt>
                <c:pt idx="22">
                  <c:v>8.1584000000000003</c:v>
                </c:pt>
                <c:pt idx="23">
                  <c:v>9.3520000000000003</c:v>
                </c:pt>
                <c:pt idx="24">
                  <c:v>9.6503999999999994</c:v>
                </c:pt>
                <c:pt idx="25">
                  <c:v>7.86</c:v>
                </c:pt>
                <c:pt idx="26">
                  <c:v>8.4567999999999994</c:v>
                </c:pt>
                <c:pt idx="27">
                  <c:v>9.6503999999999994</c:v>
                </c:pt>
                <c:pt idx="28">
                  <c:v>7.2632000000000003</c:v>
                </c:pt>
                <c:pt idx="29">
                  <c:v>17.110399999999998</c:v>
                </c:pt>
                <c:pt idx="30">
                  <c:v>12.9328</c:v>
                </c:pt>
                <c:pt idx="31">
                  <c:v>14.424799999999999</c:v>
                </c:pt>
                <c:pt idx="32">
                  <c:v>15.021600000000001</c:v>
                </c:pt>
                <c:pt idx="33">
                  <c:v>13.828000000000001</c:v>
                </c:pt>
                <c:pt idx="34">
                  <c:v>21.586399999999998</c:v>
                </c:pt>
                <c:pt idx="35">
                  <c:v>13.828000000000001</c:v>
                </c:pt>
                <c:pt idx="36">
                  <c:v>18.602399999999999</c:v>
                </c:pt>
                <c:pt idx="37">
                  <c:v>16.513599999999997</c:v>
                </c:pt>
                <c:pt idx="38">
                  <c:v>5.4728000000000003</c:v>
                </c:pt>
                <c:pt idx="39">
                  <c:v>6.0696000000000003</c:v>
                </c:pt>
                <c:pt idx="40">
                  <c:v>5.7712000000000003</c:v>
                </c:pt>
                <c:pt idx="41">
                  <c:v>6.3680000000000003</c:v>
                </c:pt>
                <c:pt idx="42">
                  <c:v>4.5776000000000003</c:v>
                </c:pt>
                <c:pt idx="43">
                  <c:v>4.5776000000000003</c:v>
                </c:pt>
                <c:pt idx="44">
                  <c:v>1.8919999999999999</c:v>
                </c:pt>
                <c:pt idx="45">
                  <c:v>5.1744000000000003</c:v>
                </c:pt>
                <c:pt idx="46">
                  <c:v>9.6503999999999994</c:v>
                </c:pt>
                <c:pt idx="47">
                  <c:v>16.811999999999998</c:v>
                </c:pt>
                <c:pt idx="48">
                  <c:v>21.884799999999998</c:v>
                </c:pt>
                <c:pt idx="49">
                  <c:v>23.973599999999998</c:v>
                </c:pt>
                <c:pt idx="50">
                  <c:v>23.376799999999999</c:v>
                </c:pt>
                <c:pt idx="51">
                  <c:v>20.0944</c:v>
                </c:pt>
                <c:pt idx="52">
                  <c:v>18.900799999999997</c:v>
                </c:pt>
                <c:pt idx="53">
                  <c:v>21.586399999999998</c:v>
                </c:pt>
                <c:pt idx="54">
                  <c:v>22.183199999999999</c:v>
                </c:pt>
                <c:pt idx="55">
                  <c:v>19.199199999999998</c:v>
                </c:pt>
                <c:pt idx="56">
                  <c:v>17.7072</c:v>
                </c:pt>
                <c:pt idx="57">
                  <c:v>20.989599999999999</c:v>
                </c:pt>
                <c:pt idx="58">
                  <c:v>21.586399999999998</c:v>
                </c:pt>
                <c:pt idx="59">
                  <c:v>23.973599999999998</c:v>
                </c:pt>
                <c:pt idx="60">
                  <c:v>24.570399999999999</c:v>
                </c:pt>
                <c:pt idx="61">
                  <c:v>24.271999999999998</c:v>
                </c:pt>
                <c:pt idx="62">
                  <c:v>23.078399999999998</c:v>
                </c:pt>
                <c:pt idx="63">
                  <c:v>22.183199999999999</c:v>
                </c:pt>
                <c:pt idx="64">
                  <c:v>17.110399999999998</c:v>
                </c:pt>
                <c:pt idx="65">
                  <c:v>6.9648000000000003</c:v>
                </c:pt>
                <c:pt idx="66">
                  <c:v>8.1584000000000003</c:v>
                </c:pt>
                <c:pt idx="67">
                  <c:v>6.6664000000000003</c:v>
                </c:pt>
                <c:pt idx="68">
                  <c:v>9.3520000000000003</c:v>
                </c:pt>
                <c:pt idx="69">
                  <c:v>3.9807999999999999</c:v>
                </c:pt>
                <c:pt idx="70">
                  <c:v>6.9648000000000003</c:v>
                </c:pt>
                <c:pt idx="71">
                  <c:v>10.5456</c:v>
                </c:pt>
                <c:pt idx="72">
                  <c:v>6.0696000000000003</c:v>
                </c:pt>
                <c:pt idx="73">
                  <c:v>12.9328</c:v>
                </c:pt>
                <c:pt idx="74">
                  <c:v>12.9328</c:v>
                </c:pt>
                <c:pt idx="75">
                  <c:v>9.3520000000000003</c:v>
                </c:pt>
                <c:pt idx="76">
                  <c:v>12.336</c:v>
                </c:pt>
                <c:pt idx="77">
                  <c:v>22.779999999999998</c:v>
                </c:pt>
                <c:pt idx="78">
                  <c:v>21.287999999999997</c:v>
                </c:pt>
                <c:pt idx="79">
                  <c:v>33.820799999999998</c:v>
                </c:pt>
                <c:pt idx="80">
                  <c:v>29.6432</c:v>
                </c:pt>
                <c:pt idx="81">
                  <c:v>30.538399999999999</c:v>
                </c:pt>
                <c:pt idx="82">
                  <c:v>26.360799999999998</c:v>
                </c:pt>
                <c:pt idx="83">
                  <c:v>29.344799999999999</c:v>
                </c:pt>
                <c:pt idx="84">
                  <c:v>26.659199999999998</c:v>
                </c:pt>
                <c:pt idx="85">
                  <c:v>29.941599999999998</c:v>
                </c:pt>
                <c:pt idx="86">
                  <c:v>33.223999999999997</c:v>
                </c:pt>
                <c:pt idx="87">
                  <c:v>29.6432</c:v>
                </c:pt>
                <c:pt idx="88">
                  <c:v>27.554399999999998</c:v>
                </c:pt>
                <c:pt idx="89">
                  <c:v>28.747999999999998</c:v>
                </c:pt>
                <c:pt idx="90">
                  <c:v>29.344799999999999</c:v>
                </c:pt>
                <c:pt idx="91">
                  <c:v>29.6432</c:v>
                </c:pt>
                <c:pt idx="92">
                  <c:v>18.602399999999999</c:v>
                </c:pt>
                <c:pt idx="93">
                  <c:v>12.336</c:v>
                </c:pt>
                <c:pt idx="94">
                  <c:v>11.440800000000001</c:v>
                </c:pt>
                <c:pt idx="95">
                  <c:v>9.9488000000000003</c:v>
                </c:pt>
                <c:pt idx="96">
                  <c:v>15.618399999999999</c:v>
                </c:pt>
                <c:pt idx="97">
                  <c:v>15.32</c:v>
                </c:pt>
                <c:pt idx="98">
                  <c:v>13.828000000000001</c:v>
                </c:pt>
                <c:pt idx="99">
                  <c:v>16.513599999999997</c:v>
                </c:pt>
                <c:pt idx="100">
                  <c:v>10.843999999999999</c:v>
                </c:pt>
                <c:pt idx="101">
                  <c:v>6.6664000000000003</c:v>
                </c:pt>
                <c:pt idx="102">
                  <c:v>14.7232</c:v>
                </c:pt>
                <c:pt idx="103">
                  <c:v>12.9328</c:v>
                </c:pt>
                <c:pt idx="104">
                  <c:v>14.7232</c:v>
                </c:pt>
                <c:pt idx="105">
                  <c:v>17.408799999999999</c:v>
                </c:pt>
                <c:pt idx="106">
                  <c:v>11.7392</c:v>
                </c:pt>
                <c:pt idx="107">
                  <c:v>13.828000000000001</c:v>
                </c:pt>
                <c:pt idx="108">
                  <c:v>13.828000000000001</c:v>
                </c:pt>
                <c:pt idx="109">
                  <c:v>11.7392</c:v>
                </c:pt>
                <c:pt idx="110">
                  <c:v>10.247200000000001</c:v>
                </c:pt>
                <c:pt idx="111">
                  <c:v>8.7552000000000003</c:v>
                </c:pt>
                <c:pt idx="112">
                  <c:v>10.5456</c:v>
                </c:pt>
                <c:pt idx="113">
                  <c:v>12.9328</c:v>
                </c:pt>
                <c:pt idx="114">
                  <c:v>12.336</c:v>
                </c:pt>
                <c:pt idx="115">
                  <c:v>9.3520000000000003</c:v>
                </c:pt>
                <c:pt idx="116">
                  <c:v>15.9168</c:v>
                </c:pt>
                <c:pt idx="117">
                  <c:v>9.0536000000000012</c:v>
                </c:pt>
                <c:pt idx="118">
                  <c:v>12.037599999999999</c:v>
                </c:pt>
                <c:pt idx="119">
                  <c:v>9.0536000000000012</c:v>
                </c:pt>
                <c:pt idx="120">
                  <c:v>6.9648000000000003</c:v>
                </c:pt>
                <c:pt idx="121">
                  <c:v>7.2632000000000003</c:v>
                </c:pt>
                <c:pt idx="122">
                  <c:v>5.1744000000000003</c:v>
                </c:pt>
                <c:pt idx="123">
                  <c:v>5.7712000000000003</c:v>
                </c:pt>
                <c:pt idx="124">
                  <c:v>3.3839999999999999</c:v>
                </c:pt>
                <c:pt idx="125">
                  <c:v>6.6664000000000003</c:v>
                </c:pt>
                <c:pt idx="126">
                  <c:v>3.9807999999999999</c:v>
                </c:pt>
                <c:pt idx="127">
                  <c:v>6.6664000000000003</c:v>
                </c:pt>
                <c:pt idx="128">
                  <c:v>7.5616000000000003</c:v>
                </c:pt>
                <c:pt idx="129">
                  <c:v>8.1584000000000003</c:v>
                </c:pt>
                <c:pt idx="130">
                  <c:v>9.6503999999999994</c:v>
                </c:pt>
                <c:pt idx="131">
                  <c:v>9.6503999999999994</c:v>
                </c:pt>
                <c:pt idx="132">
                  <c:v>13.828000000000001</c:v>
                </c:pt>
                <c:pt idx="133">
                  <c:v>9.9488000000000003</c:v>
                </c:pt>
                <c:pt idx="134">
                  <c:v>14.1264</c:v>
                </c:pt>
                <c:pt idx="135">
                  <c:v>9.9488000000000003</c:v>
                </c:pt>
                <c:pt idx="136">
                  <c:v>17.110399999999998</c:v>
                </c:pt>
                <c:pt idx="137">
                  <c:v>22.183199999999999</c:v>
                </c:pt>
                <c:pt idx="138">
                  <c:v>9.9488000000000003</c:v>
                </c:pt>
                <c:pt idx="139">
                  <c:v>26.659199999999998</c:v>
                </c:pt>
                <c:pt idx="140">
                  <c:v>22.779999999999998</c:v>
                </c:pt>
                <c:pt idx="141">
                  <c:v>27.554399999999998</c:v>
                </c:pt>
                <c:pt idx="142">
                  <c:v>29.941599999999998</c:v>
                </c:pt>
                <c:pt idx="143">
                  <c:v>33.820799999999998</c:v>
                </c:pt>
                <c:pt idx="144">
                  <c:v>28.449599999999997</c:v>
                </c:pt>
                <c:pt idx="145">
                  <c:v>22.779999999999998</c:v>
                </c:pt>
                <c:pt idx="146">
                  <c:v>15.9168</c:v>
                </c:pt>
                <c:pt idx="147">
                  <c:v>22.4816</c:v>
                </c:pt>
                <c:pt idx="148">
                  <c:v>12.336</c:v>
                </c:pt>
                <c:pt idx="149">
                  <c:v>21.586399999999998</c:v>
                </c:pt>
                <c:pt idx="150">
                  <c:v>17.110399999999998</c:v>
                </c:pt>
                <c:pt idx="151">
                  <c:v>12.9328</c:v>
                </c:pt>
                <c:pt idx="152">
                  <c:v>14.424799999999999</c:v>
                </c:pt>
                <c:pt idx="153">
                  <c:v>9.6503999999999994</c:v>
                </c:pt>
                <c:pt idx="154">
                  <c:v>11.1424</c:v>
                </c:pt>
                <c:pt idx="155">
                  <c:v>15.021600000000001</c:v>
                </c:pt>
                <c:pt idx="156">
                  <c:v>12.634400000000001</c:v>
                </c:pt>
                <c:pt idx="157">
                  <c:v>15.9168</c:v>
                </c:pt>
                <c:pt idx="158">
                  <c:v>23.078399999999998</c:v>
                </c:pt>
                <c:pt idx="159">
                  <c:v>23.078399999999998</c:v>
                </c:pt>
                <c:pt idx="160">
                  <c:v>21.287999999999997</c:v>
                </c:pt>
                <c:pt idx="161">
                  <c:v>27.554399999999998</c:v>
                </c:pt>
                <c:pt idx="162">
                  <c:v>31.433599999999998</c:v>
                </c:pt>
                <c:pt idx="163">
                  <c:v>22.183199999999999</c:v>
                </c:pt>
                <c:pt idx="164">
                  <c:v>19.199199999999998</c:v>
                </c:pt>
                <c:pt idx="165">
                  <c:v>20.691199999999998</c:v>
                </c:pt>
                <c:pt idx="166">
                  <c:v>17.110399999999998</c:v>
                </c:pt>
                <c:pt idx="167">
                  <c:v>19.497599999999998</c:v>
                </c:pt>
                <c:pt idx="168">
                  <c:v>19.199199999999998</c:v>
                </c:pt>
                <c:pt idx="169">
                  <c:v>17.110399999999998</c:v>
                </c:pt>
                <c:pt idx="170">
                  <c:v>14.7232</c:v>
                </c:pt>
                <c:pt idx="171">
                  <c:v>15.618399999999999</c:v>
                </c:pt>
                <c:pt idx="172">
                  <c:v>14.7232</c:v>
                </c:pt>
                <c:pt idx="173">
                  <c:v>13.231199999999999</c:v>
                </c:pt>
                <c:pt idx="174">
                  <c:v>5.7712000000000003</c:v>
                </c:pt>
                <c:pt idx="175">
                  <c:v>4.8760000000000003</c:v>
                </c:pt>
                <c:pt idx="176">
                  <c:v>4.2792000000000003</c:v>
                </c:pt>
                <c:pt idx="177">
                  <c:v>14.424799999999999</c:v>
                </c:pt>
                <c:pt idx="178">
                  <c:v>9.9488000000000003</c:v>
                </c:pt>
                <c:pt idx="179">
                  <c:v>7.5616000000000003</c:v>
                </c:pt>
                <c:pt idx="180">
                  <c:v>10.843999999999999</c:v>
                </c:pt>
                <c:pt idx="181">
                  <c:v>15.021600000000001</c:v>
                </c:pt>
                <c:pt idx="182">
                  <c:v>9.3520000000000003</c:v>
                </c:pt>
                <c:pt idx="183">
                  <c:v>7.86</c:v>
                </c:pt>
                <c:pt idx="184">
                  <c:v>10.247200000000001</c:v>
                </c:pt>
                <c:pt idx="185">
                  <c:v>8.4567999999999994</c:v>
                </c:pt>
                <c:pt idx="186">
                  <c:v>9.0536000000000012</c:v>
                </c:pt>
                <c:pt idx="187">
                  <c:v>9.3520000000000003</c:v>
                </c:pt>
                <c:pt idx="188">
                  <c:v>6.9648000000000003</c:v>
                </c:pt>
                <c:pt idx="189">
                  <c:v>9.3520000000000003</c:v>
                </c:pt>
                <c:pt idx="190">
                  <c:v>9.3520000000000003</c:v>
                </c:pt>
                <c:pt idx="191">
                  <c:v>8.1584000000000003</c:v>
                </c:pt>
                <c:pt idx="192">
                  <c:v>8.4567999999999994</c:v>
                </c:pt>
                <c:pt idx="193">
                  <c:v>5.4728000000000003</c:v>
                </c:pt>
                <c:pt idx="194">
                  <c:v>12.634400000000001</c:v>
                </c:pt>
                <c:pt idx="195">
                  <c:v>10.843999999999999</c:v>
                </c:pt>
                <c:pt idx="196">
                  <c:v>12.037599999999999</c:v>
                </c:pt>
                <c:pt idx="197">
                  <c:v>10.843999999999999</c:v>
                </c:pt>
                <c:pt idx="198">
                  <c:v>16.215199999999999</c:v>
                </c:pt>
                <c:pt idx="199">
                  <c:v>5.7712000000000003</c:v>
                </c:pt>
                <c:pt idx="200">
                  <c:v>7.5616000000000003</c:v>
                </c:pt>
                <c:pt idx="201">
                  <c:v>9.3520000000000003</c:v>
                </c:pt>
                <c:pt idx="202">
                  <c:v>11.1424</c:v>
                </c:pt>
                <c:pt idx="203">
                  <c:v>12.9328</c:v>
                </c:pt>
                <c:pt idx="204">
                  <c:v>15.618399999999999</c:v>
                </c:pt>
                <c:pt idx="205">
                  <c:v>17.110399999999998</c:v>
                </c:pt>
                <c:pt idx="206">
                  <c:v>15.618399999999999</c:v>
                </c:pt>
                <c:pt idx="207">
                  <c:v>14.1264</c:v>
                </c:pt>
                <c:pt idx="208">
                  <c:v>17.7072</c:v>
                </c:pt>
                <c:pt idx="209">
                  <c:v>13.828000000000001</c:v>
                </c:pt>
                <c:pt idx="210">
                  <c:v>12.634400000000001</c:v>
                </c:pt>
                <c:pt idx="211">
                  <c:v>11.440800000000001</c:v>
                </c:pt>
                <c:pt idx="212">
                  <c:v>21.287999999999997</c:v>
                </c:pt>
                <c:pt idx="213">
                  <c:v>15.9168</c:v>
                </c:pt>
                <c:pt idx="214">
                  <c:v>12.9328</c:v>
                </c:pt>
                <c:pt idx="215">
                  <c:v>9.0536000000000012</c:v>
                </c:pt>
                <c:pt idx="216">
                  <c:v>9.6503999999999994</c:v>
                </c:pt>
                <c:pt idx="217">
                  <c:v>11.7392</c:v>
                </c:pt>
                <c:pt idx="218">
                  <c:v>14.424799999999999</c:v>
                </c:pt>
                <c:pt idx="219">
                  <c:v>10.843999999999999</c:v>
                </c:pt>
                <c:pt idx="220">
                  <c:v>12.634400000000001</c:v>
                </c:pt>
                <c:pt idx="221">
                  <c:v>7.86</c:v>
                </c:pt>
                <c:pt idx="222">
                  <c:v>7.5616000000000003</c:v>
                </c:pt>
                <c:pt idx="223">
                  <c:v>10.247200000000001</c:v>
                </c:pt>
                <c:pt idx="224">
                  <c:v>4.5776000000000003</c:v>
                </c:pt>
                <c:pt idx="225">
                  <c:v>6.0696000000000003</c:v>
                </c:pt>
                <c:pt idx="226">
                  <c:v>3.9807999999999999</c:v>
                </c:pt>
                <c:pt idx="227">
                  <c:v>7.86</c:v>
                </c:pt>
                <c:pt idx="228">
                  <c:v>5.7712000000000003</c:v>
                </c:pt>
                <c:pt idx="229">
                  <c:v>3.9807999999999999</c:v>
                </c:pt>
                <c:pt idx="230">
                  <c:v>7.86</c:v>
                </c:pt>
                <c:pt idx="231">
                  <c:v>6.9648000000000003</c:v>
                </c:pt>
                <c:pt idx="232">
                  <c:v>9.9488000000000003</c:v>
                </c:pt>
                <c:pt idx="233">
                  <c:v>7.5616000000000003</c:v>
                </c:pt>
                <c:pt idx="234">
                  <c:v>8.7552000000000003</c:v>
                </c:pt>
                <c:pt idx="235">
                  <c:v>11.7392</c:v>
                </c:pt>
                <c:pt idx="236">
                  <c:v>12.336</c:v>
                </c:pt>
                <c:pt idx="237">
                  <c:v>13.5296</c:v>
                </c:pt>
                <c:pt idx="238">
                  <c:v>14.424799999999999</c:v>
                </c:pt>
                <c:pt idx="239">
                  <c:v>9.9488000000000003</c:v>
                </c:pt>
                <c:pt idx="240">
                  <c:v>13.231199999999999</c:v>
                </c:pt>
                <c:pt idx="241">
                  <c:v>19.199199999999998</c:v>
                </c:pt>
                <c:pt idx="242">
                  <c:v>15.618399999999999</c:v>
                </c:pt>
                <c:pt idx="243">
                  <c:v>19.199199999999998</c:v>
                </c:pt>
                <c:pt idx="244">
                  <c:v>18.602399999999999</c:v>
                </c:pt>
                <c:pt idx="245">
                  <c:v>15.618399999999999</c:v>
                </c:pt>
                <c:pt idx="246">
                  <c:v>15.9168</c:v>
                </c:pt>
                <c:pt idx="247">
                  <c:v>18.303999999999998</c:v>
                </c:pt>
                <c:pt idx="248">
                  <c:v>23.376799999999999</c:v>
                </c:pt>
                <c:pt idx="249">
                  <c:v>20.0944</c:v>
                </c:pt>
                <c:pt idx="250">
                  <c:v>19.795999999999999</c:v>
                </c:pt>
                <c:pt idx="251">
                  <c:v>21.884799999999998</c:v>
                </c:pt>
                <c:pt idx="252">
                  <c:v>24.570399999999999</c:v>
                </c:pt>
                <c:pt idx="255">
                  <c:v>18.900799999999997</c:v>
                </c:pt>
                <c:pt idx="256">
                  <c:v>20.691199999999998</c:v>
                </c:pt>
                <c:pt idx="257">
                  <c:v>21.884799999999998</c:v>
                </c:pt>
                <c:pt idx="258">
                  <c:v>23.973599999999998</c:v>
                </c:pt>
                <c:pt idx="259">
                  <c:v>23.675199999999997</c:v>
                </c:pt>
                <c:pt idx="260">
                  <c:v>22.183199999999999</c:v>
                </c:pt>
                <c:pt idx="261">
                  <c:v>21.586399999999998</c:v>
                </c:pt>
                <c:pt idx="262">
                  <c:v>21.287999999999997</c:v>
                </c:pt>
                <c:pt idx="263">
                  <c:v>22.4816</c:v>
                </c:pt>
                <c:pt idx="264">
                  <c:v>9.0536000000000012</c:v>
                </c:pt>
                <c:pt idx="265">
                  <c:v>9.0536000000000012</c:v>
                </c:pt>
                <c:pt idx="266">
                  <c:v>8.1584000000000003</c:v>
                </c:pt>
                <c:pt idx="267">
                  <c:v>4.8760000000000003</c:v>
                </c:pt>
                <c:pt idx="268">
                  <c:v>5.7712000000000003</c:v>
                </c:pt>
                <c:pt idx="269">
                  <c:v>7.5616000000000003</c:v>
                </c:pt>
                <c:pt idx="270">
                  <c:v>8.1584000000000003</c:v>
                </c:pt>
                <c:pt idx="271">
                  <c:v>8.7552000000000003</c:v>
                </c:pt>
                <c:pt idx="272">
                  <c:v>8.1584000000000003</c:v>
                </c:pt>
                <c:pt idx="273">
                  <c:v>14.7232</c:v>
                </c:pt>
                <c:pt idx="274">
                  <c:v>7.86</c:v>
                </c:pt>
                <c:pt idx="275">
                  <c:v>5.7712000000000003</c:v>
                </c:pt>
                <c:pt idx="276">
                  <c:v>6.3680000000000003</c:v>
                </c:pt>
                <c:pt idx="277">
                  <c:v>8.1584000000000003</c:v>
                </c:pt>
                <c:pt idx="278">
                  <c:v>7.86</c:v>
                </c:pt>
                <c:pt idx="279">
                  <c:v>21.884799999999998</c:v>
                </c:pt>
                <c:pt idx="280">
                  <c:v>23.973599999999998</c:v>
                </c:pt>
                <c:pt idx="281">
                  <c:v>23.973599999999998</c:v>
                </c:pt>
                <c:pt idx="282">
                  <c:v>24.570399999999999</c:v>
                </c:pt>
                <c:pt idx="283">
                  <c:v>23.973599999999998</c:v>
                </c:pt>
                <c:pt idx="284">
                  <c:v>23.973599999999998</c:v>
                </c:pt>
                <c:pt idx="285">
                  <c:v>22.779999999999998</c:v>
                </c:pt>
                <c:pt idx="286">
                  <c:v>26.957599999999999</c:v>
                </c:pt>
                <c:pt idx="287">
                  <c:v>25.167199999999998</c:v>
                </c:pt>
                <c:pt idx="288">
                  <c:v>30.24</c:v>
                </c:pt>
                <c:pt idx="289">
                  <c:v>25.167199999999998</c:v>
                </c:pt>
                <c:pt idx="290">
                  <c:v>26.659199999999998</c:v>
                </c:pt>
                <c:pt idx="291">
                  <c:v>37.103200000000001</c:v>
                </c:pt>
                <c:pt idx="292">
                  <c:v>26.659199999999998</c:v>
                </c:pt>
                <c:pt idx="293">
                  <c:v>21.586399999999998</c:v>
                </c:pt>
                <c:pt idx="294">
                  <c:v>18.900799999999997</c:v>
                </c:pt>
                <c:pt idx="295">
                  <c:v>23.973599999999998</c:v>
                </c:pt>
                <c:pt idx="296">
                  <c:v>25.167199999999998</c:v>
                </c:pt>
                <c:pt idx="297">
                  <c:v>19.795999999999999</c:v>
                </c:pt>
                <c:pt idx="298">
                  <c:v>26.062399999999997</c:v>
                </c:pt>
                <c:pt idx="299">
                  <c:v>22.779999999999998</c:v>
                </c:pt>
                <c:pt idx="300">
                  <c:v>21.287999999999997</c:v>
                </c:pt>
                <c:pt idx="301">
                  <c:v>29.344799999999999</c:v>
                </c:pt>
                <c:pt idx="302">
                  <c:v>29.344799999999999</c:v>
                </c:pt>
                <c:pt idx="303">
                  <c:v>30.836799999999997</c:v>
                </c:pt>
                <c:pt idx="304">
                  <c:v>37.103200000000001</c:v>
                </c:pt>
                <c:pt idx="305">
                  <c:v>16.811999999999998</c:v>
                </c:pt>
                <c:pt idx="306">
                  <c:v>15.9168</c:v>
                </c:pt>
                <c:pt idx="307">
                  <c:v>20.989599999999999</c:v>
                </c:pt>
                <c:pt idx="308">
                  <c:v>28.747999999999998</c:v>
                </c:pt>
                <c:pt idx="309">
                  <c:v>14.424799999999999</c:v>
                </c:pt>
                <c:pt idx="310">
                  <c:v>35.014400000000002</c:v>
                </c:pt>
                <c:pt idx="311">
                  <c:v>27.256</c:v>
                </c:pt>
                <c:pt idx="312">
                  <c:v>29.344799999999999</c:v>
                </c:pt>
                <c:pt idx="313">
                  <c:v>27.554399999999998</c:v>
                </c:pt>
                <c:pt idx="314">
                  <c:v>28.151199999999999</c:v>
                </c:pt>
                <c:pt idx="315">
                  <c:v>33.522399999999998</c:v>
                </c:pt>
                <c:pt idx="316">
                  <c:v>30.24</c:v>
                </c:pt>
                <c:pt idx="317">
                  <c:v>27.852799999999998</c:v>
                </c:pt>
                <c:pt idx="318">
                  <c:v>26.957599999999999</c:v>
                </c:pt>
                <c:pt idx="319">
                  <c:v>34.716000000000001</c:v>
                </c:pt>
                <c:pt idx="320">
                  <c:v>29.6432</c:v>
                </c:pt>
                <c:pt idx="321">
                  <c:v>34.4176</c:v>
                </c:pt>
                <c:pt idx="322">
                  <c:v>29.6432</c:v>
                </c:pt>
                <c:pt idx="323">
                  <c:v>33.522399999999998</c:v>
                </c:pt>
                <c:pt idx="324">
                  <c:v>29.6432</c:v>
                </c:pt>
                <c:pt idx="325">
                  <c:v>26.659199999999998</c:v>
                </c:pt>
                <c:pt idx="326">
                  <c:v>27.852799999999998</c:v>
                </c:pt>
                <c:pt idx="327">
                  <c:v>25.763999999999999</c:v>
                </c:pt>
                <c:pt idx="328">
                  <c:v>25.763999999999999</c:v>
                </c:pt>
                <c:pt idx="329">
                  <c:v>27.852799999999998</c:v>
                </c:pt>
                <c:pt idx="330">
                  <c:v>21.884799999999998</c:v>
                </c:pt>
                <c:pt idx="331">
                  <c:v>27.554399999999998</c:v>
                </c:pt>
                <c:pt idx="332">
                  <c:v>25.167199999999998</c:v>
                </c:pt>
                <c:pt idx="333">
                  <c:v>21.586399999999998</c:v>
                </c:pt>
                <c:pt idx="334">
                  <c:v>20.0944</c:v>
                </c:pt>
                <c:pt idx="335">
                  <c:v>19.199199999999998</c:v>
                </c:pt>
                <c:pt idx="336">
                  <c:v>18.303999999999998</c:v>
                </c:pt>
                <c:pt idx="337">
                  <c:v>17.110399999999998</c:v>
                </c:pt>
                <c:pt idx="338">
                  <c:v>15.021600000000001</c:v>
                </c:pt>
                <c:pt idx="339">
                  <c:v>17.110399999999998</c:v>
                </c:pt>
                <c:pt idx="340">
                  <c:v>22.183199999999999</c:v>
                </c:pt>
                <c:pt idx="341">
                  <c:v>23.376799999999999</c:v>
                </c:pt>
                <c:pt idx="342">
                  <c:v>18.303999999999998</c:v>
                </c:pt>
                <c:pt idx="343">
                  <c:v>20.989599999999999</c:v>
                </c:pt>
                <c:pt idx="344">
                  <c:v>18.602399999999999</c:v>
                </c:pt>
                <c:pt idx="345">
                  <c:v>15.9168</c:v>
                </c:pt>
                <c:pt idx="346">
                  <c:v>19.795999999999999</c:v>
                </c:pt>
                <c:pt idx="347">
                  <c:v>10.247200000000001</c:v>
                </c:pt>
                <c:pt idx="348">
                  <c:v>13.5296</c:v>
                </c:pt>
                <c:pt idx="349">
                  <c:v>11.440800000000001</c:v>
                </c:pt>
                <c:pt idx="350">
                  <c:v>5.1744000000000003</c:v>
                </c:pt>
                <c:pt idx="351">
                  <c:v>9.3520000000000003</c:v>
                </c:pt>
                <c:pt idx="352">
                  <c:v>9.0536000000000012</c:v>
                </c:pt>
                <c:pt idx="353">
                  <c:v>8.4567999999999994</c:v>
                </c:pt>
                <c:pt idx="354">
                  <c:v>12.336</c:v>
                </c:pt>
                <c:pt idx="355">
                  <c:v>9.6503999999999994</c:v>
                </c:pt>
                <c:pt idx="356">
                  <c:v>9.0536000000000012</c:v>
                </c:pt>
                <c:pt idx="357">
                  <c:v>8.4567999999999994</c:v>
                </c:pt>
                <c:pt idx="358">
                  <c:v>10.5456</c:v>
                </c:pt>
                <c:pt idx="359">
                  <c:v>9.0536000000000012</c:v>
                </c:pt>
                <c:pt idx="360">
                  <c:v>9.9488000000000003</c:v>
                </c:pt>
                <c:pt idx="361">
                  <c:v>6.9648000000000003</c:v>
                </c:pt>
                <c:pt idx="362">
                  <c:v>10.247200000000001</c:v>
                </c:pt>
                <c:pt idx="363">
                  <c:v>7.2632000000000003</c:v>
                </c:pt>
                <c:pt idx="364">
                  <c:v>7.86</c:v>
                </c:pt>
                <c:pt idx="365">
                  <c:v>7.5616000000000003</c:v>
                </c:pt>
                <c:pt idx="366">
                  <c:v>5.4728000000000003</c:v>
                </c:pt>
                <c:pt idx="367">
                  <c:v>4.5776000000000003</c:v>
                </c:pt>
                <c:pt idx="368">
                  <c:v>6.0696000000000003</c:v>
                </c:pt>
                <c:pt idx="369">
                  <c:v>5.4728000000000003</c:v>
                </c:pt>
                <c:pt idx="370">
                  <c:v>4.8760000000000003</c:v>
                </c:pt>
                <c:pt idx="371">
                  <c:v>3.0855999999999999</c:v>
                </c:pt>
                <c:pt idx="372">
                  <c:v>4.8760000000000003</c:v>
                </c:pt>
                <c:pt idx="373">
                  <c:v>5.1744000000000003</c:v>
                </c:pt>
                <c:pt idx="374">
                  <c:v>7.86</c:v>
                </c:pt>
                <c:pt idx="375">
                  <c:v>9.3520000000000003</c:v>
                </c:pt>
                <c:pt idx="376">
                  <c:v>8.4567999999999994</c:v>
                </c:pt>
                <c:pt idx="377">
                  <c:v>6.6664000000000003</c:v>
                </c:pt>
                <c:pt idx="378">
                  <c:v>4.8760000000000003</c:v>
                </c:pt>
                <c:pt idx="379">
                  <c:v>5.4728000000000003</c:v>
                </c:pt>
                <c:pt idx="380">
                  <c:v>6.6664000000000003</c:v>
                </c:pt>
                <c:pt idx="381">
                  <c:v>4.8760000000000003</c:v>
                </c:pt>
                <c:pt idx="382">
                  <c:v>4.2792000000000003</c:v>
                </c:pt>
                <c:pt idx="383">
                  <c:v>8.1584000000000003</c:v>
                </c:pt>
                <c:pt idx="384">
                  <c:v>8.1584000000000003</c:v>
                </c:pt>
                <c:pt idx="385">
                  <c:v>12.037599999999999</c:v>
                </c:pt>
                <c:pt idx="386">
                  <c:v>17.408799999999999</c:v>
                </c:pt>
                <c:pt idx="387">
                  <c:v>19.199199999999998</c:v>
                </c:pt>
                <c:pt idx="388">
                  <c:v>18.602399999999999</c:v>
                </c:pt>
                <c:pt idx="389">
                  <c:v>19.199199999999998</c:v>
                </c:pt>
                <c:pt idx="390">
                  <c:v>17.7072</c:v>
                </c:pt>
                <c:pt idx="391">
                  <c:v>21.586399999999998</c:v>
                </c:pt>
                <c:pt idx="392">
                  <c:v>21.586399999999998</c:v>
                </c:pt>
                <c:pt idx="393">
                  <c:v>23.078399999999998</c:v>
                </c:pt>
                <c:pt idx="394">
                  <c:v>19.199199999999998</c:v>
                </c:pt>
                <c:pt idx="395">
                  <c:v>10.247200000000001</c:v>
                </c:pt>
                <c:pt idx="396">
                  <c:v>3.6823999999999999</c:v>
                </c:pt>
                <c:pt idx="397">
                  <c:v>6.0696000000000003</c:v>
                </c:pt>
                <c:pt idx="398">
                  <c:v>4.8760000000000003</c:v>
                </c:pt>
                <c:pt idx="399">
                  <c:v>4.2792000000000003</c:v>
                </c:pt>
                <c:pt idx="400">
                  <c:v>5.4728000000000003</c:v>
                </c:pt>
                <c:pt idx="401">
                  <c:v>6.6664000000000003</c:v>
                </c:pt>
                <c:pt idx="402">
                  <c:v>7.86</c:v>
                </c:pt>
                <c:pt idx="403">
                  <c:v>6.0696000000000003</c:v>
                </c:pt>
                <c:pt idx="404">
                  <c:v>5.1744000000000003</c:v>
                </c:pt>
                <c:pt idx="405">
                  <c:v>3.9807999999999999</c:v>
                </c:pt>
                <c:pt idx="406">
                  <c:v>2.7871999999999999</c:v>
                </c:pt>
                <c:pt idx="407">
                  <c:v>3.0855999999999999</c:v>
                </c:pt>
                <c:pt idx="408">
                  <c:v>7.2632000000000003</c:v>
                </c:pt>
                <c:pt idx="409">
                  <c:v>7.5616000000000003</c:v>
                </c:pt>
                <c:pt idx="410">
                  <c:v>6.0696000000000003</c:v>
                </c:pt>
                <c:pt idx="411">
                  <c:v>3.6823999999999999</c:v>
                </c:pt>
                <c:pt idx="412">
                  <c:v>3.6823999999999999</c:v>
                </c:pt>
                <c:pt idx="413">
                  <c:v>4.5776000000000003</c:v>
                </c:pt>
                <c:pt idx="414">
                  <c:v>4.8760000000000003</c:v>
                </c:pt>
                <c:pt idx="415">
                  <c:v>3.3839999999999999</c:v>
                </c:pt>
                <c:pt idx="416">
                  <c:v>4.5776000000000003</c:v>
                </c:pt>
                <c:pt idx="417">
                  <c:v>5.1744000000000003</c:v>
                </c:pt>
                <c:pt idx="418">
                  <c:v>4.5776000000000003</c:v>
                </c:pt>
                <c:pt idx="419">
                  <c:v>4.8760000000000003</c:v>
                </c:pt>
                <c:pt idx="420">
                  <c:v>3.3839999999999999</c:v>
                </c:pt>
                <c:pt idx="421">
                  <c:v>3.0855999999999999</c:v>
                </c:pt>
                <c:pt idx="422">
                  <c:v>3.6823999999999999</c:v>
                </c:pt>
                <c:pt idx="423">
                  <c:v>3.6823999999999999</c:v>
                </c:pt>
                <c:pt idx="424">
                  <c:v>4.5776000000000003</c:v>
                </c:pt>
                <c:pt idx="425">
                  <c:v>3.3839999999999999</c:v>
                </c:pt>
                <c:pt idx="426">
                  <c:v>3.9807999999999999</c:v>
                </c:pt>
                <c:pt idx="427">
                  <c:v>3.6823999999999999</c:v>
                </c:pt>
                <c:pt idx="428">
                  <c:v>5.1744000000000003</c:v>
                </c:pt>
                <c:pt idx="429">
                  <c:v>3.0855999999999999</c:v>
                </c:pt>
                <c:pt idx="430">
                  <c:v>2.7871999999999999</c:v>
                </c:pt>
                <c:pt idx="431">
                  <c:v>2.1903999999999999</c:v>
                </c:pt>
                <c:pt idx="432">
                  <c:v>3.9807999999999999</c:v>
                </c:pt>
                <c:pt idx="433">
                  <c:v>3.3839999999999999</c:v>
                </c:pt>
                <c:pt idx="434">
                  <c:v>6.0696000000000003</c:v>
                </c:pt>
                <c:pt idx="435">
                  <c:v>4.8760000000000003</c:v>
                </c:pt>
                <c:pt idx="436">
                  <c:v>4.5776000000000003</c:v>
                </c:pt>
                <c:pt idx="437">
                  <c:v>3.6823999999999999</c:v>
                </c:pt>
                <c:pt idx="438">
                  <c:v>6.3680000000000003</c:v>
                </c:pt>
                <c:pt idx="439">
                  <c:v>5.7712000000000003</c:v>
                </c:pt>
                <c:pt idx="440">
                  <c:v>5.4728000000000003</c:v>
                </c:pt>
                <c:pt idx="441">
                  <c:v>7.2632000000000003</c:v>
                </c:pt>
                <c:pt idx="442">
                  <c:v>6.6664000000000003</c:v>
                </c:pt>
                <c:pt idx="443">
                  <c:v>7.86</c:v>
                </c:pt>
                <c:pt idx="444">
                  <c:v>10.247200000000001</c:v>
                </c:pt>
                <c:pt idx="445">
                  <c:v>13.5296</c:v>
                </c:pt>
                <c:pt idx="446">
                  <c:v>42.474399999999996</c:v>
                </c:pt>
                <c:pt idx="447">
                  <c:v>29.344799999999999</c:v>
                </c:pt>
                <c:pt idx="448">
                  <c:v>20.392799999999998</c:v>
                </c:pt>
                <c:pt idx="449">
                  <c:v>18.005599999999998</c:v>
                </c:pt>
                <c:pt idx="450">
                  <c:v>23.376799999999999</c:v>
                </c:pt>
                <c:pt idx="451">
                  <c:v>19.199199999999998</c:v>
                </c:pt>
                <c:pt idx="452">
                  <c:v>28.449599999999997</c:v>
                </c:pt>
                <c:pt idx="453">
                  <c:v>26.360799999999998</c:v>
                </c:pt>
                <c:pt idx="454">
                  <c:v>24.570399999999999</c:v>
                </c:pt>
                <c:pt idx="455">
                  <c:v>27.554399999999998</c:v>
                </c:pt>
                <c:pt idx="456">
                  <c:v>23.675199999999997</c:v>
                </c:pt>
                <c:pt idx="457">
                  <c:v>28.151199999999999</c:v>
                </c:pt>
                <c:pt idx="458">
                  <c:v>21.287999999999997</c:v>
                </c:pt>
                <c:pt idx="459">
                  <c:v>28.151199999999999</c:v>
                </c:pt>
                <c:pt idx="460">
                  <c:v>24.8688</c:v>
                </c:pt>
                <c:pt idx="461">
                  <c:v>29.6432</c:v>
                </c:pt>
                <c:pt idx="462">
                  <c:v>29.344799999999999</c:v>
                </c:pt>
                <c:pt idx="463">
                  <c:v>26.659199999999998</c:v>
                </c:pt>
                <c:pt idx="464">
                  <c:v>23.078399999999998</c:v>
                </c:pt>
                <c:pt idx="465">
                  <c:v>27.852799999999998</c:v>
                </c:pt>
                <c:pt idx="466">
                  <c:v>26.957599999999999</c:v>
                </c:pt>
                <c:pt idx="467">
                  <c:v>25.167199999999998</c:v>
                </c:pt>
                <c:pt idx="468">
                  <c:v>27.852799999999998</c:v>
                </c:pt>
                <c:pt idx="469">
                  <c:v>28.449599999999997</c:v>
                </c:pt>
                <c:pt idx="470">
                  <c:v>26.062399999999997</c:v>
                </c:pt>
                <c:pt idx="471">
                  <c:v>28.151199999999999</c:v>
                </c:pt>
                <c:pt idx="472">
                  <c:v>25.465599999999998</c:v>
                </c:pt>
                <c:pt idx="473">
                  <c:v>23.078399999999998</c:v>
                </c:pt>
                <c:pt idx="474">
                  <c:v>24.570399999999999</c:v>
                </c:pt>
                <c:pt idx="475">
                  <c:v>32.328800000000001</c:v>
                </c:pt>
                <c:pt idx="476">
                  <c:v>29.6432</c:v>
                </c:pt>
                <c:pt idx="477">
                  <c:v>27.852799999999998</c:v>
                </c:pt>
                <c:pt idx="478">
                  <c:v>30.24</c:v>
                </c:pt>
                <c:pt idx="479">
                  <c:v>29.941599999999998</c:v>
                </c:pt>
                <c:pt idx="480">
                  <c:v>32.627199999999995</c:v>
                </c:pt>
                <c:pt idx="481">
                  <c:v>31.433599999999998</c:v>
                </c:pt>
                <c:pt idx="482">
                  <c:v>25.465599999999998</c:v>
                </c:pt>
                <c:pt idx="483">
                  <c:v>21.586399999999998</c:v>
                </c:pt>
                <c:pt idx="484">
                  <c:v>24.570399999999999</c:v>
                </c:pt>
                <c:pt idx="489">
                  <c:v>26.062399999999997</c:v>
                </c:pt>
                <c:pt idx="490">
                  <c:v>25.763999999999999</c:v>
                </c:pt>
                <c:pt idx="491">
                  <c:v>27.256</c:v>
                </c:pt>
                <c:pt idx="492">
                  <c:v>26.659199999999998</c:v>
                </c:pt>
                <c:pt idx="493">
                  <c:v>7.86</c:v>
                </c:pt>
                <c:pt idx="494">
                  <c:v>12.9328</c:v>
                </c:pt>
                <c:pt idx="495">
                  <c:v>6.6664000000000003</c:v>
                </c:pt>
                <c:pt idx="496">
                  <c:v>7.86</c:v>
                </c:pt>
                <c:pt idx="497">
                  <c:v>11.7392</c:v>
                </c:pt>
                <c:pt idx="498">
                  <c:v>9.3520000000000003</c:v>
                </c:pt>
                <c:pt idx="499">
                  <c:v>5.7712000000000003</c:v>
                </c:pt>
                <c:pt idx="500">
                  <c:v>8.7552000000000003</c:v>
                </c:pt>
                <c:pt idx="501">
                  <c:v>9.6503999999999994</c:v>
                </c:pt>
                <c:pt idx="502">
                  <c:v>11.440800000000001</c:v>
                </c:pt>
                <c:pt idx="503">
                  <c:v>7.86</c:v>
                </c:pt>
                <c:pt idx="504">
                  <c:v>9.6503999999999994</c:v>
                </c:pt>
                <c:pt idx="505">
                  <c:v>10.843999999999999</c:v>
                </c:pt>
                <c:pt idx="506">
                  <c:v>10.843999999999999</c:v>
                </c:pt>
                <c:pt idx="507">
                  <c:v>12.037599999999999</c:v>
                </c:pt>
                <c:pt idx="508">
                  <c:v>12.9328</c:v>
                </c:pt>
                <c:pt idx="509">
                  <c:v>8.1584000000000003</c:v>
                </c:pt>
                <c:pt idx="510">
                  <c:v>9.3520000000000003</c:v>
                </c:pt>
                <c:pt idx="511">
                  <c:v>5.4728000000000003</c:v>
                </c:pt>
                <c:pt idx="512">
                  <c:v>4.8760000000000003</c:v>
                </c:pt>
                <c:pt idx="513">
                  <c:v>5.1744000000000003</c:v>
                </c:pt>
                <c:pt idx="514">
                  <c:v>6.6664000000000003</c:v>
                </c:pt>
                <c:pt idx="515">
                  <c:v>5.4728000000000003</c:v>
                </c:pt>
                <c:pt idx="516">
                  <c:v>6.3680000000000003</c:v>
                </c:pt>
                <c:pt idx="517">
                  <c:v>4.8760000000000003</c:v>
                </c:pt>
                <c:pt idx="518">
                  <c:v>5.4728000000000003</c:v>
                </c:pt>
                <c:pt idx="519">
                  <c:v>5.4728000000000003</c:v>
                </c:pt>
                <c:pt idx="520">
                  <c:v>5.1744000000000003</c:v>
                </c:pt>
                <c:pt idx="521">
                  <c:v>6.6664000000000003</c:v>
                </c:pt>
                <c:pt idx="522">
                  <c:v>6.0696000000000003</c:v>
                </c:pt>
                <c:pt idx="523">
                  <c:v>0.99680000000000002</c:v>
                </c:pt>
                <c:pt idx="524">
                  <c:v>6.0696000000000003</c:v>
                </c:pt>
                <c:pt idx="525">
                  <c:v>7.5616000000000003</c:v>
                </c:pt>
                <c:pt idx="526">
                  <c:v>7.86</c:v>
                </c:pt>
                <c:pt idx="527">
                  <c:v>7.5616000000000003</c:v>
                </c:pt>
                <c:pt idx="528">
                  <c:v>10.247200000000001</c:v>
                </c:pt>
                <c:pt idx="529">
                  <c:v>7.5616000000000003</c:v>
                </c:pt>
                <c:pt idx="530">
                  <c:v>5.7712000000000003</c:v>
                </c:pt>
                <c:pt idx="531">
                  <c:v>4.5776000000000003</c:v>
                </c:pt>
                <c:pt idx="532">
                  <c:v>5.7712000000000003</c:v>
                </c:pt>
                <c:pt idx="533">
                  <c:v>4.2792000000000003</c:v>
                </c:pt>
                <c:pt idx="534">
                  <c:v>3.6823999999999999</c:v>
                </c:pt>
                <c:pt idx="535">
                  <c:v>3.0855999999999999</c:v>
                </c:pt>
                <c:pt idx="536">
                  <c:v>5.1744000000000003</c:v>
                </c:pt>
                <c:pt idx="537">
                  <c:v>6.0696000000000003</c:v>
                </c:pt>
                <c:pt idx="538">
                  <c:v>3.0855999999999999</c:v>
                </c:pt>
                <c:pt idx="539">
                  <c:v>4.5776000000000003</c:v>
                </c:pt>
                <c:pt idx="540">
                  <c:v>4.8760000000000003</c:v>
                </c:pt>
                <c:pt idx="541">
                  <c:v>4.2792000000000003</c:v>
                </c:pt>
                <c:pt idx="542">
                  <c:v>12.037599999999999</c:v>
                </c:pt>
                <c:pt idx="543">
                  <c:v>7.2632000000000003</c:v>
                </c:pt>
                <c:pt idx="544">
                  <c:v>8.4567999999999994</c:v>
                </c:pt>
                <c:pt idx="545">
                  <c:v>6.6664000000000003</c:v>
                </c:pt>
                <c:pt idx="546">
                  <c:v>12.336</c:v>
                </c:pt>
                <c:pt idx="547">
                  <c:v>9.0536000000000012</c:v>
                </c:pt>
                <c:pt idx="548">
                  <c:v>14.424799999999999</c:v>
                </c:pt>
                <c:pt idx="549">
                  <c:v>7.2632000000000003</c:v>
                </c:pt>
                <c:pt idx="550">
                  <c:v>8.7552000000000003</c:v>
                </c:pt>
                <c:pt idx="551">
                  <c:v>9.6503999999999994</c:v>
                </c:pt>
                <c:pt idx="552">
                  <c:v>8.7552000000000003</c:v>
                </c:pt>
                <c:pt idx="553">
                  <c:v>9.6503999999999994</c:v>
                </c:pt>
                <c:pt idx="554">
                  <c:v>12.037599999999999</c:v>
                </c:pt>
                <c:pt idx="555">
                  <c:v>6.3680000000000003</c:v>
                </c:pt>
                <c:pt idx="556">
                  <c:v>19.497599999999998</c:v>
                </c:pt>
                <c:pt idx="557">
                  <c:v>9.3520000000000003</c:v>
                </c:pt>
                <c:pt idx="558">
                  <c:v>11.7392</c:v>
                </c:pt>
                <c:pt idx="559">
                  <c:v>11.7392</c:v>
                </c:pt>
                <c:pt idx="560">
                  <c:v>11.7392</c:v>
                </c:pt>
                <c:pt idx="561">
                  <c:v>7.5616000000000003</c:v>
                </c:pt>
                <c:pt idx="562">
                  <c:v>6.9648000000000003</c:v>
                </c:pt>
                <c:pt idx="563">
                  <c:v>7.5616000000000003</c:v>
                </c:pt>
                <c:pt idx="564">
                  <c:v>5.7712000000000003</c:v>
                </c:pt>
                <c:pt idx="565">
                  <c:v>6.9648000000000003</c:v>
                </c:pt>
                <c:pt idx="566">
                  <c:v>4.8760000000000003</c:v>
                </c:pt>
                <c:pt idx="567">
                  <c:v>7.2632000000000003</c:v>
                </c:pt>
                <c:pt idx="568">
                  <c:v>5.7712000000000003</c:v>
                </c:pt>
                <c:pt idx="569">
                  <c:v>6.3680000000000003</c:v>
                </c:pt>
                <c:pt idx="570">
                  <c:v>3.0855999999999999</c:v>
                </c:pt>
                <c:pt idx="571">
                  <c:v>9.9488000000000003</c:v>
                </c:pt>
                <c:pt idx="572">
                  <c:v>7.5616000000000003</c:v>
                </c:pt>
                <c:pt idx="573">
                  <c:v>6.3680000000000003</c:v>
                </c:pt>
                <c:pt idx="574">
                  <c:v>7.5616000000000003</c:v>
                </c:pt>
                <c:pt idx="575">
                  <c:v>7.5616000000000003</c:v>
                </c:pt>
                <c:pt idx="576">
                  <c:v>6.9648000000000003</c:v>
                </c:pt>
                <c:pt idx="577">
                  <c:v>6.6664000000000003</c:v>
                </c:pt>
                <c:pt idx="586">
                  <c:v>14.1264</c:v>
                </c:pt>
                <c:pt idx="587">
                  <c:v>13.828000000000001</c:v>
                </c:pt>
                <c:pt idx="588">
                  <c:v>14.7232</c:v>
                </c:pt>
                <c:pt idx="589">
                  <c:v>11.440800000000001</c:v>
                </c:pt>
                <c:pt idx="590">
                  <c:v>9.3520000000000003</c:v>
                </c:pt>
                <c:pt idx="591">
                  <c:v>12.037599999999999</c:v>
                </c:pt>
                <c:pt idx="592">
                  <c:v>12.037599999999999</c:v>
                </c:pt>
                <c:pt idx="593">
                  <c:v>12.336</c:v>
                </c:pt>
                <c:pt idx="594">
                  <c:v>14.1264</c:v>
                </c:pt>
                <c:pt idx="595">
                  <c:v>15.021600000000001</c:v>
                </c:pt>
                <c:pt idx="596">
                  <c:v>11.440800000000001</c:v>
                </c:pt>
                <c:pt idx="597">
                  <c:v>6.9648000000000003</c:v>
                </c:pt>
                <c:pt idx="598">
                  <c:v>11.7392</c:v>
                </c:pt>
                <c:pt idx="599">
                  <c:v>9.3520000000000003</c:v>
                </c:pt>
                <c:pt idx="600">
                  <c:v>6.9648000000000003</c:v>
                </c:pt>
                <c:pt idx="601">
                  <c:v>8.4567999999999994</c:v>
                </c:pt>
                <c:pt idx="602">
                  <c:v>7.5616000000000003</c:v>
                </c:pt>
                <c:pt idx="603">
                  <c:v>15.618399999999999</c:v>
                </c:pt>
                <c:pt idx="604">
                  <c:v>19.497599999999998</c:v>
                </c:pt>
                <c:pt idx="605">
                  <c:v>12.336</c:v>
                </c:pt>
                <c:pt idx="606">
                  <c:v>12.037599999999999</c:v>
                </c:pt>
                <c:pt idx="607">
                  <c:v>15.32</c:v>
                </c:pt>
                <c:pt idx="608">
                  <c:v>9.3520000000000003</c:v>
                </c:pt>
                <c:pt idx="609">
                  <c:v>9.0536000000000012</c:v>
                </c:pt>
                <c:pt idx="610">
                  <c:v>9.6503999999999994</c:v>
                </c:pt>
                <c:pt idx="611">
                  <c:v>5.1744000000000003</c:v>
                </c:pt>
                <c:pt idx="612">
                  <c:v>5.4728000000000003</c:v>
                </c:pt>
                <c:pt idx="613">
                  <c:v>7.5616000000000003</c:v>
                </c:pt>
                <c:pt idx="614">
                  <c:v>15.32</c:v>
                </c:pt>
                <c:pt idx="615">
                  <c:v>6.0696000000000003</c:v>
                </c:pt>
                <c:pt idx="616">
                  <c:v>13.231199999999999</c:v>
                </c:pt>
                <c:pt idx="617">
                  <c:v>5.4728000000000003</c:v>
                </c:pt>
                <c:pt idx="618">
                  <c:v>5.1744000000000003</c:v>
                </c:pt>
                <c:pt idx="619">
                  <c:v>8.4567999999999994</c:v>
                </c:pt>
                <c:pt idx="620">
                  <c:v>10.247200000000001</c:v>
                </c:pt>
                <c:pt idx="621">
                  <c:v>16.811999999999998</c:v>
                </c:pt>
                <c:pt idx="622">
                  <c:v>19.795999999999999</c:v>
                </c:pt>
                <c:pt idx="623">
                  <c:v>19.795999999999999</c:v>
                </c:pt>
                <c:pt idx="624">
                  <c:v>16.513599999999997</c:v>
                </c:pt>
                <c:pt idx="625">
                  <c:v>13.828000000000001</c:v>
                </c:pt>
                <c:pt idx="626">
                  <c:v>15.32</c:v>
                </c:pt>
                <c:pt idx="627">
                  <c:v>13.5296</c:v>
                </c:pt>
                <c:pt idx="628">
                  <c:v>12.9328</c:v>
                </c:pt>
                <c:pt idx="629">
                  <c:v>8.4567999999999994</c:v>
                </c:pt>
                <c:pt idx="630">
                  <c:v>6.3680000000000003</c:v>
                </c:pt>
                <c:pt idx="631">
                  <c:v>5.1744000000000003</c:v>
                </c:pt>
                <c:pt idx="632">
                  <c:v>6.9648000000000003</c:v>
                </c:pt>
                <c:pt idx="633">
                  <c:v>8.4567999999999994</c:v>
                </c:pt>
                <c:pt idx="634">
                  <c:v>4.5776000000000003</c:v>
                </c:pt>
                <c:pt idx="635">
                  <c:v>5.7712000000000003</c:v>
                </c:pt>
                <c:pt idx="636">
                  <c:v>4.5776000000000003</c:v>
                </c:pt>
                <c:pt idx="637">
                  <c:v>4.8760000000000003</c:v>
                </c:pt>
                <c:pt idx="638">
                  <c:v>6.0696000000000003</c:v>
                </c:pt>
                <c:pt idx="639">
                  <c:v>3.6823999999999999</c:v>
                </c:pt>
                <c:pt idx="640">
                  <c:v>5.7712000000000003</c:v>
                </c:pt>
                <c:pt idx="641">
                  <c:v>5.4728000000000003</c:v>
                </c:pt>
                <c:pt idx="642">
                  <c:v>4.5776000000000003</c:v>
                </c:pt>
                <c:pt idx="643">
                  <c:v>5.4728000000000003</c:v>
                </c:pt>
                <c:pt idx="644">
                  <c:v>8.7552000000000003</c:v>
                </c:pt>
                <c:pt idx="645">
                  <c:v>6.9648000000000003</c:v>
                </c:pt>
                <c:pt idx="646">
                  <c:v>6.6664000000000003</c:v>
                </c:pt>
                <c:pt idx="647">
                  <c:v>6.6664000000000003</c:v>
                </c:pt>
                <c:pt idx="648">
                  <c:v>4.5776000000000003</c:v>
                </c:pt>
                <c:pt idx="649">
                  <c:v>5.7712000000000003</c:v>
                </c:pt>
                <c:pt idx="650">
                  <c:v>6.0696000000000003</c:v>
                </c:pt>
                <c:pt idx="651">
                  <c:v>6.3680000000000003</c:v>
                </c:pt>
                <c:pt idx="652">
                  <c:v>12.634400000000001</c:v>
                </c:pt>
                <c:pt idx="653">
                  <c:v>11.1424</c:v>
                </c:pt>
                <c:pt idx="654">
                  <c:v>5.4728000000000003</c:v>
                </c:pt>
                <c:pt idx="655">
                  <c:v>19.497599999999998</c:v>
                </c:pt>
                <c:pt idx="656">
                  <c:v>24.570399999999999</c:v>
                </c:pt>
                <c:pt idx="657">
                  <c:v>13.231199999999999</c:v>
                </c:pt>
                <c:pt idx="658">
                  <c:v>7.2632000000000003</c:v>
                </c:pt>
                <c:pt idx="659">
                  <c:v>6.9648000000000003</c:v>
                </c:pt>
                <c:pt idx="660">
                  <c:v>6.3680000000000003</c:v>
                </c:pt>
                <c:pt idx="661">
                  <c:v>3.9807999999999999</c:v>
                </c:pt>
                <c:pt idx="662">
                  <c:v>2.7871999999999999</c:v>
                </c:pt>
                <c:pt idx="663">
                  <c:v>3.3839999999999999</c:v>
                </c:pt>
                <c:pt idx="664">
                  <c:v>3.0855999999999999</c:v>
                </c:pt>
                <c:pt idx="665">
                  <c:v>4.2792000000000003</c:v>
                </c:pt>
                <c:pt idx="666">
                  <c:v>4.5776000000000003</c:v>
                </c:pt>
                <c:pt idx="667">
                  <c:v>3.9807999999999999</c:v>
                </c:pt>
                <c:pt idx="668">
                  <c:v>3.9807999999999999</c:v>
                </c:pt>
                <c:pt idx="669">
                  <c:v>3.3839999999999999</c:v>
                </c:pt>
                <c:pt idx="670">
                  <c:v>3.9807999999999999</c:v>
                </c:pt>
                <c:pt idx="671">
                  <c:v>2.4887999999999999</c:v>
                </c:pt>
                <c:pt idx="672">
                  <c:v>4.2792000000000003</c:v>
                </c:pt>
                <c:pt idx="673">
                  <c:v>5.1744000000000003</c:v>
                </c:pt>
                <c:pt idx="674">
                  <c:v>3.6823999999999999</c:v>
                </c:pt>
                <c:pt idx="675">
                  <c:v>3.6823999999999999</c:v>
                </c:pt>
                <c:pt idx="676">
                  <c:v>5.1744000000000003</c:v>
                </c:pt>
                <c:pt idx="677">
                  <c:v>0.99680000000000002</c:v>
                </c:pt>
                <c:pt idx="678">
                  <c:v>3.9807999999999999</c:v>
                </c:pt>
                <c:pt idx="679">
                  <c:v>6.3680000000000003</c:v>
                </c:pt>
                <c:pt idx="680">
                  <c:v>5.1744000000000003</c:v>
                </c:pt>
                <c:pt idx="681">
                  <c:v>3.6823999999999999</c:v>
                </c:pt>
                <c:pt idx="682">
                  <c:v>3.0855999999999999</c:v>
                </c:pt>
                <c:pt idx="683">
                  <c:v>2.7871999999999999</c:v>
                </c:pt>
                <c:pt idx="684">
                  <c:v>3.3839999999999999</c:v>
                </c:pt>
                <c:pt idx="685">
                  <c:v>2.7871999999999999</c:v>
                </c:pt>
                <c:pt idx="686">
                  <c:v>2.7871999999999999</c:v>
                </c:pt>
                <c:pt idx="687">
                  <c:v>2.7871999999999999</c:v>
                </c:pt>
                <c:pt idx="688">
                  <c:v>2.1903999999999999</c:v>
                </c:pt>
                <c:pt idx="689">
                  <c:v>3.0855999999999999</c:v>
                </c:pt>
                <c:pt idx="690">
                  <c:v>3.0855999999999999</c:v>
                </c:pt>
                <c:pt idx="691">
                  <c:v>3.0855999999999999</c:v>
                </c:pt>
                <c:pt idx="692">
                  <c:v>2.1903999999999999</c:v>
                </c:pt>
                <c:pt idx="693">
                  <c:v>3.3839999999999999</c:v>
                </c:pt>
                <c:pt idx="694">
                  <c:v>4.8760000000000003</c:v>
                </c:pt>
                <c:pt idx="695">
                  <c:v>3.3839999999999999</c:v>
                </c:pt>
                <c:pt idx="696">
                  <c:v>3.9807999999999999</c:v>
                </c:pt>
                <c:pt idx="697">
                  <c:v>4.2792000000000003</c:v>
                </c:pt>
                <c:pt idx="698">
                  <c:v>3.3839999999999999</c:v>
                </c:pt>
                <c:pt idx="699">
                  <c:v>8.7552000000000003</c:v>
                </c:pt>
                <c:pt idx="700">
                  <c:v>8.1584000000000003</c:v>
                </c:pt>
                <c:pt idx="701">
                  <c:v>23.078399999999998</c:v>
                </c:pt>
                <c:pt idx="702">
                  <c:v>19.199199999999998</c:v>
                </c:pt>
                <c:pt idx="703">
                  <c:v>13.828000000000001</c:v>
                </c:pt>
                <c:pt idx="704">
                  <c:v>19.199199999999998</c:v>
                </c:pt>
                <c:pt idx="705">
                  <c:v>23.376799999999999</c:v>
                </c:pt>
                <c:pt idx="706">
                  <c:v>20.691199999999998</c:v>
                </c:pt>
                <c:pt idx="707">
                  <c:v>20.392799999999998</c:v>
                </c:pt>
                <c:pt idx="708">
                  <c:v>19.795999999999999</c:v>
                </c:pt>
                <c:pt idx="709">
                  <c:v>20.691199999999998</c:v>
                </c:pt>
                <c:pt idx="710">
                  <c:v>22.4816</c:v>
                </c:pt>
                <c:pt idx="711">
                  <c:v>23.675199999999997</c:v>
                </c:pt>
                <c:pt idx="712">
                  <c:v>22.4816</c:v>
                </c:pt>
                <c:pt idx="713">
                  <c:v>18.602399999999999</c:v>
                </c:pt>
                <c:pt idx="714">
                  <c:v>19.497599999999998</c:v>
                </c:pt>
                <c:pt idx="715">
                  <c:v>17.110399999999998</c:v>
                </c:pt>
                <c:pt idx="716">
                  <c:v>10.247200000000001</c:v>
                </c:pt>
                <c:pt idx="717">
                  <c:v>9.0536000000000012</c:v>
                </c:pt>
                <c:pt idx="718">
                  <c:v>9.0536000000000012</c:v>
                </c:pt>
                <c:pt idx="719">
                  <c:v>16.811999999999998</c:v>
                </c:pt>
                <c:pt idx="720">
                  <c:v>8.4567999999999994</c:v>
                </c:pt>
                <c:pt idx="721">
                  <c:v>13.231199999999999</c:v>
                </c:pt>
                <c:pt idx="722">
                  <c:v>6.0696000000000003</c:v>
                </c:pt>
                <c:pt idx="725">
                  <c:v>7.86</c:v>
                </c:pt>
                <c:pt idx="726">
                  <c:v>6.0696000000000003</c:v>
                </c:pt>
                <c:pt idx="727">
                  <c:v>6.9648000000000003</c:v>
                </c:pt>
                <c:pt idx="728">
                  <c:v>8.7552000000000003</c:v>
                </c:pt>
                <c:pt idx="729">
                  <c:v>9.3520000000000003</c:v>
                </c:pt>
                <c:pt idx="730">
                  <c:v>6.0696000000000003</c:v>
                </c:pt>
                <c:pt idx="731">
                  <c:v>5.7712000000000003</c:v>
                </c:pt>
                <c:pt idx="732">
                  <c:v>3.6823999999999999</c:v>
                </c:pt>
                <c:pt idx="733">
                  <c:v>4.8760000000000003</c:v>
                </c:pt>
                <c:pt idx="734">
                  <c:v>5.1744000000000003</c:v>
                </c:pt>
                <c:pt idx="735">
                  <c:v>5.7712000000000003</c:v>
                </c:pt>
                <c:pt idx="736">
                  <c:v>4.5776000000000003</c:v>
                </c:pt>
                <c:pt idx="737">
                  <c:v>4.2792000000000003</c:v>
                </c:pt>
                <c:pt idx="738">
                  <c:v>4.2792000000000003</c:v>
                </c:pt>
                <c:pt idx="739">
                  <c:v>6.3680000000000003</c:v>
                </c:pt>
                <c:pt idx="740">
                  <c:v>8.1584000000000003</c:v>
                </c:pt>
                <c:pt idx="741">
                  <c:v>8.7552000000000003</c:v>
                </c:pt>
                <c:pt idx="742">
                  <c:v>10.843999999999999</c:v>
                </c:pt>
                <c:pt idx="743">
                  <c:v>12.037599999999999</c:v>
                </c:pt>
                <c:pt idx="744">
                  <c:v>11.7392</c:v>
                </c:pt>
                <c:pt idx="745">
                  <c:v>12.037599999999999</c:v>
                </c:pt>
                <c:pt idx="746">
                  <c:v>13.231199999999999</c:v>
                </c:pt>
                <c:pt idx="747">
                  <c:v>12.9328</c:v>
                </c:pt>
                <c:pt idx="748">
                  <c:v>14.7232</c:v>
                </c:pt>
                <c:pt idx="749">
                  <c:v>15.32</c:v>
                </c:pt>
                <c:pt idx="750">
                  <c:v>15.9168</c:v>
                </c:pt>
                <c:pt idx="751">
                  <c:v>16.811999999999998</c:v>
                </c:pt>
                <c:pt idx="752">
                  <c:v>16.811999999999998</c:v>
                </c:pt>
                <c:pt idx="753">
                  <c:v>16.215199999999999</c:v>
                </c:pt>
                <c:pt idx="754">
                  <c:v>15.618399999999999</c:v>
                </c:pt>
                <c:pt idx="755">
                  <c:v>17.110399999999998</c:v>
                </c:pt>
                <c:pt idx="756">
                  <c:v>16.513599999999997</c:v>
                </c:pt>
                <c:pt idx="757">
                  <c:v>18.900799999999997</c:v>
                </c:pt>
                <c:pt idx="758">
                  <c:v>19.795999999999999</c:v>
                </c:pt>
                <c:pt idx="759">
                  <c:v>20.392799999999998</c:v>
                </c:pt>
                <c:pt idx="760">
                  <c:v>21.884799999999998</c:v>
                </c:pt>
                <c:pt idx="761">
                  <c:v>19.497599999999998</c:v>
                </c:pt>
                <c:pt idx="762">
                  <c:v>16.811999999999998</c:v>
                </c:pt>
                <c:pt idx="763">
                  <c:v>14.7232</c:v>
                </c:pt>
                <c:pt idx="764">
                  <c:v>15.618399999999999</c:v>
                </c:pt>
                <c:pt idx="765">
                  <c:v>16.811999999999998</c:v>
                </c:pt>
                <c:pt idx="766">
                  <c:v>16.215199999999999</c:v>
                </c:pt>
                <c:pt idx="767">
                  <c:v>14.1264</c:v>
                </c:pt>
                <c:pt idx="768">
                  <c:v>12.037599999999999</c:v>
                </c:pt>
                <c:pt idx="769">
                  <c:v>13.828000000000001</c:v>
                </c:pt>
                <c:pt idx="770">
                  <c:v>13.828000000000001</c:v>
                </c:pt>
                <c:pt idx="771">
                  <c:v>12.634400000000001</c:v>
                </c:pt>
                <c:pt idx="772">
                  <c:v>14.1264</c:v>
                </c:pt>
                <c:pt idx="773">
                  <c:v>12.336</c:v>
                </c:pt>
                <c:pt idx="774">
                  <c:v>12.037599999999999</c:v>
                </c:pt>
                <c:pt idx="775">
                  <c:v>10.5456</c:v>
                </c:pt>
                <c:pt idx="776">
                  <c:v>9.6503999999999994</c:v>
                </c:pt>
                <c:pt idx="777">
                  <c:v>10.843999999999999</c:v>
                </c:pt>
                <c:pt idx="778">
                  <c:v>9.6503999999999994</c:v>
                </c:pt>
                <c:pt idx="779">
                  <c:v>7.5616000000000003</c:v>
                </c:pt>
                <c:pt idx="780">
                  <c:v>6.9648000000000003</c:v>
                </c:pt>
                <c:pt idx="781">
                  <c:v>6.3680000000000003</c:v>
                </c:pt>
                <c:pt idx="782">
                  <c:v>4.8760000000000003</c:v>
                </c:pt>
                <c:pt idx="783">
                  <c:v>3.9807999999999999</c:v>
                </c:pt>
                <c:pt idx="784">
                  <c:v>3.9807999999999999</c:v>
                </c:pt>
                <c:pt idx="786">
                  <c:v>2.7871999999999999</c:v>
                </c:pt>
                <c:pt idx="787">
                  <c:v>2.4887999999999999</c:v>
                </c:pt>
                <c:pt idx="788">
                  <c:v>4.2792000000000003</c:v>
                </c:pt>
                <c:pt idx="789">
                  <c:v>5.1744000000000003</c:v>
                </c:pt>
                <c:pt idx="790">
                  <c:v>6.6664000000000003</c:v>
                </c:pt>
                <c:pt idx="791">
                  <c:v>6.9648000000000003</c:v>
                </c:pt>
                <c:pt idx="792">
                  <c:v>7.2632000000000003</c:v>
                </c:pt>
                <c:pt idx="793">
                  <c:v>7.86</c:v>
                </c:pt>
                <c:pt idx="794">
                  <c:v>7.86</c:v>
                </c:pt>
                <c:pt idx="795">
                  <c:v>8.1584000000000003</c:v>
                </c:pt>
                <c:pt idx="796">
                  <c:v>8.1584000000000003</c:v>
                </c:pt>
                <c:pt idx="797">
                  <c:v>9.6503999999999994</c:v>
                </c:pt>
                <c:pt idx="798">
                  <c:v>8.4567999999999994</c:v>
                </c:pt>
                <c:pt idx="799">
                  <c:v>7.5616000000000003</c:v>
                </c:pt>
                <c:pt idx="800">
                  <c:v>9.0536000000000012</c:v>
                </c:pt>
                <c:pt idx="801">
                  <c:v>10.5456</c:v>
                </c:pt>
                <c:pt idx="802">
                  <c:v>11.1424</c:v>
                </c:pt>
                <c:pt idx="803">
                  <c:v>4.2792000000000003</c:v>
                </c:pt>
                <c:pt idx="804">
                  <c:v>7.2632000000000003</c:v>
                </c:pt>
                <c:pt idx="805">
                  <c:v>10.247200000000001</c:v>
                </c:pt>
                <c:pt idx="806">
                  <c:v>13.828000000000001</c:v>
                </c:pt>
                <c:pt idx="807">
                  <c:v>17.408799999999999</c:v>
                </c:pt>
                <c:pt idx="808">
                  <c:v>15.9168</c:v>
                </c:pt>
                <c:pt idx="809">
                  <c:v>14.7232</c:v>
                </c:pt>
                <c:pt idx="810">
                  <c:v>11.1424</c:v>
                </c:pt>
                <c:pt idx="811">
                  <c:v>11.440800000000001</c:v>
                </c:pt>
                <c:pt idx="812">
                  <c:v>11.1424</c:v>
                </c:pt>
                <c:pt idx="813">
                  <c:v>11.1424</c:v>
                </c:pt>
                <c:pt idx="814">
                  <c:v>10.5456</c:v>
                </c:pt>
                <c:pt idx="815">
                  <c:v>11.7392</c:v>
                </c:pt>
                <c:pt idx="816">
                  <c:v>11.7392</c:v>
                </c:pt>
                <c:pt idx="817">
                  <c:v>11.7392</c:v>
                </c:pt>
                <c:pt idx="818">
                  <c:v>11.1424</c:v>
                </c:pt>
                <c:pt idx="819">
                  <c:v>10.247200000000001</c:v>
                </c:pt>
                <c:pt idx="820">
                  <c:v>10.843999999999999</c:v>
                </c:pt>
                <c:pt idx="821">
                  <c:v>10.843999999999999</c:v>
                </c:pt>
                <c:pt idx="822">
                  <c:v>11.440800000000001</c:v>
                </c:pt>
                <c:pt idx="823">
                  <c:v>10.843999999999999</c:v>
                </c:pt>
                <c:pt idx="824">
                  <c:v>10.247200000000001</c:v>
                </c:pt>
                <c:pt idx="825">
                  <c:v>9.0536000000000012</c:v>
                </c:pt>
                <c:pt idx="826">
                  <c:v>9.0536000000000012</c:v>
                </c:pt>
                <c:pt idx="827">
                  <c:v>9.0536000000000012</c:v>
                </c:pt>
                <c:pt idx="828">
                  <c:v>8.1584000000000003</c:v>
                </c:pt>
                <c:pt idx="829">
                  <c:v>6.9648000000000003</c:v>
                </c:pt>
                <c:pt idx="830">
                  <c:v>5.4728000000000003</c:v>
                </c:pt>
                <c:pt idx="831">
                  <c:v>5.1744000000000003</c:v>
                </c:pt>
                <c:pt idx="832">
                  <c:v>3.9807999999999999</c:v>
                </c:pt>
                <c:pt idx="833">
                  <c:v>3.0855999999999999</c:v>
                </c:pt>
                <c:pt idx="834">
                  <c:v>3.0855999999999999</c:v>
                </c:pt>
                <c:pt idx="835">
                  <c:v>2.7871999999999999</c:v>
                </c:pt>
                <c:pt idx="836">
                  <c:v>3.3839999999999999</c:v>
                </c:pt>
                <c:pt idx="837">
                  <c:v>3.0855999999999999</c:v>
                </c:pt>
                <c:pt idx="838">
                  <c:v>3.3839999999999999</c:v>
                </c:pt>
                <c:pt idx="839">
                  <c:v>1.8919999999999999</c:v>
                </c:pt>
                <c:pt idx="840">
                  <c:v>1.5935999999999999</c:v>
                </c:pt>
                <c:pt idx="841">
                  <c:v>2.1903999999999999</c:v>
                </c:pt>
                <c:pt idx="842">
                  <c:v>2.1903999999999999</c:v>
                </c:pt>
                <c:pt idx="843">
                  <c:v>3.9807999999999999</c:v>
                </c:pt>
                <c:pt idx="844">
                  <c:v>5.1744000000000003</c:v>
                </c:pt>
                <c:pt idx="845">
                  <c:v>6.0696000000000003</c:v>
                </c:pt>
                <c:pt idx="846">
                  <c:v>6.3680000000000003</c:v>
                </c:pt>
                <c:pt idx="847">
                  <c:v>6.9648000000000003</c:v>
                </c:pt>
                <c:pt idx="848">
                  <c:v>6.6664000000000003</c:v>
                </c:pt>
                <c:pt idx="849">
                  <c:v>6.6664000000000003</c:v>
                </c:pt>
                <c:pt idx="850">
                  <c:v>7.86</c:v>
                </c:pt>
                <c:pt idx="851">
                  <c:v>7.5616000000000003</c:v>
                </c:pt>
                <c:pt idx="852">
                  <c:v>7.86</c:v>
                </c:pt>
                <c:pt idx="853">
                  <c:v>8.1584000000000003</c:v>
                </c:pt>
                <c:pt idx="854">
                  <c:v>8.7552000000000003</c:v>
                </c:pt>
                <c:pt idx="855">
                  <c:v>9.0536000000000012</c:v>
                </c:pt>
                <c:pt idx="856">
                  <c:v>9.3520000000000003</c:v>
                </c:pt>
                <c:pt idx="857">
                  <c:v>12.336</c:v>
                </c:pt>
                <c:pt idx="858">
                  <c:v>13.231199999999999</c:v>
                </c:pt>
                <c:pt idx="859">
                  <c:v>11.440800000000001</c:v>
                </c:pt>
                <c:pt idx="860">
                  <c:v>10.843999999999999</c:v>
                </c:pt>
                <c:pt idx="861">
                  <c:v>8.7552000000000003</c:v>
                </c:pt>
                <c:pt idx="862">
                  <c:v>8.4567999999999994</c:v>
                </c:pt>
                <c:pt idx="863">
                  <c:v>7.2632000000000003</c:v>
                </c:pt>
                <c:pt idx="864">
                  <c:v>7.5616000000000003</c:v>
                </c:pt>
                <c:pt idx="865">
                  <c:v>6.6664000000000003</c:v>
                </c:pt>
                <c:pt idx="866">
                  <c:v>5.4728000000000003</c:v>
                </c:pt>
                <c:pt idx="867">
                  <c:v>5.7712000000000003</c:v>
                </c:pt>
                <c:pt idx="868">
                  <c:v>5.7712000000000003</c:v>
                </c:pt>
                <c:pt idx="869">
                  <c:v>5.7712000000000003</c:v>
                </c:pt>
                <c:pt idx="870">
                  <c:v>6.3680000000000003</c:v>
                </c:pt>
                <c:pt idx="871">
                  <c:v>5.1744000000000003</c:v>
                </c:pt>
                <c:pt idx="872">
                  <c:v>3.0855999999999999</c:v>
                </c:pt>
                <c:pt idx="873">
                  <c:v>2.7871999999999999</c:v>
                </c:pt>
                <c:pt idx="874">
                  <c:v>3.6823999999999999</c:v>
                </c:pt>
                <c:pt idx="875">
                  <c:v>3.0855999999999999</c:v>
                </c:pt>
                <c:pt idx="876">
                  <c:v>3.3839999999999999</c:v>
                </c:pt>
                <c:pt idx="877">
                  <c:v>3.0855999999999999</c:v>
                </c:pt>
                <c:pt idx="878">
                  <c:v>1.8919999999999999</c:v>
                </c:pt>
                <c:pt idx="879">
                  <c:v>2.7871999999999999</c:v>
                </c:pt>
                <c:pt idx="880">
                  <c:v>2.7871999999999999</c:v>
                </c:pt>
                <c:pt idx="881">
                  <c:v>0.69840000000000002</c:v>
                </c:pt>
                <c:pt idx="882">
                  <c:v>3.0855999999999999</c:v>
                </c:pt>
                <c:pt idx="883">
                  <c:v>2.4887999999999999</c:v>
                </c:pt>
                <c:pt idx="884">
                  <c:v>1.2951999999999999</c:v>
                </c:pt>
                <c:pt idx="885">
                  <c:v>0.69840000000000002</c:v>
                </c:pt>
                <c:pt idx="886">
                  <c:v>1.5935999999999999</c:v>
                </c:pt>
                <c:pt idx="887">
                  <c:v>2.1903999999999999</c:v>
                </c:pt>
                <c:pt idx="888">
                  <c:v>1.5935999999999999</c:v>
                </c:pt>
                <c:pt idx="889">
                  <c:v>1.8919999999999999</c:v>
                </c:pt>
                <c:pt idx="890">
                  <c:v>1.2951999999999999</c:v>
                </c:pt>
                <c:pt idx="891">
                  <c:v>1.5935999999999999</c:v>
                </c:pt>
                <c:pt idx="892">
                  <c:v>1.5935999999999999</c:v>
                </c:pt>
                <c:pt idx="893">
                  <c:v>1.8919999999999999</c:v>
                </c:pt>
                <c:pt idx="894">
                  <c:v>2.4887999999999999</c:v>
                </c:pt>
                <c:pt idx="895">
                  <c:v>3.3839999999999999</c:v>
                </c:pt>
                <c:pt idx="896">
                  <c:v>3.3839999999999999</c:v>
                </c:pt>
                <c:pt idx="897">
                  <c:v>2.4887999999999999</c:v>
                </c:pt>
                <c:pt idx="898">
                  <c:v>2.1903999999999999</c:v>
                </c:pt>
                <c:pt idx="899">
                  <c:v>1.5935999999999999</c:v>
                </c:pt>
                <c:pt idx="900">
                  <c:v>1.5935999999999999</c:v>
                </c:pt>
                <c:pt idx="901">
                  <c:v>2.1903999999999999</c:v>
                </c:pt>
                <c:pt idx="902">
                  <c:v>2.4887999999999999</c:v>
                </c:pt>
                <c:pt idx="903">
                  <c:v>2.1903999999999999</c:v>
                </c:pt>
                <c:pt idx="904">
                  <c:v>2.4887999999999999</c:v>
                </c:pt>
                <c:pt idx="905">
                  <c:v>1.8919999999999999</c:v>
                </c:pt>
                <c:pt idx="906">
                  <c:v>2.1903999999999999</c:v>
                </c:pt>
                <c:pt idx="907">
                  <c:v>1.8919999999999999</c:v>
                </c:pt>
                <c:pt idx="908">
                  <c:v>2.7871999999999999</c:v>
                </c:pt>
                <c:pt idx="909">
                  <c:v>3.0855999999999999</c:v>
                </c:pt>
                <c:pt idx="910">
                  <c:v>3.3839999999999999</c:v>
                </c:pt>
                <c:pt idx="911">
                  <c:v>2.7871999999999999</c:v>
                </c:pt>
                <c:pt idx="912">
                  <c:v>2.1903999999999999</c:v>
                </c:pt>
                <c:pt idx="913">
                  <c:v>2.1903999999999999</c:v>
                </c:pt>
                <c:pt idx="914">
                  <c:v>2.1903999999999999</c:v>
                </c:pt>
                <c:pt idx="915">
                  <c:v>2.7871999999999999</c:v>
                </c:pt>
                <c:pt idx="916">
                  <c:v>3.0855999999999999</c:v>
                </c:pt>
                <c:pt idx="917">
                  <c:v>3.3839999999999999</c:v>
                </c:pt>
                <c:pt idx="918">
                  <c:v>3.0855999999999999</c:v>
                </c:pt>
                <c:pt idx="919">
                  <c:v>2.7871999999999999</c:v>
                </c:pt>
                <c:pt idx="920">
                  <c:v>2.7871999999999999</c:v>
                </c:pt>
                <c:pt idx="921">
                  <c:v>2.4887999999999999</c:v>
                </c:pt>
                <c:pt idx="922">
                  <c:v>2.4887999999999999</c:v>
                </c:pt>
                <c:pt idx="923">
                  <c:v>2.4887999999999999</c:v>
                </c:pt>
                <c:pt idx="924">
                  <c:v>2.1903999999999999</c:v>
                </c:pt>
                <c:pt idx="925">
                  <c:v>1.8919999999999999</c:v>
                </c:pt>
                <c:pt idx="926">
                  <c:v>2.7871999999999999</c:v>
                </c:pt>
                <c:pt idx="927">
                  <c:v>3.3839999999999999</c:v>
                </c:pt>
                <c:pt idx="928">
                  <c:v>3.9807999999999999</c:v>
                </c:pt>
                <c:pt idx="929">
                  <c:v>2.4887999999999999</c:v>
                </c:pt>
                <c:pt idx="930">
                  <c:v>2.7871999999999999</c:v>
                </c:pt>
                <c:pt idx="931">
                  <c:v>2.7871999999999999</c:v>
                </c:pt>
                <c:pt idx="932">
                  <c:v>3.9807999999999999</c:v>
                </c:pt>
                <c:pt idx="933">
                  <c:v>6.6664000000000003</c:v>
                </c:pt>
                <c:pt idx="934">
                  <c:v>4.5776000000000003</c:v>
                </c:pt>
                <c:pt idx="935">
                  <c:v>3.3839999999999999</c:v>
                </c:pt>
                <c:pt idx="936">
                  <c:v>1.2951999999999999</c:v>
                </c:pt>
                <c:pt idx="937">
                  <c:v>5.4728000000000003</c:v>
                </c:pt>
                <c:pt idx="938">
                  <c:v>7.2632000000000003</c:v>
                </c:pt>
                <c:pt idx="939">
                  <c:v>10.247200000000001</c:v>
                </c:pt>
                <c:pt idx="940">
                  <c:v>11.7392</c:v>
                </c:pt>
                <c:pt idx="941">
                  <c:v>12.037599999999999</c:v>
                </c:pt>
                <c:pt idx="942">
                  <c:v>13.5296</c:v>
                </c:pt>
                <c:pt idx="943">
                  <c:v>11.7392</c:v>
                </c:pt>
                <c:pt idx="944">
                  <c:v>13.231199999999999</c:v>
                </c:pt>
                <c:pt idx="945">
                  <c:v>12.037599999999999</c:v>
                </c:pt>
                <c:pt idx="946">
                  <c:v>12.336</c:v>
                </c:pt>
                <c:pt idx="947">
                  <c:v>13.5296</c:v>
                </c:pt>
                <c:pt idx="948">
                  <c:v>13.828000000000001</c:v>
                </c:pt>
                <c:pt idx="949">
                  <c:v>13.828000000000001</c:v>
                </c:pt>
                <c:pt idx="950">
                  <c:v>13.828000000000001</c:v>
                </c:pt>
                <c:pt idx="951">
                  <c:v>14.424799999999999</c:v>
                </c:pt>
                <c:pt idx="952">
                  <c:v>15.021600000000001</c:v>
                </c:pt>
                <c:pt idx="953">
                  <c:v>11.7392</c:v>
                </c:pt>
                <c:pt idx="954">
                  <c:v>10.5456</c:v>
                </c:pt>
                <c:pt idx="955">
                  <c:v>9.3520000000000003</c:v>
                </c:pt>
                <c:pt idx="956">
                  <c:v>7.86</c:v>
                </c:pt>
                <c:pt idx="957">
                  <c:v>5.4728000000000003</c:v>
                </c:pt>
                <c:pt idx="958">
                  <c:v>3.3839999999999999</c:v>
                </c:pt>
                <c:pt idx="959">
                  <c:v>8.1584000000000003</c:v>
                </c:pt>
                <c:pt idx="960">
                  <c:v>9.0536000000000012</c:v>
                </c:pt>
                <c:pt idx="961">
                  <c:v>4.2792000000000003</c:v>
                </c:pt>
                <c:pt idx="962">
                  <c:v>6.0696000000000003</c:v>
                </c:pt>
                <c:pt idx="963">
                  <c:v>4.8760000000000003</c:v>
                </c:pt>
                <c:pt idx="964">
                  <c:v>6.3680000000000003</c:v>
                </c:pt>
                <c:pt idx="965">
                  <c:v>3.9807999999999999</c:v>
                </c:pt>
                <c:pt idx="966">
                  <c:v>3.9807999999999999</c:v>
                </c:pt>
                <c:pt idx="967">
                  <c:v>4.5776000000000003</c:v>
                </c:pt>
                <c:pt idx="977">
                  <c:v>6.6664000000000003</c:v>
                </c:pt>
                <c:pt idx="978">
                  <c:v>6.0696000000000003</c:v>
                </c:pt>
                <c:pt idx="979">
                  <c:v>3.3839999999999999</c:v>
                </c:pt>
                <c:pt idx="980">
                  <c:v>5.4728000000000003</c:v>
                </c:pt>
                <c:pt idx="981">
                  <c:v>3.9807999999999999</c:v>
                </c:pt>
                <c:pt idx="982">
                  <c:v>3.6823999999999999</c:v>
                </c:pt>
                <c:pt idx="983">
                  <c:v>5.7712000000000003</c:v>
                </c:pt>
                <c:pt idx="984">
                  <c:v>7.5616000000000003</c:v>
                </c:pt>
                <c:pt idx="985">
                  <c:v>5.4728000000000003</c:v>
                </c:pt>
                <c:pt idx="986">
                  <c:v>4.8760000000000003</c:v>
                </c:pt>
                <c:pt idx="987">
                  <c:v>6.3680000000000003</c:v>
                </c:pt>
                <c:pt idx="988">
                  <c:v>6.6664000000000003</c:v>
                </c:pt>
                <c:pt idx="989">
                  <c:v>4.8760000000000003</c:v>
                </c:pt>
                <c:pt idx="990">
                  <c:v>5.7712000000000003</c:v>
                </c:pt>
                <c:pt idx="991">
                  <c:v>3.0855999999999999</c:v>
                </c:pt>
                <c:pt idx="992">
                  <c:v>3.0855999999999999</c:v>
                </c:pt>
                <c:pt idx="993">
                  <c:v>5.4728000000000003</c:v>
                </c:pt>
                <c:pt idx="994">
                  <c:v>5.7712000000000003</c:v>
                </c:pt>
                <c:pt idx="995">
                  <c:v>4.5776000000000003</c:v>
                </c:pt>
                <c:pt idx="996">
                  <c:v>2.4887999999999999</c:v>
                </c:pt>
                <c:pt idx="997">
                  <c:v>5.7712000000000003</c:v>
                </c:pt>
                <c:pt idx="998">
                  <c:v>6.0696000000000003</c:v>
                </c:pt>
                <c:pt idx="999">
                  <c:v>6.0696000000000003</c:v>
                </c:pt>
                <c:pt idx="1000">
                  <c:v>4.2792000000000003</c:v>
                </c:pt>
                <c:pt idx="1001">
                  <c:v>4.5776000000000003</c:v>
                </c:pt>
                <c:pt idx="1002">
                  <c:v>4.8760000000000003</c:v>
                </c:pt>
                <c:pt idx="1003">
                  <c:v>4.8760000000000003</c:v>
                </c:pt>
                <c:pt idx="1004">
                  <c:v>3.6823999999999999</c:v>
                </c:pt>
                <c:pt idx="1005">
                  <c:v>3.9807999999999999</c:v>
                </c:pt>
                <c:pt idx="1006">
                  <c:v>4.5776000000000003</c:v>
                </c:pt>
                <c:pt idx="1007">
                  <c:v>4.5776000000000003</c:v>
                </c:pt>
                <c:pt idx="1008">
                  <c:v>4.8760000000000003</c:v>
                </c:pt>
                <c:pt idx="1009">
                  <c:v>2.4887999999999999</c:v>
                </c:pt>
                <c:pt idx="1010">
                  <c:v>3.3839999999999999</c:v>
                </c:pt>
                <c:pt idx="1011">
                  <c:v>4.2792000000000003</c:v>
                </c:pt>
                <c:pt idx="1012">
                  <c:v>4.2792000000000003</c:v>
                </c:pt>
                <c:pt idx="1013">
                  <c:v>5.4728000000000003</c:v>
                </c:pt>
                <c:pt idx="1014">
                  <c:v>5.1744000000000003</c:v>
                </c:pt>
                <c:pt idx="1015">
                  <c:v>3.0855999999999999</c:v>
                </c:pt>
                <c:pt idx="1016">
                  <c:v>3.0855999999999999</c:v>
                </c:pt>
                <c:pt idx="1017">
                  <c:v>2.4887999999999999</c:v>
                </c:pt>
                <c:pt idx="1018">
                  <c:v>3.9807999999999999</c:v>
                </c:pt>
                <c:pt idx="1019">
                  <c:v>3.3839999999999999</c:v>
                </c:pt>
                <c:pt idx="1020">
                  <c:v>4.5776000000000003</c:v>
                </c:pt>
                <c:pt idx="1021">
                  <c:v>6.3680000000000003</c:v>
                </c:pt>
                <c:pt idx="1022">
                  <c:v>6.9648000000000003</c:v>
                </c:pt>
                <c:pt idx="1023">
                  <c:v>6.6664000000000003</c:v>
                </c:pt>
                <c:pt idx="1024">
                  <c:v>11.7392</c:v>
                </c:pt>
                <c:pt idx="1025">
                  <c:v>10.843999999999999</c:v>
                </c:pt>
                <c:pt idx="1026">
                  <c:v>16.513599999999997</c:v>
                </c:pt>
                <c:pt idx="1027">
                  <c:v>15.32</c:v>
                </c:pt>
                <c:pt idx="1028">
                  <c:v>14.1264</c:v>
                </c:pt>
                <c:pt idx="1029">
                  <c:v>15.9168</c:v>
                </c:pt>
                <c:pt idx="1030">
                  <c:v>16.215199999999999</c:v>
                </c:pt>
                <c:pt idx="1031">
                  <c:v>15.618399999999999</c:v>
                </c:pt>
                <c:pt idx="1032">
                  <c:v>13.231199999999999</c:v>
                </c:pt>
                <c:pt idx="1033">
                  <c:v>13.828000000000001</c:v>
                </c:pt>
                <c:pt idx="1034">
                  <c:v>14.1264</c:v>
                </c:pt>
                <c:pt idx="1035">
                  <c:v>17.7072</c:v>
                </c:pt>
                <c:pt idx="1036">
                  <c:v>5.4728000000000003</c:v>
                </c:pt>
                <c:pt idx="1037">
                  <c:v>7.2632000000000003</c:v>
                </c:pt>
                <c:pt idx="1038">
                  <c:v>4.5776000000000003</c:v>
                </c:pt>
                <c:pt idx="1039">
                  <c:v>5.1744000000000003</c:v>
                </c:pt>
                <c:pt idx="1040">
                  <c:v>4.2792000000000003</c:v>
                </c:pt>
                <c:pt idx="1041">
                  <c:v>6.9648000000000003</c:v>
                </c:pt>
                <c:pt idx="1042">
                  <c:v>4.2792000000000003</c:v>
                </c:pt>
                <c:pt idx="1043">
                  <c:v>10.843999999999999</c:v>
                </c:pt>
                <c:pt idx="1044">
                  <c:v>9.3520000000000003</c:v>
                </c:pt>
                <c:pt idx="1045">
                  <c:v>9.0536000000000012</c:v>
                </c:pt>
                <c:pt idx="1046">
                  <c:v>10.5456</c:v>
                </c:pt>
                <c:pt idx="1047">
                  <c:v>9.6503999999999994</c:v>
                </c:pt>
                <c:pt idx="1048">
                  <c:v>5.4728000000000003</c:v>
                </c:pt>
                <c:pt idx="1049">
                  <c:v>10.247200000000001</c:v>
                </c:pt>
                <c:pt idx="1050">
                  <c:v>8.4567999999999994</c:v>
                </c:pt>
                <c:pt idx="1051">
                  <c:v>10.843999999999999</c:v>
                </c:pt>
                <c:pt idx="1052">
                  <c:v>15.9168</c:v>
                </c:pt>
                <c:pt idx="1053">
                  <c:v>15.32</c:v>
                </c:pt>
                <c:pt idx="1054">
                  <c:v>9.3520000000000003</c:v>
                </c:pt>
                <c:pt idx="1055">
                  <c:v>5.7712000000000003</c:v>
                </c:pt>
                <c:pt idx="1056">
                  <c:v>10.247200000000001</c:v>
                </c:pt>
                <c:pt idx="1057">
                  <c:v>6.3680000000000003</c:v>
                </c:pt>
                <c:pt idx="1058">
                  <c:v>3.6823999999999999</c:v>
                </c:pt>
                <c:pt idx="1059">
                  <c:v>7.2632000000000003</c:v>
                </c:pt>
                <c:pt idx="1060">
                  <c:v>9.3520000000000003</c:v>
                </c:pt>
                <c:pt idx="1061">
                  <c:v>8.4567999999999994</c:v>
                </c:pt>
                <c:pt idx="1062">
                  <c:v>21.884799999999998</c:v>
                </c:pt>
                <c:pt idx="1063">
                  <c:v>20.989599999999999</c:v>
                </c:pt>
                <c:pt idx="1064">
                  <c:v>18.900799999999997</c:v>
                </c:pt>
                <c:pt idx="1065">
                  <c:v>17.7072</c:v>
                </c:pt>
                <c:pt idx="1066">
                  <c:v>18.602399999999999</c:v>
                </c:pt>
                <c:pt idx="1067">
                  <c:v>20.989599999999999</c:v>
                </c:pt>
                <c:pt idx="1068">
                  <c:v>21.287999999999997</c:v>
                </c:pt>
                <c:pt idx="1069">
                  <c:v>6.9648000000000003</c:v>
                </c:pt>
                <c:pt idx="1070">
                  <c:v>8.1584000000000003</c:v>
                </c:pt>
                <c:pt idx="1071">
                  <c:v>7.5616000000000003</c:v>
                </c:pt>
                <c:pt idx="1072">
                  <c:v>9.0536000000000012</c:v>
                </c:pt>
                <c:pt idx="1073">
                  <c:v>6.6664000000000003</c:v>
                </c:pt>
                <c:pt idx="1074">
                  <c:v>10.843999999999999</c:v>
                </c:pt>
                <c:pt idx="1075">
                  <c:v>9.6503999999999994</c:v>
                </c:pt>
                <c:pt idx="1076">
                  <c:v>17.110399999999998</c:v>
                </c:pt>
                <c:pt idx="1077">
                  <c:v>13.231199999999999</c:v>
                </c:pt>
                <c:pt idx="1078">
                  <c:v>19.497599999999998</c:v>
                </c:pt>
                <c:pt idx="1079">
                  <c:v>20.691199999999998</c:v>
                </c:pt>
                <c:pt idx="1080">
                  <c:v>16.215199999999999</c:v>
                </c:pt>
                <c:pt idx="1081">
                  <c:v>18.900799999999997</c:v>
                </c:pt>
                <c:pt idx="1082">
                  <c:v>15.618399999999999</c:v>
                </c:pt>
                <c:pt idx="1083">
                  <c:v>15.021600000000001</c:v>
                </c:pt>
                <c:pt idx="1084">
                  <c:v>10.843999999999999</c:v>
                </c:pt>
                <c:pt idx="1085">
                  <c:v>10.5456</c:v>
                </c:pt>
                <c:pt idx="1086">
                  <c:v>10.247200000000001</c:v>
                </c:pt>
                <c:pt idx="1087">
                  <c:v>7.5616000000000003</c:v>
                </c:pt>
                <c:pt idx="1088">
                  <c:v>9.0536000000000012</c:v>
                </c:pt>
                <c:pt idx="1089">
                  <c:v>6.6664000000000003</c:v>
                </c:pt>
                <c:pt idx="1090">
                  <c:v>8.1584000000000003</c:v>
                </c:pt>
                <c:pt idx="1091">
                  <c:v>5.4728000000000003</c:v>
                </c:pt>
                <c:pt idx="1092">
                  <c:v>5.4728000000000003</c:v>
                </c:pt>
                <c:pt idx="1093">
                  <c:v>7.2632000000000003</c:v>
                </c:pt>
                <c:pt idx="1094">
                  <c:v>5.1744000000000003</c:v>
                </c:pt>
                <c:pt idx="1095">
                  <c:v>3.0855999999999999</c:v>
                </c:pt>
                <c:pt idx="1096">
                  <c:v>3.0855999999999999</c:v>
                </c:pt>
                <c:pt idx="1097">
                  <c:v>17.408799999999999</c:v>
                </c:pt>
                <c:pt idx="1098">
                  <c:v>17.7072</c:v>
                </c:pt>
                <c:pt idx="1099">
                  <c:v>17.110399999999998</c:v>
                </c:pt>
                <c:pt idx="1100">
                  <c:v>19.795999999999999</c:v>
                </c:pt>
                <c:pt idx="1101">
                  <c:v>19.795999999999999</c:v>
                </c:pt>
                <c:pt idx="1102">
                  <c:v>19.199199999999998</c:v>
                </c:pt>
                <c:pt idx="1103">
                  <c:v>21.287999999999997</c:v>
                </c:pt>
                <c:pt idx="1104">
                  <c:v>19.199199999999998</c:v>
                </c:pt>
                <c:pt idx="1105">
                  <c:v>18.900799999999997</c:v>
                </c:pt>
                <c:pt idx="1106">
                  <c:v>12.336</c:v>
                </c:pt>
                <c:pt idx="1107">
                  <c:v>19.497599999999998</c:v>
                </c:pt>
                <c:pt idx="1108">
                  <c:v>8.7552000000000003</c:v>
                </c:pt>
                <c:pt idx="1109">
                  <c:v>14.7232</c:v>
                </c:pt>
                <c:pt idx="1110">
                  <c:v>20.392799999999998</c:v>
                </c:pt>
                <c:pt idx="1111">
                  <c:v>13.828000000000001</c:v>
                </c:pt>
                <c:pt idx="1112">
                  <c:v>9.9488000000000003</c:v>
                </c:pt>
                <c:pt idx="1113">
                  <c:v>13.231199999999999</c:v>
                </c:pt>
                <c:pt idx="1114">
                  <c:v>15.021600000000001</c:v>
                </c:pt>
                <c:pt idx="1115">
                  <c:v>7.5616000000000003</c:v>
                </c:pt>
                <c:pt idx="1116">
                  <c:v>12.9328</c:v>
                </c:pt>
                <c:pt idx="1117">
                  <c:v>13.231199999999999</c:v>
                </c:pt>
                <c:pt idx="1118">
                  <c:v>19.497599999999998</c:v>
                </c:pt>
                <c:pt idx="1119">
                  <c:v>12.9328</c:v>
                </c:pt>
                <c:pt idx="1120">
                  <c:v>15.9168</c:v>
                </c:pt>
                <c:pt idx="1121">
                  <c:v>20.691199999999998</c:v>
                </c:pt>
                <c:pt idx="1122">
                  <c:v>14.1264</c:v>
                </c:pt>
                <c:pt idx="1123">
                  <c:v>28.449599999999997</c:v>
                </c:pt>
                <c:pt idx="1124">
                  <c:v>20.691199999999998</c:v>
                </c:pt>
                <c:pt idx="1125">
                  <c:v>17.110399999999998</c:v>
                </c:pt>
                <c:pt idx="1126">
                  <c:v>13.5296</c:v>
                </c:pt>
                <c:pt idx="1127">
                  <c:v>18.303999999999998</c:v>
                </c:pt>
                <c:pt idx="1128">
                  <c:v>12.336</c:v>
                </c:pt>
                <c:pt idx="1129">
                  <c:v>14.1264</c:v>
                </c:pt>
                <c:pt idx="1130">
                  <c:v>10.5456</c:v>
                </c:pt>
                <c:pt idx="1131">
                  <c:v>10.5456</c:v>
                </c:pt>
                <c:pt idx="1132">
                  <c:v>11.440800000000001</c:v>
                </c:pt>
                <c:pt idx="1133">
                  <c:v>26.062399999999997</c:v>
                </c:pt>
                <c:pt idx="1134">
                  <c:v>17.408799999999999</c:v>
                </c:pt>
                <c:pt idx="1135">
                  <c:v>23.376799999999999</c:v>
                </c:pt>
                <c:pt idx="1136">
                  <c:v>13.5296</c:v>
                </c:pt>
                <c:pt idx="1137">
                  <c:v>11.7392</c:v>
                </c:pt>
                <c:pt idx="1138">
                  <c:v>9.0536000000000012</c:v>
                </c:pt>
                <c:pt idx="1139">
                  <c:v>12.9328</c:v>
                </c:pt>
                <c:pt idx="1140">
                  <c:v>11.1424</c:v>
                </c:pt>
                <c:pt idx="1141">
                  <c:v>8.7552000000000003</c:v>
                </c:pt>
                <c:pt idx="1142">
                  <c:v>9.3520000000000003</c:v>
                </c:pt>
                <c:pt idx="1143">
                  <c:v>6.9648000000000003</c:v>
                </c:pt>
                <c:pt idx="1144">
                  <c:v>12.336</c:v>
                </c:pt>
                <c:pt idx="1145">
                  <c:v>6.3680000000000003</c:v>
                </c:pt>
                <c:pt idx="1146">
                  <c:v>6.9648000000000003</c:v>
                </c:pt>
                <c:pt idx="1147">
                  <c:v>7.86</c:v>
                </c:pt>
                <c:pt idx="1148">
                  <c:v>7.5616000000000003</c:v>
                </c:pt>
                <c:pt idx="1149">
                  <c:v>3.6823999999999999</c:v>
                </c:pt>
                <c:pt idx="1150">
                  <c:v>8.1584000000000003</c:v>
                </c:pt>
                <c:pt idx="1151">
                  <c:v>8.4567999999999994</c:v>
                </c:pt>
                <c:pt idx="1152">
                  <c:v>6.9648000000000003</c:v>
                </c:pt>
                <c:pt idx="1153">
                  <c:v>6.6664000000000003</c:v>
                </c:pt>
                <c:pt idx="1154">
                  <c:v>6.9648000000000003</c:v>
                </c:pt>
                <c:pt idx="1155">
                  <c:v>6.6664000000000003</c:v>
                </c:pt>
                <c:pt idx="1156">
                  <c:v>6.9648000000000003</c:v>
                </c:pt>
                <c:pt idx="1157">
                  <c:v>3.6823999999999999</c:v>
                </c:pt>
                <c:pt idx="1158">
                  <c:v>4.8760000000000003</c:v>
                </c:pt>
                <c:pt idx="1159">
                  <c:v>3.0855999999999999</c:v>
                </c:pt>
                <c:pt idx="1160">
                  <c:v>2.7871999999999999</c:v>
                </c:pt>
                <c:pt idx="1161">
                  <c:v>2.4887999999999999</c:v>
                </c:pt>
                <c:pt idx="1162">
                  <c:v>3.6823999999999999</c:v>
                </c:pt>
                <c:pt idx="1163">
                  <c:v>13.5296</c:v>
                </c:pt>
                <c:pt idx="1164">
                  <c:v>13.5296</c:v>
                </c:pt>
                <c:pt idx="1165">
                  <c:v>15.021600000000001</c:v>
                </c:pt>
                <c:pt idx="1166">
                  <c:v>12.634400000000001</c:v>
                </c:pt>
                <c:pt idx="1167">
                  <c:v>14.424799999999999</c:v>
                </c:pt>
                <c:pt idx="1168">
                  <c:v>16.513599999999997</c:v>
                </c:pt>
                <c:pt idx="1169">
                  <c:v>15.021600000000001</c:v>
                </c:pt>
                <c:pt idx="1170">
                  <c:v>13.231199999999999</c:v>
                </c:pt>
                <c:pt idx="1171">
                  <c:v>14.1264</c:v>
                </c:pt>
                <c:pt idx="1172">
                  <c:v>13.5296</c:v>
                </c:pt>
                <c:pt idx="1173">
                  <c:v>14.1264</c:v>
                </c:pt>
                <c:pt idx="1174">
                  <c:v>15.021600000000001</c:v>
                </c:pt>
                <c:pt idx="1175">
                  <c:v>15.9168</c:v>
                </c:pt>
                <c:pt idx="1176">
                  <c:v>16.513599999999997</c:v>
                </c:pt>
                <c:pt idx="1177">
                  <c:v>15.32</c:v>
                </c:pt>
                <c:pt idx="1178">
                  <c:v>14.1264</c:v>
                </c:pt>
                <c:pt idx="1179">
                  <c:v>5.7712000000000003</c:v>
                </c:pt>
                <c:pt idx="1180">
                  <c:v>9.0536000000000012</c:v>
                </c:pt>
                <c:pt idx="1181">
                  <c:v>6.0696000000000003</c:v>
                </c:pt>
                <c:pt idx="1182">
                  <c:v>3.0855999999999999</c:v>
                </c:pt>
                <c:pt idx="1183">
                  <c:v>4.5776000000000003</c:v>
                </c:pt>
                <c:pt idx="1184">
                  <c:v>3.3839999999999999</c:v>
                </c:pt>
                <c:pt idx="1185">
                  <c:v>4.5776000000000003</c:v>
                </c:pt>
                <c:pt idx="1186">
                  <c:v>4.8760000000000003</c:v>
                </c:pt>
                <c:pt idx="1187">
                  <c:v>9.6503999999999994</c:v>
                </c:pt>
                <c:pt idx="1188">
                  <c:v>12.634400000000001</c:v>
                </c:pt>
                <c:pt idx="1189">
                  <c:v>7.2632000000000003</c:v>
                </c:pt>
                <c:pt idx="1190">
                  <c:v>4.8760000000000003</c:v>
                </c:pt>
                <c:pt idx="1191">
                  <c:v>3.3839999999999999</c:v>
                </c:pt>
                <c:pt idx="1192">
                  <c:v>5.7712000000000003</c:v>
                </c:pt>
                <c:pt idx="1193">
                  <c:v>6.9648000000000003</c:v>
                </c:pt>
                <c:pt idx="1194">
                  <c:v>9.0536000000000012</c:v>
                </c:pt>
                <c:pt idx="1195">
                  <c:v>7.2632000000000003</c:v>
                </c:pt>
                <c:pt idx="1196">
                  <c:v>7.2632000000000003</c:v>
                </c:pt>
                <c:pt idx="1197">
                  <c:v>6.6664000000000003</c:v>
                </c:pt>
                <c:pt idx="1198">
                  <c:v>9.0536000000000012</c:v>
                </c:pt>
                <c:pt idx="1199">
                  <c:v>5.7712000000000003</c:v>
                </c:pt>
                <c:pt idx="1200">
                  <c:v>8.1584000000000003</c:v>
                </c:pt>
                <c:pt idx="1201">
                  <c:v>12.336</c:v>
                </c:pt>
                <c:pt idx="1202">
                  <c:v>14.7232</c:v>
                </c:pt>
                <c:pt idx="1203">
                  <c:v>11.440800000000001</c:v>
                </c:pt>
                <c:pt idx="1204">
                  <c:v>13.231199999999999</c:v>
                </c:pt>
                <c:pt idx="1205">
                  <c:v>9.9488000000000003</c:v>
                </c:pt>
                <c:pt idx="1206">
                  <c:v>7.5616000000000003</c:v>
                </c:pt>
                <c:pt idx="1207">
                  <c:v>6.6664000000000003</c:v>
                </c:pt>
                <c:pt idx="1208">
                  <c:v>6.3680000000000003</c:v>
                </c:pt>
                <c:pt idx="1209">
                  <c:v>7.5616000000000003</c:v>
                </c:pt>
                <c:pt idx="1210">
                  <c:v>6.0696000000000003</c:v>
                </c:pt>
                <c:pt idx="1211">
                  <c:v>5.7712000000000003</c:v>
                </c:pt>
                <c:pt idx="1212">
                  <c:v>5.7712000000000003</c:v>
                </c:pt>
                <c:pt idx="1213">
                  <c:v>5.7712000000000003</c:v>
                </c:pt>
                <c:pt idx="1214">
                  <c:v>6.0696000000000003</c:v>
                </c:pt>
                <c:pt idx="1215">
                  <c:v>11.7392</c:v>
                </c:pt>
                <c:pt idx="1216">
                  <c:v>22.183199999999999</c:v>
                </c:pt>
                <c:pt idx="1217">
                  <c:v>20.0944</c:v>
                </c:pt>
                <c:pt idx="1218">
                  <c:v>20.691199999999998</c:v>
                </c:pt>
                <c:pt idx="1219">
                  <c:v>22.183199999999999</c:v>
                </c:pt>
                <c:pt idx="1220">
                  <c:v>22.183199999999999</c:v>
                </c:pt>
                <c:pt idx="1221">
                  <c:v>20.0944</c:v>
                </c:pt>
                <c:pt idx="1222">
                  <c:v>15.32</c:v>
                </c:pt>
                <c:pt idx="1223">
                  <c:v>14.1264</c:v>
                </c:pt>
                <c:pt idx="1224">
                  <c:v>13.828000000000001</c:v>
                </c:pt>
                <c:pt idx="1225">
                  <c:v>14.424799999999999</c:v>
                </c:pt>
                <c:pt idx="1226">
                  <c:v>17.110399999999998</c:v>
                </c:pt>
                <c:pt idx="1227">
                  <c:v>9.3520000000000003</c:v>
                </c:pt>
                <c:pt idx="1228">
                  <c:v>18.602399999999999</c:v>
                </c:pt>
                <c:pt idx="1229">
                  <c:v>8.1584000000000003</c:v>
                </c:pt>
                <c:pt idx="1230">
                  <c:v>17.7072</c:v>
                </c:pt>
                <c:pt idx="1231">
                  <c:v>9.6503999999999994</c:v>
                </c:pt>
                <c:pt idx="1232">
                  <c:v>9.9488000000000003</c:v>
                </c:pt>
                <c:pt idx="1233">
                  <c:v>19.795999999999999</c:v>
                </c:pt>
                <c:pt idx="1234">
                  <c:v>9.9488000000000003</c:v>
                </c:pt>
                <c:pt idx="1235">
                  <c:v>11.440800000000001</c:v>
                </c:pt>
                <c:pt idx="1236">
                  <c:v>11.1424</c:v>
                </c:pt>
                <c:pt idx="1237">
                  <c:v>9.3520000000000003</c:v>
                </c:pt>
                <c:pt idx="1238">
                  <c:v>6.6664000000000003</c:v>
                </c:pt>
                <c:pt idx="1239">
                  <c:v>8.4567999999999994</c:v>
                </c:pt>
                <c:pt idx="1240">
                  <c:v>4.8760000000000003</c:v>
                </c:pt>
                <c:pt idx="1241">
                  <c:v>7.5616000000000003</c:v>
                </c:pt>
                <c:pt idx="1242">
                  <c:v>5.1744000000000003</c:v>
                </c:pt>
                <c:pt idx="1243">
                  <c:v>10.843999999999999</c:v>
                </c:pt>
                <c:pt idx="1244">
                  <c:v>10.247200000000001</c:v>
                </c:pt>
                <c:pt idx="1245">
                  <c:v>8.7552000000000003</c:v>
                </c:pt>
                <c:pt idx="1246">
                  <c:v>8.7552000000000003</c:v>
                </c:pt>
                <c:pt idx="1247">
                  <c:v>7.5616000000000003</c:v>
                </c:pt>
                <c:pt idx="1248">
                  <c:v>9.0536000000000012</c:v>
                </c:pt>
                <c:pt idx="1249">
                  <c:v>6.6664000000000003</c:v>
                </c:pt>
                <c:pt idx="1250">
                  <c:v>9.3520000000000003</c:v>
                </c:pt>
                <c:pt idx="1251">
                  <c:v>7.2632000000000003</c:v>
                </c:pt>
                <c:pt idx="1252">
                  <c:v>10.5456</c:v>
                </c:pt>
                <c:pt idx="1253">
                  <c:v>10.843999999999999</c:v>
                </c:pt>
                <c:pt idx="1254">
                  <c:v>8.1584000000000003</c:v>
                </c:pt>
                <c:pt idx="1255">
                  <c:v>10.843999999999999</c:v>
                </c:pt>
                <c:pt idx="1256">
                  <c:v>6.9648000000000003</c:v>
                </c:pt>
                <c:pt idx="1257">
                  <c:v>6.9648000000000003</c:v>
                </c:pt>
                <c:pt idx="1258">
                  <c:v>5.7712000000000003</c:v>
                </c:pt>
                <c:pt idx="1259">
                  <c:v>3.9807999999999999</c:v>
                </c:pt>
                <c:pt idx="1260">
                  <c:v>6.6664000000000003</c:v>
                </c:pt>
                <c:pt idx="1261">
                  <c:v>6.3680000000000003</c:v>
                </c:pt>
                <c:pt idx="1262">
                  <c:v>8.7552000000000003</c:v>
                </c:pt>
                <c:pt idx="1263">
                  <c:v>8.1584000000000003</c:v>
                </c:pt>
                <c:pt idx="1264">
                  <c:v>8.1584000000000003</c:v>
                </c:pt>
                <c:pt idx="1265">
                  <c:v>9.0536000000000012</c:v>
                </c:pt>
                <c:pt idx="1266">
                  <c:v>7.2632000000000003</c:v>
                </c:pt>
                <c:pt idx="1267">
                  <c:v>7.86</c:v>
                </c:pt>
                <c:pt idx="1268">
                  <c:v>7.5616000000000003</c:v>
                </c:pt>
                <c:pt idx="1269">
                  <c:v>13.5296</c:v>
                </c:pt>
                <c:pt idx="1270">
                  <c:v>9.6503999999999994</c:v>
                </c:pt>
                <c:pt idx="1271">
                  <c:v>5.4728000000000003</c:v>
                </c:pt>
                <c:pt idx="1272">
                  <c:v>5.7712000000000003</c:v>
                </c:pt>
                <c:pt idx="1273">
                  <c:v>6.6664000000000003</c:v>
                </c:pt>
                <c:pt idx="1274">
                  <c:v>4.5776000000000003</c:v>
                </c:pt>
                <c:pt idx="1275">
                  <c:v>7.86</c:v>
                </c:pt>
                <c:pt idx="1276">
                  <c:v>9.0536000000000012</c:v>
                </c:pt>
                <c:pt idx="1277">
                  <c:v>6.0696000000000003</c:v>
                </c:pt>
                <c:pt idx="1278">
                  <c:v>8.4567999999999994</c:v>
                </c:pt>
                <c:pt idx="1279">
                  <c:v>9.6503999999999994</c:v>
                </c:pt>
                <c:pt idx="1280">
                  <c:v>12.634400000000001</c:v>
                </c:pt>
                <c:pt idx="1281">
                  <c:v>8.4567999999999994</c:v>
                </c:pt>
                <c:pt idx="1282">
                  <c:v>17.408799999999999</c:v>
                </c:pt>
                <c:pt idx="1283">
                  <c:v>29.6432</c:v>
                </c:pt>
                <c:pt idx="1284">
                  <c:v>20.392799999999998</c:v>
                </c:pt>
                <c:pt idx="1285">
                  <c:v>19.497599999999998</c:v>
                </c:pt>
                <c:pt idx="1286">
                  <c:v>23.675199999999997</c:v>
                </c:pt>
                <c:pt idx="1287">
                  <c:v>18.005599999999998</c:v>
                </c:pt>
                <c:pt idx="1288">
                  <c:v>24.570399999999999</c:v>
                </c:pt>
                <c:pt idx="1289">
                  <c:v>22.4816</c:v>
                </c:pt>
                <c:pt idx="1291">
                  <c:v>29.344799999999999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1A-48D1-B18A-2D4D28EE1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319384"/>
        <c:axId val="1"/>
      </c:scatterChart>
      <c:valAx>
        <c:axId val="70631938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631938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767857142857131"/>
          <c:y val="0.42988204456094364"/>
          <c:w val="0.12142857142857141"/>
          <c:h val="9.04325032765399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975103734439832"/>
          <c:y val="2.046384720327421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663900414937761E-2"/>
          <c:y val="0.10504774897680765"/>
          <c:w val="0.81327800829875518"/>
          <c:h val="0.83219645293315136"/>
        </c:manualLayout>
      </c:layout>
      <c:scatterChart>
        <c:scatterStyle val="lineMarker"/>
        <c:varyColors val="0"/>
        <c:ser>
          <c:idx val="0"/>
          <c:order val="0"/>
          <c:tx>
            <c:strRef>
              <c:f>AADATA!$M$1:$M$2</c:f>
              <c:strCache>
                <c:ptCount val="2"/>
                <c:pt idx="0">
                  <c:v>Wind direction</c:v>
                </c:pt>
              </c:strCache>
            </c:strRef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AADATA!$H$3:$H$1303</c:f>
              <c:numCache>
                <c:formatCode>m/d/yyyy\ h:mm</c:formatCode>
                <c:ptCount val="1301"/>
                <c:pt idx="0">
                  <c:v>36828.708333333336</c:v>
                </c:pt>
                <c:pt idx="1">
                  <c:v>36828.729166666672</c:v>
                </c:pt>
                <c:pt idx="2">
                  <c:v>36828.750000000007</c:v>
                </c:pt>
                <c:pt idx="3">
                  <c:v>36828.770833333343</c:v>
                </c:pt>
                <c:pt idx="4">
                  <c:v>36828.791666666679</c:v>
                </c:pt>
                <c:pt idx="5">
                  <c:v>36828.812500000015</c:v>
                </c:pt>
                <c:pt idx="6">
                  <c:v>36828.83333333335</c:v>
                </c:pt>
                <c:pt idx="7">
                  <c:v>36828.854166666686</c:v>
                </c:pt>
                <c:pt idx="8">
                  <c:v>36828.875000000022</c:v>
                </c:pt>
                <c:pt idx="9">
                  <c:v>36828.895833333358</c:v>
                </c:pt>
                <c:pt idx="10">
                  <c:v>36828.916666666693</c:v>
                </c:pt>
                <c:pt idx="11">
                  <c:v>36828.937500000029</c:v>
                </c:pt>
                <c:pt idx="12">
                  <c:v>36828.958333333365</c:v>
                </c:pt>
                <c:pt idx="13">
                  <c:v>36828.979166666701</c:v>
                </c:pt>
                <c:pt idx="14">
                  <c:v>36829.000000000036</c:v>
                </c:pt>
                <c:pt idx="15">
                  <c:v>36829.020833333372</c:v>
                </c:pt>
                <c:pt idx="16">
                  <c:v>36829.041666666708</c:v>
                </c:pt>
                <c:pt idx="17">
                  <c:v>36829.062500000044</c:v>
                </c:pt>
                <c:pt idx="18">
                  <c:v>36829.083333333379</c:v>
                </c:pt>
                <c:pt idx="19">
                  <c:v>36829.104166666715</c:v>
                </c:pt>
                <c:pt idx="20">
                  <c:v>36829.125000000051</c:v>
                </c:pt>
                <c:pt idx="21">
                  <c:v>36829.145833333387</c:v>
                </c:pt>
                <c:pt idx="22">
                  <c:v>36829.166666666722</c:v>
                </c:pt>
                <c:pt idx="23">
                  <c:v>36829.187500000058</c:v>
                </c:pt>
                <c:pt idx="24">
                  <c:v>36829.208333333394</c:v>
                </c:pt>
                <c:pt idx="25">
                  <c:v>36829.22916666673</c:v>
                </c:pt>
                <c:pt idx="26">
                  <c:v>36829.250000000065</c:v>
                </c:pt>
                <c:pt idx="27">
                  <c:v>36829.270833333401</c:v>
                </c:pt>
                <c:pt idx="28">
                  <c:v>36829.291666666737</c:v>
                </c:pt>
                <c:pt idx="29">
                  <c:v>36829.312500000073</c:v>
                </c:pt>
                <c:pt idx="30">
                  <c:v>36829.333333333409</c:v>
                </c:pt>
                <c:pt idx="31">
                  <c:v>36829.354166666744</c:v>
                </c:pt>
                <c:pt idx="32">
                  <c:v>36829.37500000008</c:v>
                </c:pt>
                <c:pt idx="33">
                  <c:v>36829.395833333416</c:v>
                </c:pt>
                <c:pt idx="34">
                  <c:v>36829.416666666752</c:v>
                </c:pt>
                <c:pt idx="35">
                  <c:v>36829.437500000087</c:v>
                </c:pt>
                <c:pt idx="36">
                  <c:v>36829.458333333423</c:v>
                </c:pt>
                <c:pt idx="37">
                  <c:v>36829.479166666759</c:v>
                </c:pt>
                <c:pt idx="38">
                  <c:v>36829.500000000095</c:v>
                </c:pt>
                <c:pt idx="39">
                  <c:v>36829.52083333343</c:v>
                </c:pt>
                <c:pt idx="40">
                  <c:v>36829.541666666766</c:v>
                </c:pt>
                <c:pt idx="41">
                  <c:v>36829.562500000102</c:v>
                </c:pt>
                <c:pt idx="42">
                  <c:v>36829.583333333438</c:v>
                </c:pt>
                <c:pt idx="43">
                  <c:v>36829.604166666773</c:v>
                </c:pt>
                <c:pt idx="44">
                  <c:v>36829.625000000109</c:v>
                </c:pt>
                <c:pt idx="45">
                  <c:v>36829.645833333445</c:v>
                </c:pt>
                <c:pt idx="46">
                  <c:v>36829.666666666781</c:v>
                </c:pt>
                <c:pt idx="47">
                  <c:v>36829.687500000116</c:v>
                </c:pt>
                <c:pt idx="48">
                  <c:v>36829.708333333452</c:v>
                </c:pt>
                <c:pt idx="49">
                  <c:v>36829.729166666788</c:v>
                </c:pt>
                <c:pt idx="50">
                  <c:v>36829.750000000124</c:v>
                </c:pt>
                <c:pt idx="51">
                  <c:v>36829.770833333459</c:v>
                </c:pt>
                <c:pt idx="52">
                  <c:v>36829.791666666795</c:v>
                </c:pt>
                <c:pt idx="53">
                  <c:v>36829.812500000131</c:v>
                </c:pt>
                <c:pt idx="54">
                  <c:v>36829.833333333467</c:v>
                </c:pt>
                <c:pt idx="55">
                  <c:v>36829.854166666802</c:v>
                </c:pt>
                <c:pt idx="56">
                  <c:v>36829.875000000138</c:v>
                </c:pt>
                <c:pt idx="57">
                  <c:v>36829.895833333474</c:v>
                </c:pt>
                <c:pt idx="58">
                  <c:v>36829.91666666681</c:v>
                </c:pt>
                <c:pt idx="59">
                  <c:v>36829.937500000146</c:v>
                </c:pt>
                <c:pt idx="60">
                  <c:v>36829.958333333481</c:v>
                </c:pt>
                <c:pt idx="61">
                  <c:v>36829.979166666817</c:v>
                </c:pt>
                <c:pt idx="62">
                  <c:v>36830.000000000153</c:v>
                </c:pt>
                <c:pt idx="63">
                  <c:v>36830.020833333489</c:v>
                </c:pt>
                <c:pt idx="64">
                  <c:v>36830.041666666824</c:v>
                </c:pt>
                <c:pt idx="65">
                  <c:v>36830.06250000016</c:v>
                </c:pt>
                <c:pt idx="66">
                  <c:v>36830.083333333496</c:v>
                </c:pt>
                <c:pt idx="67">
                  <c:v>36830.104166666832</c:v>
                </c:pt>
                <c:pt idx="68">
                  <c:v>36830.125000000167</c:v>
                </c:pt>
                <c:pt idx="69">
                  <c:v>36830.145833333503</c:v>
                </c:pt>
                <c:pt idx="70">
                  <c:v>36830.166666666839</c:v>
                </c:pt>
                <c:pt idx="71">
                  <c:v>36830.187500000175</c:v>
                </c:pt>
                <c:pt idx="72">
                  <c:v>36830.20833333351</c:v>
                </c:pt>
                <c:pt idx="73">
                  <c:v>36830.229166666846</c:v>
                </c:pt>
                <c:pt idx="74">
                  <c:v>36830.250000000182</c:v>
                </c:pt>
                <c:pt idx="75">
                  <c:v>36830.270833333518</c:v>
                </c:pt>
                <c:pt idx="76">
                  <c:v>36830.291666666853</c:v>
                </c:pt>
                <c:pt idx="77">
                  <c:v>36830.312500000189</c:v>
                </c:pt>
                <c:pt idx="78">
                  <c:v>36830.333333333525</c:v>
                </c:pt>
                <c:pt idx="79">
                  <c:v>36830.354166666861</c:v>
                </c:pt>
                <c:pt idx="80">
                  <c:v>36830.375000000196</c:v>
                </c:pt>
                <c:pt idx="81">
                  <c:v>36830.395833333532</c:v>
                </c:pt>
                <c:pt idx="82">
                  <c:v>36830.416666666868</c:v>
                </c:pt>
                <c:pt idx="83">
                  <c:v>36830.437500000204</c:v>
                </c:pt>
                <c:pt idx="84">
                  <c:v>36830.458333333539</c:v>
                </c:pt>
                <c:pt idx="85">
                  <c:v>36830.479166666875</c:v>
                </c:pt>
                <c:pt idx="86">
                  <c:v>36830.500000000211</c:v>
                </c:pt>
                <c:pt idx="87">
                  <c:v>36830.520833333547</c:v>
                </c:pt>
                <c:pt idx="88">
                  <c:v>36830.541666666883</c:v>
                </c:pt>
                <c:pt idx="89">
                  <c:v>36830.562500000218</c:v>
                </c:pt>
                <c:pt idx="90">
                  <c:v>36830.583333333554</c:v>
                </c:pt>
                <c:pt idx="91">
                  <c:v>36830.60416666689</c:v>
                </c:pt>
                <c:pt idx="92">
                  <c:v>36830.625000000226</c:v>
                </c:pt>
                <c:pt idx="93">
                  <c:v>36830.645833333561</c:v>
                </c:pt>
                <c:pt idx="94">
                  <c:v>36830.666666666897</c:v>
                </c:pt>
                <c:pt idx="95">
                  <c:v>36830.687500000233</c:v>
                </c:pt>
                <c:pt idx="96">
                  <c:v>36830.708333333569</c:v>
                </c:pt>
                <c:pt idx="97">
                  <c:v>36830.729166666904</c:v>
                </c:pt>
                <c:pt idx="98">
                  <c:v>36830.75000000024</c:v>
                </c:pt>
                <c:pt idx="99">
                  <c:v>36830.770833333576</c:v>
                </c:pt>
                <c:pt idx="100">
                  <c:v>36830.791666666912</c:v>
                </c:pt>
                <c:pt idx="101">
                  <c:v>36830.812500000247</c:v>
                </c:pt>
                <c:pt idx="102">
                  <c:v>36830.833333333583</c:v>
                </c:pt>
                <c:pt idx="103">
                  <c:v>36830.854166666919</c:v>
                </c:pt>
                <c:pt idx="104">
                  <c:v>36830.875000000255</c:v>
                </c:pt>
                <c:pt idx="105">
                  <c:v>36830.89583333359</c:v>
                </c:pt>
                <c:pt idx="106">
                  <c:v>36830.916666666926</c:v>
                </c:pt>
                <c:pt idx="107">
                  <c:v>36830.937500000262</c:v>
                </c:pt>
                <c:pt idx="108">
                  <c:v>36830.958333333598</c:v>
                </c:pt>
                <c:pt idx="109">
                  <c:v>36830.979166666933</c:v>
                </c:pt>
                <c:pt idx="110">
                  <c:v>36831.000000000269</c:v>
                </c:pt>
                <c:pt idx="111">
                  <c:v>36831.020833333605</c:v>
                </c:pt>
                <c:pt idx="112">
                  <c:v>36831.041666666941</c:v>
                </c:pt>
                <c:pt idx="113">
                  <c:v>36831.062500000276</c:v>
                </c:pt>
                <c:pt idx="114">
                  <c:v>36831.083333333612</c:v>
                </c:pt>
                <c:pt idx="115">
                  <c:v>36831.104166666948</c:v>
                </c:pt>
                <c:pt idx="116">
                  <c:v>36831.125000000284</c:v>
                </c:pt>
                <c:pt idx="117">
                  <c:v>36831.14583333362</c:v>
                </c:pt>
                <c:pt idx="118">
                  <c:v>36831.166666666955</c:v>
                </c:pt>
                <c:pt idx="119">
                  <c:v>36831.187500000291</c:v>
                </c:pt>
                <c:pt idx="120">
                  <c:v>36831.208333333627</c:v>
                </c:pt>
                <c:pt idx="121">
                  <c:v>36831.229166666963</c:v>
                </c:pt>
                <c:pt idx="122">
                  <c:v>36831.250000000298</c:v>
                </c:pt>
                <c:pt idx="123">
                  <c:v>36831.270833333634</c:v>
                </c:pt>
                <c:pt idx="124">
                  <c:v>36831.29166666697</c:v>
                </c:pt>
                <c:pt idx="125">
                  <c:v>36831.312500000306</c:v>
                </c:pt>
                <c:pt idx="126">
                  <c:v>36831.333333333641</c:v>
                </c:pt>
                <c:pt idx="127">
                  <c:v>36831.354166666977</c:v>
                </c:pt>
                <c:pt idx="128">
                  <c:v>36831.375000000313</c:v>
                </c:pt>
                <c:pt idx="129">
                  <c:v>36831.395833333649</c:v>
                </c:pt>
                <c:pt idx="130">
                  <c:v>36831.416666666984</c:v>
                </c:pt>
                <c:pt idx="131">
                  <c:v>36831.43750000032</c:v>
                </c:pt>
                <c:pt idx="132">
                  <c:v>36831.458333333656</c:v>
                </c:pt>
                <c:pt idx="133">
                  <c:v>36831.479166666992</c:v>
                </c:pt>
                <c:pt idx="134">
                  <c:v>36831.500000000327</c:v>
                </c:pt>
                <c:pt idx="135">
                  <c:v>36831.520833333663</c:v>
                </c:pt>
                <c:pt idx="136">
                  <c:v>36831.541666666999</c:v>
                </c:pt>
                <c:pt idx="137">
                  <c:v>36831.562500000335</c:v>
                </c:pt>
                <c:pt idx="138">
                  <c:v>36831.58333333367</c:v>
                </c:pt>
                <c:pt idx="139">
                  <c:v>36831.604166667006</c:v>
                </c:pt>
                <c:pt idx="140">
                  <c:v>36831.625000000342</c:v>
                </c:pt>
                <c:pt idx="141">
                  <c:v>36831.645833333678</c:v>
                </c:pt>
                <c:pt idx="142">
                  <c:v>36831.666666667013</c:v>
                </c:pt>
                <c:pt idx="143">
                  <c:v>36831.687500000349</c:v>
                </c:pt>
                <c:pt idx="144">
                  <c:v>36831.708333333685</c:v>
                </c:pt>
                <c:pt idx="145">
                  <c:v>36831.729166667021</c:v>
                </c:pt>
                <c:pt idx="146">
                  <c:v>36831.750000000357</c:v>
                </c:pt>
                <c:pt idx="147">
                  <c:v>36831.770833333692</c:v>
                </c:pt>
                <c:pt idx="148">
                  <c:v>36831.791666667028</c:v>
                </c:pt>
                <c:pt idx="149">
                  <c:v>36831.812500000364</c:v>
                </c:pt>
                <c:pt idx="150">
                  <c:v>36831.8333333337</c:v>
                </c:pt>
                <c:pt idx="151">
                  <c:v>36831.854166667035</c:v>
                </c:pt>
                <c:pt idx="152">
                  <c:v>36831.875000000371</c:v>
                </c:pt>
                <c:pt idx="153">
                  <c:v>36831.895833333707</c:v>
                </c:pt>
                <c:pt idx="154">
                  <c:v>36831.916666667043</c:v>
                </c:pt>
                <c:pt idx="155">
                  <c:v>36831.937500000378</c:v>
                </c:pt>
                <c:pt idx="156">
                  <c:v>36831.958333333714</c:v>
                </c:pt>
                <c:pt idx="157">
                  <c:v>36831.97916666705</c:v>
                </c:pt>
                <c:pt idx="158">
                  <c:v>36832.000000000386</c:v>
                </c:pt>
                <c:pt idx="159">
                  <c:v>36832.020833333721</c:v>
                </c:pt>
                <c:pt idx="160">
                  <c:v>36832.041666667057</c:v>
                </c:pt>
                <c:pt idx="161">
                  <c:v>36832.062500000393</c:v>
                </c:pt>
                <c:pt idx="162">
                  <c:v>36832.083333333729</c:v>
                </c:pt>
                <c:pt idx="163">
                  <c:v>36832.104166667064</c:v>
                </c:pt>
                <c:pt idx="164">
                  <c:v>36832.1250000004</c:v>
                </c:pt>
                <c:pt idx="165">
                  <c:v>36832.145833333736</c:v>
                </c:pt>
                <c:pt idx="166">
                  <c:v>36832.166666667072</c:v>
                </c:pt>
                <c:pt idx="167">
                  <c:v>36832.187500000407</c:v>
                </c:pt>
                <c:pt idx="168">
                  <c:v>36832.208333333743</c:v>
                </c:pt>
                <c:pt idx="169">
                  <c:v>36832.229166667079</c:v>
                </c:pt>
                <c:pt idx="170">
                  <c:v>36832.250000000415</c:v>
                </c:pt>
                <c:pt idx="171">
                  <c:v>36832.27083333375</c:v>
                </c:pt>
                <c:pt idx="172">
                  <c:v>36832.291666667086</c:v>
                </c:pt>
                <c:pt idx="173">
                  <c:v>36832.312500000422</c:v>
                </c:pt>
                <c:pt idx="174">
                  <c:v>36832.333333333758</c:v>
                </c:pt>
                <c:pt idx="175">
                  <c:v>36832.354166667094</c:v>
                </c:pt>
                <c:pt idx="176">
                  <c:v>36832.375000000429</c:v>
                </c:pt>
                <c:pt idx="177">
                  <c:v>36832.395833333765</c:v>
                </c:pt>
                <c:pt idx="178">
                  <c:v>36832.416666667101</c:v>
                </c:pt>
                <c:pt idx="179">
                  <c:v>36832.437500000437</c:v>
                </c:pt>
                <c:pt idx="180">
                  <c:v>36832.458333333772</c:v>
                </c:pt>
                <c:pt idx="181">
                  <c:v>36832.479166667108</c:v>
                </c:pt>
                <c:pt idx="182">
                  <c:v>36832.500000000444</c:v>
                </c:pt>
                <c:pt idx="183">
                  <c:v>36832.52083333378</c:v>
                </c:pt>
                <c:pt idx="184">
                  <c:v>36832.541666667115</c:v>
                </c:pt>
                <c:pt idx="185">
                  <c:v>36832.562500000451</c:v>
                </c:pt>
                <c:pt idx="186">
                  <c:v>36832.583333333787</c:v>
                </c:pt>
                <c:pt idx="187">
                  <c:v>36832.604166667123</c:v>
                </c:pt>
                <c:pt idx="188">
                  <c:v>36832.625000000458</c:v>
                </c:pt>
                <c:pt idx="189">
                  <c:v>36832.645833333794</c:v>
                </c:pt>
                <c:pt idx="190">
                  <c:v>36832.66666666713</c:v>
                </c:pt>
                <c:pt idx="191">
                  <c:v>36832.687500000466</c:v>
                </c:pt>
                <c:pt idx="192">
                  <c:v>36832.708333333801</c:v>
                </c:pt>
                <c:pt idx="193">
                  <c:v>36832.729166667137</c:v>
                </c:pt>
                <c:pt idx="194">
                  <c:v>36832.750000000473</c:v>
                </c:pt>
                <c:pt idx="195">
                  <c:v>36832.770833333809</c:v>
                </c:pt>
                <c:pt idx="196">
                  <c:v>36832.791666667144</c:v>
                </c:pt>
                <c:pt idx="197">
                  <c:v>36832.81250000048</c:v>
                </c:pt>
                <c:pt idx="198">
                  <c:v>36832.833333333816</c:v>
                </c:pt>
                <c:pt idx="199">
                  <c:v>36832.854166667152</c:v>
                </c:pt>
                <c:pt idx="200">
                  <c:v>36832.875000000487</c:v>
                </c:pt>
                <c:pt idx="201">
                  <c:v>36832.895833333823</c:v>
                </c:pt>
                <c:pt idx="202">
                  <c:v>36832.916666667159</c:v>
                </c:pt>
                <c:pt idx="203">
                  <c:v>36832.937500000495</c:v>
                </c:pt>
                <c:pt idx="204">
                  <c:v>36832.958333333831</c:v>
                </c:pt>
                <c:pt idx="205">
                  <c:v>36832.979166667166</c:v>
                </c:pt>
                <c:pt idx="206">
                  <c:v>36833.000000000502</c:v>
                </c:pt>
                <c:pt idx="207">
                  <c:v>36833.020833333838</c:v>
                </c:pt>
                <c:pt idx="208">
                  <c:v>36833.041666667174</c:v>
                </c:pt>
                <c:pt idx="209">
                  <c:v>36833.062500000509</c:v>
                </c:pt>
                <c:pt idx="210">
                  <c:v>36833.083333333845</c:v>
                </c:pt>
                <c:pt idx="211">
                  <c:v>36833.104166667181</c:v>
                </c:pt>
                <c:pt idx="212">
                  <c:v>36833.125000000517</c:v>
                </c:pt>
                <c:pt idx="213">
                  <c:v>36833.145833333852</c:v>
                </c:pt>
                <c:pt idx="214">
                  <c:v>36833.166666667188</c:v>
                </c:pt>
                <c:pt idx="215">
                  <c:v>36833.187500000524</c:v>
                </c:pt>
                <c:pt idx="216">
                  <c:v>36833.20833333386</c:v>
                </c:pt>
                <c:pt idx="217">
                  <c:v>36833.229166667195</c:v>
                </c:pt>
                <c:pt idx="218">
                  <c:v>36833.250000000531</c:v>
                </c:pt>
                <c:pt idx="219">
                  <c:v>36833.270833333867</c:v>
                </c:pt>
                <c:pt idx="220">
                  <c:v>36833.291666667203</c:v>
                </c:pt>
                <c:pt idx="221">
                  <c:v>36833.312500000538</c:v>
                </c:pt>
                <c:pt idx="222">
                  <c:v>36833.333333333874</c:v>
                </c:pt>
                <c:pt idx="223">
                  <c:v>36833.35416666721</c:v>
                </c:pt>
                <c:pt idx="224">
                  <c:v>36833.375000000546</c:v>
                </c:pt>
                <c:pt idx="225">
                  <c:v>36833.395833333881</c:v>
                </c:pt>
                <c:pt idx="226">
                  <c:v>36833.416666667217</c:v>
                </c:pt>
                <c:pt idx="227">
                  <c:v>36833.437500000553</c:v>
                </c:pt>
                <c:pt idx="228">
                  <c:v>36833.458333333889</c:v>
                </c:pt>
                <c:pt idx="229">
                  <c:v>36833.479166667224</c:v>
                </c:pt>
                <c:pt idx="230">
                  <c:v>36833.50000000056</c:v>
                </c:pt>
                <c:pt idx="231">
                  <c:v>36833.520833333896</c:v>
                </c:pt>
                <c:pt idx="232">
                  <c:v>36833.541666667232</c:v>
                </c:pt>
                <c:pt idx="233">
                  <c:v>36833.562500000568</c:v>
                </c:pt>
                <c:pt idx="234">
                  <c:v>36833.583333333903</c:v>
                </c:pt>
                <c:pt idx="235">
                  <c:v>36833.604166667239</c:v>
                </c:pt>
                <c:pt idx="236">
                  <c:v>36833.625000000575</c:v>
                </c:pt>
                <c:pt idx="237">
                  <c:v>36833.645833333911</c:v>
                </c:pt>
                <c:pt idx="238">
                  <c:v>36833.666666667246</c:v>
                </c:pt>
                <c:pt idx="239">
                  <c:v>36833.687500000582</c:v>
                </c:pt>
                <c:pt idx="240">
                  <c:v>36833.708333333918</c:v>
                </c:pt>
                <c:pt idx="241">
                  <c:v>36833.729166667254</c:v>
                </c:pt>
                <c:pt idx="242">
                  <c:v>36833.750000000589</c:v>
                </c:pt>
                <c:pt idx="243">
                  <c:v>36833.770833333925</c:v>
                </c:pt>
                <c:pt idx="244">
                  <c:v>36833.791666667261</c:v>
                </c:pt>
                <c:pt idx="245">
                  <c:v>36833.812500000597</c:v>
                </c:pt>
                <c:pt idx="246">
                  <c:v>36833.833333333932</c:v>
                </c:pt>
                <c:pt idx="247">
                  <c:v>36833.854166667268</c:v>
                </c:pt>
                <c:pt idx="248">
                  <c:v>36833.875000000604</c:v>
                </c:pt>
                <c:pt idx="249">
                  <c:v>36833.89583333394</c:v>
                </c:pt>
                <c:pt idx="250">
                  <c:v>36833.916666667275</c:v>
                </c:pt>
                <c:pt idx="251">
                  <c:v>36833.937500000611</c:v>
                </c:pt>
                <c:pt idx="252">
                  <c:v>36833.958333333947</c:v>
                </c:pt>
                <c:pt idx="253">
                  <c:v>36833.979166667283</c:v>
                </c:pt>
                <c:pt idx="254">
                  <c:v>36834.000000000618</c:v>
                </c:pt>
                <c:pt idx="255">
                  <c:v>36834.020833333954</c:v>
                </c:pt>
                <c:pt idx="256">
                  <c:v>36834.04166666729</c:v>
                </c:pt>
                <c:pt idx="257">
                  <c:v>36834.062500000626</c:v>
                </c:pt>
                <c:pt idx="258">
                  <c:v>36834.083333333961</c:v>
                </c:pt>
                <c:pt idx="259">
                  <c:v>36834.104166667297</c:v>
                </c:pt>
                <c:pt idx="260">
                  <c:v>36834.125000000633</c:v>
                </c:pt>
                <c:pt idx="261">
                  <c:v>36834.145833333969</c:v>
                </c:pt>
                <c:pt idx="262">
                  <c:v>36834.166666667305</c:v>
                </c:pt>
                <c:pt idx="263">
                  <c:v>36834.18750000064</c:v>
                </c:pt>
                <c:pt idx="264">
                  <c:v>36834.208333333976</c:v>
                </c:pt>
                <c:pt idx="265">
                  <c:v>36834.229166667312</c:v>
                </c:pt>
                <c:pt idx="266">
                  <c:v>36834.250000000648</c:v>
                </c:pt>
                <c:pt idx="267">
                  <c:v>36834.270833333983</c:v>
                </c:pt>
                <c:pt idx="268">
                  <c:v>36834.291666667319</c:v>
                </c:pt>
                <c:pt idx="269">
                  <c:v>36834.312500000655</c:v>
                </c:pt>
                <c:pt idx="270">
                  <c:v>36834.333333333991</c:v>
                </c:pt>
                <c:pt idx="271">
                  <c:v>36834.354166667326</c:v>
                </c:pt>
                <c:pt idx="272">
                  <c:v>36834.375000000662</c:v>
                </c:pt>
                <c:pt idx="273">
                  <c:v>36834.395833333998</c:v>
                </c:pt>
                <c:pt idx="274">
                  <c:v>36834.416666667334</c:v>
                </c:pt>
                <c:pt idx="275">
                  <c:v>36834.437500000669</c:v>
                </c:pt>
                <c:pt idx="276">
                  <c:v>36834.458333334005</c:v>
                </c:pt>
                <c:pt idx="277">
                  <c:v>36834.479166667341</c:v>
                </c:pt>
                <c:pt idx="278">
                  <c:v>36834.500000000677</c:v>
                </c:pt>
                <c:pt idx="279">
                  <c:v>36834.520833334012</c:v>
                </c:pt>
                <c:pt idx="280">
                  <c:v>36834.541666667348</c:v>
                </c:pt>
                <c:pt idx="281">
                  <c:v>36834.562500000684</c:v>
                </c:pt>
                <c:pt idx="282">
                  <c:v>36834.58333333402</c:v>
                </c:pt>
                <c:pt idx="283">
                  <c:v>36834.604166667355</c:v>
                </c:pt>
                <c:pt idx="284">
                  <c:v>36834.625000000691</c:v>
                </c:pt>
                <c:pt idx="285">
                  <c:v>36834.645833334027</c:v>
                </c:pt>
                <c:pt idx="286">
                  <c:v>36834.666666667363</c:v>
                </c:pt>
                <c:pt idx="287">
                  <c:v>36834.687500000698</c:v>
                </c:pt>
                <c:pt idx="288">
                  <c:v>36834.708333334034</c:v>
                </c:pt>
                <c:pt idx="289">
                  <c:v>36834.72916666737</c:v>
                </c:pt>
                <c:pt idx="290">
                  <c:v>36834.750000000706</c:v>
                </c:pt>
                <c:pt idx="291">
                  <c:v>36834.770833334042</c:v>
                </c:pt>
                <c:pt idx="292">
                  <c:v>36834.791666667377</c:v>
                </c:pt>
                <c:pt idx="293">
                  <c:v>36834.812500000713</c:v>
                </c:pt>
                <c:pt idx="294">
                  <c:v>36834.833333334049</c:v>
                </c:pt>
                <c:pt idx="295">
                  <c:v>36834.854166667385</c:v>
                </c:pt>
                <c:pt idx="296">
                  <c:v>36834.87500000072</c:v>
                </c:pt>
                <c:pt idx="297">
                  <c:v>36834.895833334056</c:v>
                </c:pt>
                <c:pt idx="298">
                  <c:v>36834.916666667392</c:v>
                </c:pt>
                <c:pt idx="299">
                  <c:v>36834.937500000728</c:v>
                </c:pt>
                <c:pt idx="300">
                  <c:v>36834.958333334063</c:v>
                </c:pt>
                <c:pt idx="301">
                  <c:v>36834.979166667399</c:v>
                </c:pt>
                <c:pt idx="302">
                  <c:v>36835.000000000735</c:v>
                </c:pt>
                <c:pt idx="303">
                  <c:v>36835.020833334071</c:v>
                </c:pt>
                <c:pt idx="304">
                  <c:v>36835.041666667406</c:v>
                </c:pt>
                <c:pt idx="305">
                  <c:v>36835.062500000742</c:v>
                </c:pt>
                <c:pt idx="306">
                  <c:v>36835.083333334078</c:v>
                </c:pt>
                <c:pt idx="307">
                  <c:v>36835.104166667414</c:v>
                </c:pt>
                <c:pt idx="308">
                  <c:v>36835.125000000749</c:v>
                </c:pt>
                <c:pt idx="309">
                  <c:v>36835.145833334085</c:v>
                </c:pt>
                <c:pt idx="310">
                  <c:v>36835.166666667421</c:v>
                </c:pt>
                <c:pt idx="311">
                  <c:v>36835.187500000757</c:v>
                </c:pt>
                <c:pt idx="312">
                  <c:v>36835.208333334092</c:v>
                </c:pt>
                <c:pt idx="313">
                  <c:v>36835.229166667428</c:v>
                </c:pt>
                <c:pt idx="314">
                  <c:v>36835.250000000764</c:v>
                </c:pt>
                <c:pt idx="315">
                  <c:v>36835.2708333341</c:v>
                </c:pt>
                <c:pt idx="316">
                  <c:v>36835.291666667435</c:v>
                </c:pt>
                <c:pt idx="317">
                  <c:v>36835.312500000771</c:v>
                </c:pt>
                <c:pt idx="318">
                  <c:v>36835.333333334107</c:v>
                </c:pt>
                <c:pt idx="319">
                  <c:v>36835.354166667443</c:v>
                </c:pt>
                <c:pt idx="320">
                  <c:v>36835.375000000779</c:v>
                </c:pt>
                <c:pt idx="321">
                  <c:v>36835.395833334114</c:v>
                </c:pt>
                <c:pt idx="322">
                  <c:v>36835.41666666745</c:v>
                </c:pt>
                <c:pt idx="323">
                  <c:v>36835.437500000786</c:v>
                </c:pt>
                <c:pt idx="324">
                  <c:v>36835.458333334122</c:v>
                </c:pt>
                <c:pt idx="325">
                  <c:v>36835.479166667457</c:v>
                </c:pt>
                <c:pt idx="326">
                  <c:v>36835.500000000793</c:v>
                </c:pt>
                <c:pt idx="327">
                  <c:v>36835.520833334129</c:v>
                </c:pt>
                <c:pt idx="328">
                  <c:v>36835.541666667465</c:v>
                </c:pt>
                <c:pt idx="329">
                  <c:v>36835.5625000008</c:v>
                </c:pt>
                <c:pt idx="330">
                  <c:v>36835.583333334136</c:v>
                </c:pt>
                <c:pt idx="331">
                  <c:v>36835.604166667472</c:v>
                </c:pt>
                <c:pt idx="332">
                  <c:v>36835.625000000808</c:v>
                </c:pt>
                <c:pt idx="333">
                  <c:v>36835.645833334143</c:v>
                </c:pt>
                <c:pt idx="334">
                  <c:v>36835.666666667479</c:v>
                </c:pt>
                <c:pt idx="335">
                  <c:v>36835.687500000815</c:v>
                </c:pt>
                <c:pt idx="336">
                  <c:v>36835.708333334151</c:v>
                </c:pt>
                <c:pt idx="337">
                  <c:v>36835.729166667486</c:v>
                </c:pt>
                <c:pt idx="338">
                  <c:v>36835.750000000822</c:v>
                </c:pt>
                <c:pt idx="339">
                  <c:v>36835.770833334158</c:v>
                </c:pt>
                <c:pt idx="340">
                  <c:v>36835.791666667494</c:v>
                </c:pt>
                <c:pt idx="341">
                  <c:v>36835.812500000829</c:v>
                </c:pt>
                <c:pt idx="342">
                  <c:v>36835.833333334165</c:v>
                </c:pt>
                <c:pt idx="343">
                  <c:v>36835.854166667501</c:v>
                </c:pt>
                <c:pt idx="344">
                  <c:v>36835.875000000837</c:v>
                </c:pt>
                <c:pt idx="345">
                  <c:v>36835.895833334172</c:v>
                </c:pt>
                <c:pt idx="346">
                  <c:v>36835.916666667508</c:v>
                </c:pt>
                <c:pt idx="347">
                  <c:v>36835.937500000844</c:v>
                </c:pt>
                <c:pt idx="348">
                  <c:v>36835.95833333418</c:v>
                </c:pt>
                <c:pt idx="349">
                  <c:v>36835.979166667516</c:v>
                </c:pt>
                <c:pt idx="350">
                  <c:v>36836.000000000851</c:v>
                </c:pt>
                <c:pt idx="351">
                  <c:v>36836.020833334187</c:v>
                </c:pt>
                <c:pt idx="352">
                  <c:v>36836.041666667523</c:v>
                </c:pt>
                <c:pt idx="353">
                  <c:v>36836.062500000859</c:v>
                </c:pt>
                <c:pt idx="354">
                  <c:v>36836.083333334194</c:v>
                </c:pt>
                <c:pt idx="355">
                  <c:v>36836.10416666753</c:v>
                </c:pt>
                <c:pt idx="356">
                  <c:v>36836.125000000866</c:v>
                </c:pt>
                <c:pt idx="357">
                  <c:v>36836.145833334202</c:v>
                </c:pt>
                <c:pt idx="358">
                  <c:v>36836.166666667537</c:v>
                </c:pt>
                <c:pt idx="359">
                  <c:v>36836.187500000873</c:v>
                </c:pt>
                <c:pt idx="360">
                  <c:v>36836.208333334209</c:v>
                </c:pt>
                <c:pt idx="361">
                  <c:v>36836.229166667545</c:v>
                </c:pt>
                <c:pt idx="362">
                  <c:v>36836.25000000088</c:v>
                </c:pt>
                <c:pt idx="363">
                  <c:v>36836.270833334216</c:v>
                </c:pt>
                <c:pt idx="364">
                  <c:v>36836.291666667552</c:v>
                </c:pt>
                <c:pt idx="365">
                  <c:v>36836.312500000888</c:v>
                </c:pt>
                <c:pt idx="366">
                  <c:v>36836.333333334223</c:v>
                </c:pt>
                <c:pt idx="367">
                  <c:v>36836.354166667559</c:v>
                </c:pt>
                <c:pt idx="368">
                  <c:v>36836.375000000895</c:v>
                </c:pt>
                <c:pt idx="369">
                  <c:v>36836.395833334231</c:v>
                </c:pt>
                <c:pt idx="370">
                  <c:v>36836.416666667566</c:v>
                </c:pt>
                <c:pt idx="371">
                  <c:v>36836.437500000902</c:v>
                </c:pt>
                <c:pt idx="372">
                  <c:v>36836.458333334238</c:v>
                </c:pt>
                <c:pt idx="373">
                  <c:v>36836.479166667574</c:v>
                </c:pt>
                <c:pt idx="374">
                  <c:v>36836.500000000909</c:v>
                </c:pt>
                <c:pt idx="375">
                  <c:v>36836.520833334245</c:v>
                </c:pt>
                <c:pt idx="376">
                  <c:v>36836.541666667581</c:v>
                </c:pt>
                <c:pt idx="377">
                  <c:v>36836.562500000917</c:v>
                </c:pt>
                <c:pt idx="378">
                  <c:v>36836.583333334253</c:v>
                </c:pt>
                <c:pt idx="379">
                  <c:v>36836.604166667588</c:v>
                </c:pt>
                <c:pt idx="380">
                  <c:v>36836.625000000924</c:v>
                </c:pt>
                <c:pt idx="381">
                  <c:v>36836.64583333426</c:v>
                </c:pt>
                <c:pt idx="382">
                  <c:v>36836.666666667596</c:v>
                </c:pt>
                <c:pt idx="383">
                  <c:v>36836.687500000931</c:v>
                </c:pt>
                <c:pt idx="384">
                  <c:v>36836.708333334267</c:v>
                </c:pt>
                <c:pt idx="385">
                  <c:v>36836.729166667603</c:v>
                </c:pt>
                <c:pt idx="386">
                  <c:v>36836.750000000939</c:v>
                </c:pt>
                <c:pt idx="387">
                  <c:v>36836.770833334274</c:v>
                </c:pt>
                <c:pt idx="388">
                  <c:v>36836.79166666761</c:v>
                </c:pt>
                <c:pt idx="389">
                  <c:v>36836.812500000946</c:v>
                </c:pt>
                <c:pt idx="390">
                  <c:v>36836.833333334282</c:v>
                </c:pt>
                <c:pt idx="391">
                  <c:v>36836.854166667617</c:v>
                </c:pt>
                <c:pt idx="392">
                  <c:v>36836.875000000953</c:v>
                </c:pt>
                <c:pt idx="393">
                  <c:v>36836.895833334289</c:v>
                </c:pt>
                <c:pt idx="394">
                  <c:v>36836.916666667625</c:v>
                </c:pt>
                <c:pt idx="395">
                  <c:v>36836.93750000096</c:v>
                </c:pt>
                <c:pt idx="396">
                  <c:v>36836.958333334296</c:v>
                </c:pt>
                <c:pt idx="397">
                  <c:v>36836.979166667632</c:v>
                </c:pt>
                <c:pt idx="398">
                  <c:v>36837.000000000968</c:v>
                </c:pt>
                <c:pt idx="399">
                  <c:v>36837.020833334303</c:v>
                </c:pt>
                <c:pt idx="400">
                  <c:v>36837.041666667639</c:v>
                </c:pt>
                <c:pt idx="401">
                  <c:v>36837.062500000975</c:v>
                </c:pt>
                <c:pt idx="402">
                  <c:v>36837.083333334311</c:v>
                </c:pt>
                <c:pt idx="403">
                  <c:v>36837.104166667646</c:v>
                </c:pt>
                <c:pt idx="404">
                  <c:v>36837.125000000982</c:v>
                </c:pt>
                <c:pt idx="405">
                  <c:v>36837.145833334318</c:v>
                </c:pt>
                <c:pt idx="406">
                  <c:v>36837.166666667654</c:v>
                </c:pt>
                <c:pt idx="407">
                  <c:v>36837.18750000099</c:v>
                </c:pt>
                <c:pt idx="408">
                  <c:v>36837.208333334325</c:v>
                </c:pt>
                <c:pt idx="409">
                  <c:v>36837.229166667661</c:v>
                </c:pt>
                <c:pt idx="410">
                  <c:v>36837.250000000997</c:v>
                </c:pt>
                <c:pt idx="411">
                  <c:v>36837.270833334333</c:v>
                </c:pt>
                <c:pt idx="412">
                  <c:v>36837.291666667668</c:v>
                </c:pt>
                <c:pt idx="413">
                  <c:v>36837.312500001004</c:v>
                </c:pt>
                <c:pt idx="414">
                  <c:v>36837.33333333434</c:v>
                </c:pt>
                <c:pt idx="415">
                  <c:v>36837.354166667676</c:v>
                </c:pt>
                <c:pt idx="416">
                  <c:v>36837.375000001011</c:v>
                </c:pt>
                <c:pt idx="417">
                  <c:v>36837.395833334347</c:v>
                </c:pt>
                <c:pt idx="418">
                  <c:v>36837.416666667683</c:v>
                </c:pt>
                <c:pt idx="419">
                  <c:v>36837.437500001019</c:v>
                </c:pt>
                <c:pt idx="420">
                  <c:v>36837.458333334354</c:v>
                </c:pt>
                <c:pt idx="421">
                  <c:v>36837.47916666769</c:v>
                </c:pt>
                <c:pt idx="422">
                  <c:v>36837.500000001026</c:v>
                </c:pt>
                <c:pt idx="423">
                  <c:v>36837.520833334362</c:v>
                </c:pt>
                <c:pt idx="424">
                  <c:v>36837.541666667697</c:v>
                </c:pt>
                <c:pt idx="425">
                  <c:v>36837.562500001033</c:v>
                </c:pt>
                <c:pt idx="426">
                  <c:v>36837.583333334369</c:v>
                </c:pt>
                <c:pt idx="427">
                  <c:v>36837.604166667705</c:v>
                </c:pt>
                <c:pt idx="428">
                  <c:v>36837.62500000104</c:v>
                </c:pt>
                <c:pt idx="429">
                  <c:v>36837.645833334376</c:v>
                </c:pt>
                <c:pt idx="430">
                  <c:v>36837.666666667712</c:v>
                </c:pt>
                <c:pt idx="431">
                  <c:v>36837.687500001048</c:v>
                </c:pt>
                <c:pt idx="432">
                  <c:v>36837.708333334383</c:v>
                </c:pt>
                <c:pt idx="433">
                  <c:v>36837.729166667719</c:v>
                </c:pt>
                <c:pt idx="434">
                  <c:v>36837.750000001055</c:v>
                </c:pt>
                <c:pt idx="435">
                  <c:v>36837.770833334391</c:v>
                </c:pt>
                <c:pt idx="436">
                  <c:v>36837.791666667727</c:v>
                </c:pt>
                <c:pt idx="437">
                  <c:v>36837.812500001062</c:v>
                </c:pt>
                <c:pt idx="438">
                  <c:v>36837.833333334398</c:v>
                </c:pt>
                <c:pt idx="439">
                  <c:v>36837.854166667734</c:v>
                </c:pt>
                <c:pt idx="440">
                  <c:v>36837.87500000107</c:v>
                </c:pt>
                <c:pt idx="441">
                  <c:v>36837.895833334405</c:v>
                </c:pt>
                <c:pt idx="442">
                  <c:v>36837.916666667741</c:v>
                </c:pt>
                <c:pt idx="443">
                  <c:v>36837.937500001077</c:v>
                </c:pt>
                <c:pt idx="444">
                  <c:v>36837.958333334413</c:v>
                </c:pt>
                <c:pt idx="445">
                  <c:v>36837.979166667748</c:v>
                </c:pt>
                <c:pt idx="446">
                  <c:v>36838.000000001084</c:v>
                </c:pt>
                <c:pt idx="447">
                  <c:v>36838.02083333442</c:v>
                </c:pt>
                <c:pt idx="448">
                  <c:v>36838.041666667756</c:v>
                </c:pt>
                <c:pt idx="449">
                  <c:v>36838.062500001091</c:v>
                </c:pt>
                <c:pt idx="450">
                  <c:v>36838.083333334427</c:v>
                </c:pt>
                <c:pt idx="451">
                  <c:v>36838.104166667763</c:v>
                </c:pt>
                <c:pt idx="452">
                  <c:v>36838.125000001099</c:v>
                </c:pt>
                <c:pt idx="453">
                  <c:v>36838.145833334434</c:v>
                </c:pt>
                <c:pt idx="454">
                  <c:v>36838.16666666777</c:v>
                </c:pt>
                <c:pt idx="455">
                  <c:v>36838.187500001106</c:v>
                </c:pt>
                <c:pt idx="456">
                  <c:v>36838.208333334442</c:v>
                </c:pt>
                <c:pt idx="457">
                  <c:v>36838.229166667777</c:v>
                </c:pt>
                <c:pt idx="458">
                  <c:v>36838.250000001113</c:v>
                </c:pt>
                <c:pt idx="459">
                  <c:v>36838.270833334449</c:v>
                </c:pt>
                <c:pt idx="460">
                  <c:v>36838.291666667785</c:v>
                </c:pt>
                <c:pt idx="461">
                  <c:v>36838.31250000112</c:v>
                </c:pt>
                <c:pt idx="462">
                  <c:v>36838.333333334456</c:v>
                </c:pt>
                <c:pt idx="463">
                  <c:v>36838.354166667792</c:v>
                </c:pt>
                <c:pt idx="464">
                  <c:v>36838.375000001128</c:v>
                </c:pt>
                <c:pt idx="465">
                  <c:v>36838.395833334464</c:v>
                </c:pt>
                <c:pt idx="466">
                  <c:v>36838.416666667799</c:v>
                </c:pt>
                <c:pt idx="467">
                  <c:v>36838.437500001135</c:v>
                </c:pt>
                <c:pt idx="468">
                  <c:v>36838.458333334471</c:v>
                </c:pt>
                <c:pt idx="469">
                  <c:v>36838.479166667807</c:v>
                </c:pt>
                <c:pt idx="470">
                  <c:v>36838.500000001142</c:v>
                </c:pt>
                <c:pt idx="471">
                  <c:v>36838.520833334478</c:v>
                </c:pt>
                <c:pt idx="472">
                  <c:v>36838.541666667814</c:v>
                </c:pt>
                <c:pt idx="473">
                  <c:v>36838.56250000115</c:v>
                </c:pt>
                <c:pt idx="474">
                  <c:v>36838.583333334485</c:v>
                </c:pt>
                <c:pt idx="475">
                  <c:v>36838.604166667821</c:v>
                </c:pt>
                <c:pt idx="476">
                  <c:v>36838.625000001157</c:v>
                </c:pt>
                <c:pt idx="477">
                  <c:v>36838.645833334493</c:v>
                </c:pt>
                <c:pt idx="478">
                  <c:v>36838.666666667828</c:v>
                </c:pt>
                <c:pt idx="479">
                  <c:v>36838.687500001164</c:v>
                </c:pt>
                <c:pt idx="480">
                  <c:v>36838.7083333345</c:v>
                </c:pt>
                <c:pt idx="481">
                  <c:v>36838.729166667836</c:v>
                </c:pt>
                <c:pt idx="482">
                  <c:v>36838.750000001171</c:v>
                </c:pt>
                <c:pt idx="483">
                  <c:v>36838.770833334507</c:v>
                </c:pt>
                <c:pt idx="484">
                  <c:v>36838.791666667843</c:v>
                </c:pt>
                <c:pt idx="485">
                  <c:v>36838.812500001179</c:v>
                </c:pt>
                <c:pt idx="486">
                  <c:v>36838.833333334514</c:v>
                </c:pt>
                <c:pt idx="487">
                  <c:v>36838.85416666785</c:v>
                </c:pt>
                <c:pt idx="488">
                  <c:v>36838.875000001186</c:v>
                </c:pt>
                <c:pt idx="489">
                  <c:v>36838.895833334522</c:v>
                </c:pt>
                <c:pt idx="490">
                  <c:v>36838.916666667857</c:v>
                </c:pt>
                <c:pt idx="491">
                  <c:v>36838.937500001193</c:v>
                </c:pt>
                <c:pt idx="492">
                  <c:v>36838.958333334529</c:v>
                </c:pt>
                <c:pt idx="493">
                  <c:v>36838.979166667865</c:v>
                </c:pt>
                <c:pt idx="494">
                  <c:v>36839.000000001201</c:v>
                </c:pt>
                <c:pt idx="495">
                  <c:v>36839.020833334536</c:v>
                </c:pt>
                <c:pt idx="496">
                  <c:v>36839.041666667872</c:v>
                </c:pt>
                <c:pt idx="497">
                  <c:v>36839.062500001208</c:v>
                </c:pt>
                <c:pt idx="498">
                  <c:v>36839.083333334544</c:v>
                </c:pt>
                <c:pt idx="499">
                  <c:v>36839.104166667879</c:v>
                </c:pt>
                <c:pt idx="500">
                  <c:v>36839.125000001215</c:v>
                </c:pt>
                <c:pt idx="501">
                  <c:v>36839.145833334551</c:v>
                </c:pt>
                <c:pt idx="502">
                  <c:v>36839.166666667887</c:v>
                </c:pt>
                <c:pt idx="503">
                  <c:v>36839.187500001222</c:v>
                </c:pt>
                <c:pt idx="504">
                  <c:v>36839.208333334558</c:v>
                </c:pt>
                <c:pt idx="505">
                  <c:v>36839.229166667894</c:v>
                </c:pt>
                <c:pt idx="506">
                  <c:v>36839.25000000123</c:v>
                </c:pt>
                <c:pt idx="507">
                  <c:v>36839.270833334565</c:v>
                </c:pt>
                <c:pt idx="508">
                  <c:v>36839.291666667901</c:v>
                </c:pt>
                <c:pt idx="509">
                  <c:v>36839.312500001237</c:v>
                </c:pt>
                <c:pt idx="510">
                  <c:v>36839.333333334573</c:v>
                </c:pt>
                <c:pt idx="511">
                  <c:v>36839.354166667908</c:v>
                </c:pt>
                <c:pt idx="512">
                  <c:v>36839.375000001244</c:v>
                </c:pt>
                <c:pt idx="513">
                  <c:v>36839.39583333458</c:v>
                </c:pt>
                <c:pt idx="514">
                  <c:v>36839.416666667916</c:v>
                </c:pt>
                <c:pt idx="515">
                  <c:v>36839.437500001251</c:v>
                </c:pt>
                <c:pt idx="516">
                  <c:v>36839.458333334587</c:v>
                </c:pt>
                <c:pt idx="517">
                  <c:v>36839.479166667923</c:v>
                </c:pt>
                <c:pt idx="518">
                  <c:v>36839.500000001259</c:v>
                </c:pt>
                <c:pt idx="519">
                  <c:v>36839.520833334594</c:v>
                </c:pt>
                <c:pt idx="520">
                  <c:v>36839.54166666793</c:v>
                </c:pt>
                <c:pt idx="521">
                  <c:v>36839.562500001266</c:v>
                </c:pt>
                <c:pt idx="522">
                  <c:v>36839.583333334602</c:v>
                </c:pt>
                <c:pt idx="523">
                  <c:v>36839.604166667938</c:v>
                </c:pt>
                <c:pt idx="524">
                  <c:v>36839.625000001273</c:v>
                </c:pt>
                <c:pt idx="525">
                  <c:v>36839.645833334609</c:v>
                </c:pt>
                <c:pt idx="526">
                  <c:v>36839.666666667945</c:v>
                </c:pt>
                <c:pt idx="527">
                  <c:v>36839.687500001281</c:v>
                </c:pt>
                <c:pt idx="528">
                  <c:v>36839.708333334616</c:v>
                </c:pt>
                <c:pt idx="529">
                  <c:v>36839.729166667952</c:v>
                </c:pt>
                <c:pt idx="530">
                  <c:v>36839.750000001288</c:v>
                </c:pt>
                <c:pt idx="531">
                  <c:v>36839.770833334624</c:v>
                </c:pt>
                <c:pt idx="532">
                  <c:v>36839.791666667959</c:v>
                </c:pt>
                <c:pt idx="533">
                  <c:v>36839.812500001295</c:v>
                </c:pt>
                <c:pt idx="534">
                  <c:v>36839.833333334631</c:v>
                </c:pt>
                <c:pt idx="535">
                  <c:v>36839.854166667967</c:v>
                </c:pt>
                <c:pt idx="536">
                  <c:v>36839.875000001302</c:v>
                </c:pt>
                <c:pt idx="537">
                  <c:v>36839.895833334638</c:v>
                </c:pt>
                <c:pt idx="538">
                  <c:v>36839.916666667974</c:v>
                </c:pt>
                <c:pt idx="539">
                  <c:v>36839.93750000131</c:v>
                </c:pt>
                <c:pt idx="540">
                  <c:v>36839.958333334645</c:v>
                </c:pt>
                <c:pt idx="541">
                  <c:v>36839.979166667981</c:v>
                </c:pt>
                <c:pt idx="542">
                  <c:v>36840.000000001317</c:v>
                </c:pt>
                <c:pt idx="543">
                  <c:v>36840.020833334653</c:v>
                </c:pt>
                <c:pt idx="544">
                  <c:v>36840.041666667988</c:v>
                </c:pt>
                <c:pt idx="545">
                  <c:v>36840.062500001324</c:v>
                </c:pt>
                <c:pt idx="546">
                  <c:v>36840.08333333466</c:v>
                </c:pt>
                <c:pt idx="547">
                  <c:v>36840.104166667996</c:v>
                </c:pt>
                <c:pt idx="548">
                  <c:v>36840.125000001332</c:v>
                </c:pt>
                <c:pt idx="549">
                  <c:v>36840.145833334667</c:v>
                </c:pt>
                <c:pt idx="550">
                  <c:v>36840.166666668003</c:v>
                </c:pt>
                <c:pt idx="551">
                  <c:v>36840.187500001339</c:v>
                </c:pt>
                <c:pt idx="552">
                  <c:v>36840.208333334675</c:v>
                </c:pt>
                <c:pt idx="553">
                  <c:v>36840.22916666801</c:v>
                </c:pt>
                <c:pt idx="554">
                  <c:v>36840.250000001346</c:v>
                </c:pt>
                <c:pt idx="555">
                  <c:v>36840.270833334682</c:v>
                </c:pt>
                <c:pt idx="556">
                  <c:v>36840.291666668018</c:v>
                </c:pt>
                <c:pt idx="557">
                  <c:v>36840.312500001353</c:v>
                </c:pt>
                <c:pt idx="558">
                  <c:v>36840.333333334689</c:v>
                </c:pt>
                <c:pt idx="559">
                  <c:v>36840.354166668025</c:v>
                </c:pt>
                <c:pt idx="560">
                  <c:v>36840.375000001361</c:v>
                </c:pt>
                <c:pt idx="561">
                  <c:v>36840.395833334696</c:v>
                </c:pt>
                <c:pt idx="562">
                  <c:v>36840.416666668032</c:v>
                </c:pt>
                <c:pt idx="563">
                  <c:v>36840.437500001368</c:v>
                </c:pt>
                <c:pt idx="564">
                  <c:v>36840.458333334704</c:v>
                </c:pt>
                <c:pt idx="565">
                  <c:v>36840.479166668039</c:v>
                </c:pt>
                <c:pt idx="566">
                  <c:v>36840.500000001375</c:v>
                </c:pt>
                <c:pt idx="567">
                  <c:v>36840.520833334711</c:v>
                </c:pt>
                <c:pt idx="568">
                  <c:v>36840.541666668047</c:v>
                </c:pt>
                <c:pt idx="569">
                  <c:v>36840.562500001382</c:v>
                </c:pt>
                <c:pt idx="570">
                  <c:v>36840.583333334718</c:v>
                </c:pt>
                <c:pt idx="571">
                  <c:v>36840.604166668054</c:v>
                </c:pt>
                <c:pt idx="572">
                  <c:v>36840.62500000139</c:v>
                </c:pt>
                <c:pt idx="573">
                  <c:v>36840.645833334725</c:v>
                </c:pt>
                <c:pt idx="574">
                  <c:v>36840.666666668061</c:v>
                </c:pt>
                <c:pt idx="575">
                  <c:v>36840.687500001397</c:v>
                </c:pt>
                <c:pt idx="576">
                  <c:v>36840.708333334733</c:v>
                </c:pt>
                <c:pt idx="577">
                  <c:v>36840.729166668069</c:v>
                </c:pt>
                <c:pt idx="578">
                  <c:v>36840.750000001404</c:v>
                </c:pt>
                <c:pt idx="579">
                  <c:v>36840.77083333474</c:v>
                </c:pt>
                <c:pt idx="580">
                  <c:v>36840.791666668076</c:v>
                </c:pt>
                <c:pt idx="581">
                  <c:v>36840.812500001412</c:v>
                </c:pt>
                <c:pt idx="582">
                  <c:v>36840.833333334747</c:v>
                </c:pt>
                <c:pt idx="583">
                  <c:v>36840.854166668083</c:v>
                </c:pt>
                <c:pt idx="584">
                  <c:v>36840.875000001419</c:v>
                </c:pt>
                <c:pt idx="585">
                  <c:v>36840.895833334755</c:v>
                </c:pt>
                <c:pt idx="586">
                  <c:v>36840.91666666809</c:v>
                </c:pt>
                <c:pt idx="587">
                  <c:v>36840.937500001426</c:v>
                </c:pt>
                <c:pt idx="588">
                  <c:v>36840.958333334762</c:v>
                </c:pt>
                <c:pt idx="589">
                  <c:v>36840.979166668098</c:v>
                </c:pt>
                <c:pt idx="590">
                  <c:v>36841.000000001433</c:v>
                </c:pt>
                <c:pt idx="591">
                  <c:v>36841.020833334769</c:v>
                </c:pt>
                <c:pt idx="592">
                  <c:v>36841.041666668105</c:v>
                </c:pt>
                <c:pt idx="593">
                  <c:v>36841.062500001441</c:v>
                </c:pt>
                <c:pt idx="594">
                  <c:v>36841.083333334776</c:v>
                </c:pt>
                <c:pt idx="595">
                  <c:v>36841.104166668112</c:v>
                </c:pt>
                <c:pt idx="596">
                  <c:v>36841.125000001448</c:v>
                </c:pt>
                <c:pt idx="597">
                  <c:v>36841.145833334784</c:v>
                </c:pt>
                <c:pt idx="598">
                  <c:v>36841.166666668119</c:v>
                </c:pt>
                <c:pt idx="599">
                  <c:v>36841.187500001455</c:v>
                </c:pt>
                <c:pt idx="600">
                  <c:v>36841.208333334791</c:v>
                </c:pt>
                <c:pt idx="601">
                  <c:v>36841.229166668127</c:v>
                </c:pt>
                <c:pt idx="602">
                  <c:v>36841.250000001462</c:v>
                </c:pt>
                <c:pt idx="603">
                  <c:v>36841.270833334798</c:v>
                </c:pt>
                <c:pt idx="604">
                  <c:v>36841.291666668134</c:v>
                </c:pt>
                <c:pt idx="605">
                  <c:v>36841.31250000147</c:v>
                </c:pt>
                <c:pt idx="606">
                  <c:v>36841.333333334806</c:v>
                </c:pt>
                <c:pt idx="607">
                  <c:v>36841.354166668141</c:v>
                </c:pt>
                <c:pt idx="608">
                  <c:v>36841.375000001477</c:v>
                </c:pt>
                <c:pt idx="609">
                  <c:v>36841.395833334813</c:v>
                </c:pt>
                <c:pt idx="610">
                  <c:v>36841.416666668149</c:v>
                </c:pt>
                <c:pt idx="611">
                  <c:v>36841.437500001484</c:v>
                </c:pt>
                <c:pt idx="612">
                  <c:v>36841.45833333482</c:v>
                </c:pt>
                <c:pt idx="613">
                  <c:v>36841.479166668156</c:v>
                </c:pt>
                <c:pt idx="614">
                  <c:v>36841.500000001492</c:v>
                </c:pt>
                <c:pt idx="615">
                  <c:v>36841.520833334827</c:v>
                </c:pt>
                <c:pt idx="616">
                  <c:v>36841.541666668163</c:v>
                </c:pt>
                <c:pt idx="617">
                  <c:v>36841.562500001499</c:v>
                </c:pt>
                <c:pt idx="618">
                  <c:v>36841.583333334835</c:v>
                </c:pt>
                <c:pt idx="619">
                  <c:v>36841.60416666817</c:v>
                </c:pt>
                <c:pt idx="620">
                  <c:v>36841.625000001506</c:v>
                </c:pt>
                <c:pt idx="621">
                  <c:v>36841.645833334842</c:v>
                </c:pt>
                <c:pt idx="622">
                  <c:v>36841.666666668178</c:v>
                </c:pt>
                <c:pt idx="623">
                  <c:v>36841.687500001513</c:v>
                </c:pt>
                <c:pt idx="624">
                  <c:v>36841.708333334849</c:v>
                </c:pt>
                <c:pt idx="625">
                  <c:v>36841.729166668185</c:v>
                </c:pt>
                <c:pt idx="626">
                  <c:v>36841.750000001521</c:v>
                </c:pt>
                <c:pt idx="627">
                  <c:v>36841.770833334856</c:v>
                </c:pt>
                <c:pt idx="628">
                  <c:v>36841.791666668192</c:v>
                </c:pt>
                <c:pt idx="629">
                  <c:v>36841.812500001528</c:v>
                </c:pt>
                <c:pt idx="630">
                  <c:v>36841.833333334864</c:v>
                </c:pt>
                <c:pt idx="631">
                  <c:v>36841.854166668199</c:v>
                </c:pt>
                <c:pt idx="632">
                  <c:v>36841.875000001535</c:v>
                </c:pt>
                <c:pt idx="633">
                  <c:v>36841.895833334871</c:v>
                </c:pt>
                <c:pt idx="634">
                  <c:v>36841.916666668207</c:v>
                </c:pt>
                <c:pt idx="635">
                  <c:v>36841.937500001543</c:v>
                </c:pt>
                <c:pt idx="636">
                  <c:v>36841.958333334878</c:v>
                </c:pt>
                <c:pt idx="637">
                  <c:v>36841.979166668214</c:v>
                </c:pt>
                <c:pt idx="638">
                  <c:v>36842.00000000155</c:v>
                </c:pt>
                <c:pt idx="639">
                  <c:v>36842.020833334886</c:v>
                </c:pt>
                <c:pt idx="640">
                  <c:v>36842.041666668221</c:v>
                </c:pt>
                <c:pt idx="641">
                  <c:v>36842.062500001557</c:v>
                </c:pt>
                <c:pt idx="642">
                  <c:v>36842.083333334893</c:v>
                </c:pt>
                <c:pt idx="643">
                  <c:v>36842.104166668229</c:v>
                </c:pt>
                <c:pt idx="644">
                  <c:v>36842.125000001564</c:v>
                </c:pt>
                <c:pt idx="645">
                  <c:v>36842.1458333349</c:v>
                </c:pt>
                <c:pt idx="646">
                  <c:v>36842.166666668236</c:v>
                </c:pt>
                <c:pt idx="647">
                  <c:v>36842.187500001572</c:v>
                </c:pt>
                <c:pt idx="648">
                  <c:v>36842.208333334907</c:v>
                </c:pt>
                <c:pt idx="649">
                  <c:v>36842.229166668243</c:v>
                </c:pt>
                <c:pt idx="650">
                  <c:v>36842.250000001579</c:v>
                </c:pt>
                <c:pt idx="651">
                  <c:v>36842.270833334915</c:v>
                </c:pt>
                <c:pt idx="652">
                  <c:v>36842.29166666825</c:v>
                </c:pt>
                <c:pt idx="653">
                  <c:v>36842.312500001586</c:v>
                </c:pt>
                <c:pt idx="654">
                  <c:v>36842.333333334922</c:v>
                </c:pt>
                <c:pt idx="655">
                  <c:v>36842.354166668258</c:v>
                </c:pt>
                <c:pt idx="656">
                  <c:v>36842.375000001593</c:v>
                </c:pt>
                <c:pt idx="657">
                  <c:v>36842.395833334929</c:v>
                </c:pt>
                <c:pt idx="658">
                  <c:v>36842.416666668265</c:v>
                </c:pt>
                <c:pt idx="659">
                  <c:v>36842.437500001601</c:v>
                </c:pt>
                <c:pt idx="660">
                  <c:v>36842.458333334936</c:v>
                </c:pt>
                <c:pt idx="661">
                  <c:v>36842.479166668272</c:v>
                </c:pt>
                <c:pt idx="662">
                  <c:v>36842.500000001608</c:v>
                </c:pt>
                <c:pt idx="663">
                  <c:v>36842.520833334944</c:v>
                </c:pt>
                <c:pt idx="664">
                  <c:v>36842.54166666828</c:v>
                </c:pt>
                <c:pt idx="665">
                  <c:v>36842.562500001615</c:v>
                </c:pt>
                <c:pt idx="666">
                  <c:v>36842.583333334951</c:v>
                </c:pt>
                <c:pt idx="667">
                  <c:v>36842.604166668287</c:v>
                </c:pt>
                <c:pt idx="668">
                  <c:v>36842.625000001623</c:v>
                </c:pt>
                <c:pt idx="669">
                  <c:v>36842.645833334958</c:v>
                </c:pt>
                <c:pt idx="670">
                  <c:v>36842.666666668294</c:v>
                </c:pt>
                <c:pt idx="671">
                  <c:v>36842.68750000163</c:v>
                </c:pt>
                <c:pt idx="672">
                  <c:v>36842.708333334966</c:v>
                </c:pt>
                <c:pt idx="673">
                  <c:v>36842.729166668301</c:v>
                </c:pt>
                <c:pt idx="674">
                  <c:v>36842.750000001637</c:v>
                </c:pt>
                <c:pt idx="675">
                  <c:v>36842.770833334973</c:v>
                </c:pt>
                <c:pt idx="676">
                  <c:v>36842.791666668309</c:v>
                </c:pt>
                <c:pt idx="677">
                  <c:v>36842.812500001644</c:v>
                </c:pt>
                <c:pt idx="678">
                  <c:v>36842.83333333498</c:v>
                </c:pt>
                <c:pt idx="679">
                  <c:v>36842.854166668316</c:v>
                </c:pt>
                <c:pt idx="680">
                  <c:v>36842.875000001652</c:v>
                </c:pt>
                <c:pt idx="681">
                  <c:v>36842.895833334987</c:v>
                </c:pt>
                <c:pt idx="682">
                  <c:v>36842.916666668323</c:v>
                </c:pt>
                <c:pt idx="683">
                  <c:v>36842.937500001659</c:v>
                </c:pt>
                <c:pt idx="684">
                  <c:v>36842.958333334995</c:v>
                </c:pt>
                <c:pt idx="685">
                  <c:v>36842.97916666833</c:v>
                </c:pt>
                <c:pt idx="686">
                  <c:v>36843.000000001666</c:v>
                </c:pt>
                <c:pt idx="687">
                  <c:v>36843.020833335002</c:v>
                </c:pt>
                <c:pt idx="688">
                  <c:v>36843.041666668338</c:v>
                </c:pt>
                <c:pt idx="689">
                  <c:v>36843.062500001673</c:v>
                </c:pt>
                <c:pt idx="690">
                  <c:v>36843.083333335009</c:v>
                </c:pt>
                <c:pt idx="691">
                  <c:v>36843.104166668345</c:v>
                </c:pt>
                <c:pt idx="692">
                  <c:v>36843.125000001681</c:v>
                </c:pt>
                <c:pt idx="693">
                  <c:v>36843.145833335017</c:v>
                </c:pt>
                <c:pt idx="694">
                  <c:v>36843.166666668352</c:v>
                </c:pt>
                <c:pt idx="695">
                  <c:v>36843.187500001688</c:v>
                </c:pt>
                <c:pt idx="696">
                  <c:v>36843.208333335024</c:v>
                </c:pt>
                <c:pt idx="697">
                  <c:v>36843.22916666836</c:v>
                </c:pt>
                <c:pt idx="698">
                  <c:v>36843.250000001695</c:v>
                </c:pt>
                <c:pt idx="699">
                  <c:v>36843.270833335031</c:v>
                </c:pt>
                <c:pt idx="700">
                  <c:v>36843.291666668367</c:v>
                </c:pt>
                <c:pt idx="701">
                  <c:v>36843.312500001703</c:v>
                </c:pt>
                <c:pt idx="702">
                  <c:v>36843.333333335038</c:v>
                </c:pt>
                <c:pt idx="703">
                  <c:v>36843.354166668374</c:v>
                </c:pt>
                <c:pt idx="704">
                  <c:v>36843.37500000171</c:v>
                </c:pt>
                <c:pt idx="705">
                  <c:v>36843.395833335046</c:v>
                </c:pt>
                <c:pt idx="706">
                  <c:v>36843.416666668381</c:v>
                </c:pt>
                <c:pt idx="707">
                  <c:v>36843.437500001717</c:v>
                </c:pt>
                <c:pt idx="708">
                  <c:v>36843.458333335053</c:v>
                </c:pt>
                <c:pt idx="709">
                  <c:v>36843.479166668389</c:v>
                </c:pt>
                <c:pt idx="710">
                  <c:v>36843.500000001724</c:v>
                </c:pt>
                <c:pt idx="711">
                  <c:v>36843.52083333506</c:v>
                </c:pt>
                <c:pt idx="712">
                  <c:v>36843.541666668396</c:v>
                </c:pt>
                <c:pt idx="713">
                  <c:v>36843.562500001732</c:v>
                </c:pt>
                <c:pt idx="714">
                  <c:v>36843.583333335067</c:v>
                </c:pt>
                <c:pt idx="715">
                  <c:v>36843.604166668403</c:v>
                </c:pt>
                <c:pt idx="716">
                  <c:v>36843.625000001739</c:v>
                </c:pt>
                <c:pt idx="717">
                  <c:v>36843.645833335075</c:v>
                </c:pt>
                <c:pt idx="718">
                  <c:v>36843.66666666841</c:v>
                </c:pt>
                <c:pt idx="719">
                  <c:v>36843.687500001746</c:v>
                </c:pt>
                <c:pt idx="720">
                  <c:v>36843.708333335082</c:v>
                </c:pt>
                <c:pt idx="721">
                  <c:v>36843.729166668418</c:v>
                </c:pt>
                <c:pt idx="722">
                  <c:v>36843.750000001754</c:v>
                </c:pt>
                <c:pt idx="723">
                  <c:v>36843.770833335089</c:v>
                </c:pt>
                <c:pt idx="724">
                  <c:v>36843.791666668425</c:v>
                </c:pt>
                <c:pt idx="725">
                  <c:v>36843.812500001761</c:v>
                </c:pt>
                <c:pt idx="726">
                  <c:v>36843.833333335097</c:v>
                </c:pt>
                <c:pt idx="727">
                  <c:v>36843.854166666664</c:v>
                </c:pt>
                <c:pt idx="728">
                  <c:v>36843.875</c:v>
                </c:pt>
                <c:pt idx="729">
                  <c:v>36843.895833333336</c:v>
                </c:pt>
                <c:pt idx="730">
                  <c:v>36843.916666666672</c:v>
                </c:pt>
                <c:pt idx="731">
                  <c:v>36843.937500000007</c:v>
                </c:pt>
                <c:pt idx="732">
                  <c:v>36843.958333333343</c:v>
                </c:pt>
                <c:pt idx="733">
                  <c:v>36843.979166666679</c:v>
                </c:pt>
                <c:pt idx="734">
                  <c:v>36844.000000000015</c:v>
                </c:pt>
                <c:pt idx="735">
                  <c:v>36844.02083333335</c:v>
                </c:pt>
                <c:pt idx="736">
                  <c:v>36844.041666666686</c:v>
                </c:pt>
                <c:pt idx="737">
                  <c:v>36844.062500000022</c:v>
                </c:pt>
                <c:pt idx="738">
                  <c:v>36844.083333333358</c:v>
                </c:pt>
                <c:pt idx="739">
                  <c:v>36844.104166666693</c:v>
                </c:pt>
                <c:pt idx="740">
                  <c:v>36844.125000000029</c:v>
                </c:pt>
                <c:pt idx="741">
                  <c:v>36844.145833333365</c:v>
                </c:pt>
                <c:pt idx="742">
                  <c:v>36844.166666666701</c:v>
                </c:pt>
                <c:pt idx="743">
                  <c:v>36844.187500000036</c:v>
                </c:pt>
                <c:pt idx="744">
                  <c:v>36844.208333333372</c:v>
                </c:pt>
                <c:pt idx="745">
                  <c:v>36844.229166666708</c:v>
                </c:pt>
                <c:pt idx="746">
                  <c:v>36844.250000000044</c:v>
                </c:pt>
                <c:pt idx="747">
                  <c:v>36844.270833333379</c:v>
                </c:pt>
                <c:pt idx="748">
                  <c:v>36844.291666666715</c:v>
                </c:pt>
                <c:pt idx="749">
                  <c:v>36844.312500000051</c:v>
                </c:pt>
                <c:pt idx="750">
                  <c:v>36844.333333333387</c:v>
                </c:pt>
                <c:pt idx="751">
                  <c:v>36844.354166666722</c:v>
                </c:pt>
                <c:pt idx="752">
                  <c:v>36844.375000000058</c:v>
                </c:pt>
                <c:pt idx="753">
                  <c:v>36844.395833333394</c:v>
                </c:pt>
                <c:pt idx="754">
                  <c:v>36844.41666666673</c:v>
                </c:pt>
                <c:pt idx="755">
                  <c:v>36844.437500000065</c:v>
                </c:pt>
                <c:pt idx="756">
                  <c:v>36844.458333333401</c:v>
                </c:pt>
                <c:pt idx="757">
                  <c:v>36844.479166666737</c:v>
                </c:pt>
                <c:pt idx="758">
                  <c:v>36844.500000000073</c:v>
                </c:pt>
                <c:pt idx="759">
                  <c:v>36844.520833333409</c:v>
                </c:pt>
                <c:pt idx="760">
                  <c:v>36844.541666666744</c:v>
                </c:pt>
                <c:pt idx="761">
                  <c:v>36844.56250000008</c:v>
                </c:pt>
                <c:pt idx="762">
                  <c:v>36844.583333333416</c:v>
                </c:pt>
                <c:pt idx="763">
                  <c:v>36844.604166666752</c:v>
                </c:pt>
                <c:pt idx="764">
                  <c:v>36844.625000000087</c:v>
                </c:pt>
                <c:pt idx="765">
                  <c:v>36844.645833333423</c:v>
                </c:pt>
                <c:pt idx="766">
                  <c:v>36844.666666666759</c:v>
                </c:pt>
                <c:pt idx="767">
                  <c:v>36844.687500000095</c:v>
                </c:pt>
                <c:pt idx="768">
                  <c:v>36844.70833333343</c:v>
                </c:pt>
                <c:pt idx="769">
                  <c:v>36844.729166666766</c:v>
                </c:pt>
                <c:pt idx="770">
                  <c:v>36844.750000000102</c:v>
                </c:pt>
                <c:pt idx="771">
                  <c:v>36844.770833333438</c:v>
                </c:pt>
                <c:pt idx="772">
                  <c:v>36844.791666666773</c:v>
                </c:pt>
                <c:pt idx="773">
                  <c:v>36844.812500000109</c:v>
                </c:pt>
                <c:pt idx="774">
                  <c:v>36844.833333333445</c:v>
                </c:pt>
                <c:pt idx="775">
                  <c:v>36844.854166666781</c:v>
                </c:pt>
                <c:pt idx="776">
                  <c:v>36844.875000000116</c:v>
                </c:pt>
                <c:pt idx="777">
                  <c:v>36844.895833333452</c:v>
                </c:pt>
                <c:pt idx="778">
                  <c:v>36844.916666666788</c:v>
                </c:pt>
                <c:pt idx="779">
                  <c:v>36844.937500000124</c:v>
                </c:pt>
                <c:pt idx="780">
                  <c:v>36844.958333333459</c:v>
                </c:pt>
                <c:pt idx="781">
                  <c:v>36844.979166666795</c:v>
                </c:pt>
                <c:pt idx="782">
                  <c:v>36845.000000000131</c:v>
                </c:pt>
                <c:pt idx="783">
                  <c:v>36845.020833333467</c:v>
                </c:pt>
                <c:pt idx="784">
                  <c:v>36845.041666666802</c:v>
                </c:pt>
                <c:pt idx="785">
                  <c:v>36845.062500000138</c:v>
                </c:pt>
                <c:pt idx="786">
                  <c:v>36845.083333333474</c:v>
                </c:pt>
                <c:pt idx="787">
                  <c:v>36845.10416666681</c:v>
                </c:pt>
                <c:pt idx="788">
                  <c:v>36845.125000000146</c:v>
                </c:pt>
                <c:pt idx="789">
                  <c:v>36845.145833333481</c:v>
                </c:pt>
                <c:pt idx="790">
                  <c:v>36845.166666666817</c:v>
                </c:pt>
                <c:pt idx="791">
                  <c:v>36845.187500000153</c:v>
                </c:pt>
                <c:pt idx="792">
                  <c:v>36845.208333333489</c:v>
                </c:pt>
                <c:pt idx="793">
                  <c:v>36845.229166666824</c:v>
                </c:pt>
                <c:pt idx="794">
                  <c:v>36845.25000000016</c:v>
                </c:pt>
                <c:pt idx="795">
                  <c:v>36845.270833333496</c:v>
                </c:pt>
                <c:pt idx="796">
                  <c:v>36845.291666666832</c:v>
                </c:pt>
                <c:pt idx="797">
                  <c:v>36845.312500000167</c:v>
                </c:pt>
                <c:pt idx="798">
                  <c:v>36845.333333333503</c:v>
                </c:pt>
                <c:pt idx="799">
                  <c:v>36845.354166666839</c:v>
                </c:pt>
                <c:pt idx="800">
                  <c:v>36845.375000000175</c:v>
                </c:pt>
                <c:pt idx="801">
                  <c:v>36845.39583333351</c:v>
                </c:pt>
                <c:pt idx="802">
                  <c:v>36845.416666666846</c:v>
                </c:pt>
                <c:pt idx="803">
                  <c:v>36845.437500000182</c:v>
                </c:pt>
                <c:pt idx="804">
                  <c:v>36845.458333333518</c:v>
                </c:pt>
                <c:pt idx="805">
                  <c:v>36845.479166666853</c:v>
                </c:pt>
                <c:pt idx="806">
                  <c:v>36845.500000000189</c:v>
                </c:pt>
                <c:pt idx="807">
                  <c:v>36845.520833333525</c:v>
                </c:pt>
                <c:pt idx="808">
                  <c:v>36845.541666666861</c:v>
                </c:pt>
                <c:pt idx="809">
                  <c:v>36845.562500000196</c:v>
                </c:pt>
                <c:pt idx="810">
                  <c:v>36845.583333333532</c:v>
                </c:pt>
                <c:pt idx="811">
                  <c:v>36845.604166666868</c:v>
                </c:pt>
                <c:pt idx="812">
                  <c:v>36845.625000000204</c:v>
                </c:pt>
                <c:pt idx="813">
                  <c:v>36845.645833333539</c:v>
                </c:pt>
                <c:pt idx="814">
                  <c:v>36845.666666666875</c:v>
                </c:pt>
                <c:pt idx="815">
                  <c:v>36845.687500000211</c:v>
                </c:pt>
                <c:pt idx="816">
                  <c:v>36845.708333333547</c:v>
                </c:pt>
                <c:pt idx="817">
                  <c:v>36845.729166666883</c:v>
                </c:pt>
                <c:pt idx="818">
                  <c:v>36845.750000000218</c:v>
                </c:pt>
                <c:pt idx="819">
                  <c:v>36845.770833333554</c:v>
                </c:pt>
                <c:pt idx="820">
                  <c:v>36845.79166666689</c:v>
                </c:pt>
                <c:pt idx="821">
                  <c:v>36845.812500000226</c:v>
                </c:pt>
                <c:pt idx="822">
                  <c:v>36845.833333333561</c:v>
                </c:pt>
                <c:pt idx="823">
                  <c:v>36845.854166666897</c:v>
                </c:pt>
                <c:pt idx="824">
                  <c:v>36845.875000000233</c:v>
                </c:pt>
                <c:pt idx="825">
                  <c:v>36845.895833333569</c:v>
                </c:pt>
                <c:pt idx="826">
                  <c:v>36845.916666666904</c:v>
                </c:pt>
                <c:pt idx="827">
                  <c:v>36845.93750000024</c:v>
                </c:pt>
                <c:pt idx="828">
                  <c:v>36845.958333333576</c:v>
                </c:pt>
                <c:pt idx="829">
                  <c:v>36845.979166666912</c:v>
                </c:pt>
                <c:pt idx="830">
                  <c:v>36846.000000000247</c:v>
                </c:pt>
                <c:pt idx="831">
                  <c:v>36846.020833333583</c:v>
                </c:pt>
                <c:pt idx="832">
                  <c:v>36846.041666666919</c:v>
                </c:pt>
                <c:pt idx="833">
                  <c:v>36846.062500000255</c:v>
                </c:pt>
                <c:pt idx="834">
                  <c:v>36846.08333333359</c:v>
                </c:pt>
                <c:pt idx="835">
                  <c:v>36846.104166666926</c:v>
                </c:pt>
                <c:pt idx="836">
                  <c:v>36846.125000000262</c:v>
                </c:pt>
                <c:pt idx="837">
                  <c:v>36846.145833333598</c:v>
                </c:pt>
                <c:pt idx="838">
                  <c:v>36846.166666666933</c:v>
                </c:pt>
                <c:pt idx="839">
                  <c:v>36846.187500000269</c:v>
                </c:pt>
                <c:pt idx="840">
                  <c:v>36846.208333333605</c:v>
                </c:pt>
                <c:pt idx="841">
                  <c:v>36846.229166666941</c:v>
                </c:pt>
                <c:pt idx="842">
                  <c:v>36846.250000000276</c:v>
                </c:pt>
                <c:pt idx="843">
                  <c:v>36846.270833333612</c:v>
                </c:pt>
                <c:pt idx="844">
                  <c:v>36846.291666666948</c:v>
                </c:pt>
                <c:pt idx="845">
                  <c:v>36846.312500000284</c:v>
                </c:pt>
                <c:pt idx="846">
                  <c:v>36846.33333333362</c:v>
                </c:pt>
                <c:pt idx="847">
                  <c:v>36846.354166666955</c:v>
                </c:pt>
                <c:pt idx="848">
                  <c:v>36846.375000000291</c:v>
                </c:pt>
                <c:pt idx="849">
                  <c:v>36846.395833333627</c:v>
                </c:pt>
                <c:pt idx="850">
                  <c:v>36846.416666666963</c:v>
                </c:pt>
                <c:pt idx="851">
                  <c:v>36846.437500000298</c:v>
                </c:pt>
                <c:pt idx="852">
                  <c:v>36846.458333333634</c:v>
                </c:pt>
                <c:pt idx="853">
                  <c:v>36846.47916666697</c:v>
                </c:pt>
                <c:pt idx="854">
                  <c:v>36846.500000000306</c:v>
                </c:pt>
                <c:pt idx="855">
                  <c:v>36846.520833333641</c:v>
                </c:pt>
                <c:pt idx="856">
                  <c:v>36846.541666666977</c:v>
                </c:pt>
                <c:pt idx="857">
                  <c:v>36846.562500000313</c:v>
                </c:pt>
                <c:pt idx="858">
                  <c:v>36846.583333333649</c:v>
                </c:pt>
                <c:pt idx="859">
                  <c:v>36846.604166666984</c:v>
                </c:pt>
                <c:pt idx="860">
                  <c:v>36846.62500000032</c:v>
                </c:pt>
                <c:pt idx="861">
                  <c:v>36846.645833333656</c:v>
                </c:pt>
                <c:pt idx="862">
                  <c:v>36846.666666666992</c:v>
                </c:pt>
                <c:pt idx="863">
                  <c:v>36846.687500000327</c:v>
                </c:pt>
                <c:pt idx="864">
                  <c:v>36846.708333333663</c:v>
                </c:pt>
                <c:pt idx="865">
                  <c:v>36846.729166666999</c:v>
                </c:pt>
                <c:pt idx="866">
                  <c:v>36846.750000000335</c:v>
                </c:pt>
                <c:pt idx="867">
                  <c:v>36846.77083333367</c:v>
                </c:pt>
                <c:pt idx="868">
                  <c:v>36846.791666667006</c:v>
                </c:pt>
                <c:pt idx="869">
                  <c:v>36846.812500000342</c:v>
                </c:pt>
                <c:pt idx="870">
                  <c:v>36846.833333333678</c:v>
                </c:pt>
                <c:pt idx="871">
                  <c:v>36846.854166667013</c:v>
                </c:pt>
                <c:pt idx="872">
                  <c:v>36846.875000000349</c:v>
                </c:pt>
                <c:pt idx="873">
                  <c:v>36846.895833333685</c:v>
                </c:pt>
                <c:pt idx="874">
                  <c:v>36846.916666667021</c:v>
                </c:pt>
                <c:pt idx="875">
                  <c:v>36846.937500000357</c:v>
                </c:pt>
                <c:pt idx="876">
                  <c:v>36846.958333333692</c:v>
                </c:pt>
                <c:pt idx="877">
                  <c:v>36846.979166667028</c:v>
                </c:pt>
                <c:pt idx="878">
                  <c:v>36847.000000000364</c:v>
                </c:pt>
                <c:pt idx="879">
                  <c:v>36847.0208333337</c:v>
                </c:pt>
                <c:pt idx="880">
                  <c:v>36847.041666667035</c:v>
                </c:pt>
                <c:pt idx="881">
                  <c:v>36847.062500000371</c:v>
                </c:pt>
                <c:pt idx="882">
                  <c:v>36847.083333333707</c:v>
                </c:pt>
                <c:pt idx="883">
                  <c:v>36847.104166667043</c:v>
                </c:pt>
                <c:pt idx="884">
                  <c:v>36847.125000000378</c:v>
                </c:pt>
                <c:pt idx="885">
                  <c:v>36847.145833333714</c:v>
                </c:pt>
                <c:pt idx="886">
                  <c:v>36847.16666666705</c:v>
                </c:pt>
                <c:pt idx="887">
                  <c:v>36847.187500000386</c:v>
                </c:pt>
                <c:pt idx="888">
                  <c:v>36847.208333333721</c:v>
                </c:pt>
                <c:pt idx="889">
                  <c:v>36847.229166667057</c:v>
                </c:pt>
                <c:pt idx="890">
                  <c:v>36847.250000000393</c:v>
                </c:pt>
                <c:pt idx="891">
                  <c:v>36847.270833333729</c:v>
                </c:pt>
                <c:pt idx="892">
                  <c:v>36847.291666667064</c:v>
                </c:pt>
                <c:pt idx="893">
                  <c:v>36847.3125000004</c:v>
                </c:pt>
                <c:pt idx="894">
                  <c:v>36847.333333333736</c:v>
                </c:pt>
                <c:pt idx="895">
                  <c:v>36847.354166667072</c:v>
                </c:pt>
                <c:pt idx="896">
                  <c:v>36847.375000000407</c:v>
                </c:pt>
                <c:pt idx="897">
                  <c:v>36847.395833333743</c:v>
                </c:pt>
                <c:pt idx="898">
                  <c:v>36847.416666667079</c:v>
                </c:pt>
                <c:pt idx="899">
                  <c:v>36847.437500000415</c:v>
                </c:pt>
                <c:pt idx="900">
                  <c:v>36847.45833333375</c:v>
                </c:pt>
                <c:pt idx="901">
                  <c:v>36847.479166667086</c:v>
                </c:pt>
                <c:pt idx="902">
                  <c:v>36847.500000000422</c:v>
                </c:pt>
                <c:pt idx="903">
                  <c:v>36847.520833333758</c:v>
                </c:pt>
                <c:pt idx="904">
                  <c:v>36847.541666667094</c:v>
                </c:pt>
                <c:pt idx="905">
                  <c:v>36847.562500000429</c:v>
                </c:pt>
                <c:pt idx="906">
                  <c:v>36847.583333333765</c:v>
                </c:pt>
                <c:pt idx="907">
                  <c:v>36847.604166667101</c:v>
                </c:pt>
                <c:pt idx="908">
                  <c:v>36847.625000000437</c:v>
                </c:pt>
                <c:pt idx="909">
                  <c:v>36847.645833333772</c:v>
                </c:pt>
                <c:pt idx="910">
                  <c:v>36847.666666667108</c:v>
                </c:pt>
                <c:pt idx="911">
                  <c:v>36847.687500000444</c:v>
                </c:pt>
                <c:pt idx="912">
                  <c:v>36847.70833333378</c:v>
                </c:pt>
                <c:pt idx="913">
                  <c:v>36847.729166667115</c:v>
                </c:pt>
                <c:pt idx="914">
                  <c:v>36847.750000000451</c:v>
                </c:pt>
                <c:pt idx="915">
                  <c:v>36847.770833333787</c:v>
                </c:pt>
                <c:pt idx="916">
                  <c:v>36847.791666667123</c:v>
                </c:pt>
                <c:pt idx="917">
                  <c:v>36847.812500000458</c:v>
                </c:pt>
                <c:pt idx="918">
                  <c:v>36847.833333333794</c:v>
                </c:pt>
                <c:pt idx="919">
                  <c:v>36847.85416666713</c:v>
                </c:pt>
                <c:pt idx="920">
                  <c:v>36847.875000000466</c:v>
                </c:pt>
                <c:pt idx="921">
                  <c:v>36847.895833333801</c:v>
                </c:pt>
                <c:pt idx="922">
                  <c:v>36847.916666667137</c:v>
                </c:pt>
                <c:pt idx="923">
                  <c:v>36847.937500000473</c:v>
                </c:pt>
                <c:pt idx="924">
                  <c:v>36847.958333333809</c:v>
                </c:pt>
                <c:pt idx="925">
                  <c:v>36847.979166667144</c:v>
                </c:pt>
                <c:pt idx="926">
                  <c:v>36848.00000000048</c:v>
                </c:pt>
                <c:pt idx="927">
                  <c:v>36848.020833333816</c:v>
                </c:pt>
                <c:pt idx="928">
                  <c:v>36848.041666667152</c:v>
                </c:pt>
                <c:pt idx="929">
                  <c:v>36848.062500000487</c:v>
                </c:pt>
                <c:pt idx="930">
                  <c:v>36848.083333333823</c:v>
                </c:pt>
                <c:pt idx="931">
                  <c:v>36848.104166667159</c:v>
                </c:pt>
                <c:pt idx="932">
                  <c:v>36848.125000000495</c:v>
                </c:pt>
                <c:pt idx="933">
                  <c:v>36848.145833333831</c:v>
                </c:pt>
                <c:pt idx="934">
                  <c:v>36848.166666667166</c:v>
                </c:pt>
                <c:pt idx="935">
                  <c:v>36848.187500000502</c:v>
                </c:pt>
                <c:pt idx="936">
                  <c:v>36848.208333333838</c:v>
                </c:pt>
                <c:pt idx="937">
                  <c:v>36848.229166667174</c:v>
                </c:pt>
                <c:pt idx="938">
                  <c:v>36848.250000000509</c:v>
                </c:pt>
                <c:pt idx="939">
                  <c:v>36848.270833333845</c:v>
                </c:pt>
                <c:pt idx="940">
                  <c:v>36848.291666667181</c:v>
                </c:pt>
                <c:pt idx="941">
                  <c:v>36848.312500000517</c:v>
                </c:pt>
                <c:pt idx="942">
                  <c:v>36848.333333333852</c:v>
                </c:pt>
                <c:pt idx="943">
                  <c:v>36848.354166667188</c:v>
                </c:pt>
                <c:pt idx="944">
                  <c:v>36848.375000000524</c:v>
                </c:pt>
                <c:pt idx="945">
                  <c:v>36848.39583333386</c:v>
                </c:pt>
                <c:pt idx="946">
                  <c:v>36848.416666667195</c:v>
                </c:pt>
                <c:pt idx="947">
                  <c:v>36848.437500000531</c:v>
                </c:pt>
                <c:pt idx="948">
                  <c:v>36848.458333333867</c:v>
                </c:pt>
                <c:pt idx="949">
                  <c:v>36848.479166667203</c:v>
                </c:pt>
                <c:pt idx="950">
                  <c:v>36848.500000000538</c:v>
                </c:pt>
                <c:pt idx="951">
                  <c:v>36848.520833333874</c:v>
                </c:pt>
                <c:pt idx="952">
                  <c:v>36848.54166666721</c:v>
                </c:pt>
                <c:pt idx="953">
                  <c:v>36848.562500000546</c:v>
                </c:pt>
                <c:pt idx="954">
                  <c:v>36848.583333333881</c:v>
                </c:pt>
                <c:pt idx="955">
                  <c:v>36848.604166667217</c:v>
                </c:pt>
                <c:pt idx="956">
                  <c:v>36848.625000000553</c:v>
                </c:pt>
                <c:pt idx="957">
                  <c:v>36848.645833333889</c:v>
                </c:pt>
                <c:pt idx="958">
                  <c:v>36848.666666667224</c:v>
                </c:pt>
                <c:pt idx="959">
                  <c:v>36848.68750000056</c:v>
                </c:pt>
                <c:pt idx="960">
                  <c:v>36848.708333333896</c:v>
                </c:pt>
                <c:pt idx="961">
                  <c:v>36848.729166667232</c:v>
                </c:pt>
                <c:pt idx="962">
                  <c:v>36848.750000000568</c:v>
                </c:pt>
                <c:pt idx="963">
                  <c:v>36848.770833333903</c:v>
                </c:pt>
                <c:pt idx="964">
                  <c:v>36848.791666667239</c:v>
                </c:pt>
                <c:pt idx="965">
                  <c:v>36848.812500000575</c:v>
                </c:pt>
                <c:pt idx="966">
                  <c:v>36848.833333333911</c:v>
                </c:pt>
                <c:pt idx="967">
                  <c:v>36848.854166667246</c:v>
                </c:pt>
                <c:pt idx="968">
                  <c:v>36848.875000000582</c:v>
                </c:pt>
                <c:pt idx="969">
                  <c:v>36848.895833333918</c:v>
                </c:pt>
                <c:pt idx="970">
                  <c:v>36848.916666667254</c:v>
                </c:pt>
                <c:pt idx="971">
                  <c:v>36848.937500000589</c:v>
                </c:pt>
                <c:pt idx="972">
                  <c:v>36848.958333333925</c:v>
                </c:pt>
                <c:pt idx="973">
                  <c:v>36848.979166667261</c:v>
                </c:pt>
                <c:pt idx="974">
                  <c:v>36849.000000000597</c:v>
                </c:pt>
                <c:pt idx="975">
                  <c:v>36849.020833333932</c:v>
                </c:pt>
                <c:pt idx="976">
                  <c:v>36849.041666667268</c:v>
                </c:pt>
                <c:pt idx="977">
                  <c:v>36849.062500000604</c:v>
                </c:pt>
                <c:pt idx="978">
                  <c:v>36849.08333333394</c:v>
                </c:pt>
                <c:pt idx="979">
                  <c:v>36849.104166667275</c:v>
                </c:pt>
                <c:pt idx="980">
                  <c:v>36849.125000000611</c:v>
                </c:pt>
                <c:pt idx="981">
                  <c:v>36849.145833333947</c:v>
                </c:pt>
                <c:pt idx="982">
                  <c:v>36849.166666667283</c:v>
                </c:pt>
                <c:pt idx="983">
                  <c:v>36849.187500000618</c:v>
                </c:pt>
                <c:pt idx="984">
                  <c:v>36849.208333333954</c:v>
                </c:pt>
                <c:pt idx="985">
                  <c:v>36849.22916666729</c:v>
                </c:pt>
                <c:pt idx="986">
                  <c:v>36849.250000000626</c:v>
                </c:pt>
                <c:pt idx="987">
                  <c:v>36849.270833333961</c:v>
                </c:pt>
                <c:pt idx="988">
                  <c:v>36849.291666667297</c:v>
                </c:pt>
                <c:pt idx="989">
                  <c:v>36849.312500000633</c:v>
                </c:pt>
                <c:pt idx="990">
                  <c:v>36849.333333333969</c:v>
                </c:pt>
                <c:pt idx="991">
                  <c:v>36849.354166667305</c:v>
                </c:pt>
                <c:pt idx="992">
                  <c:v>36849.37500000064</c:v>
                </c:pt>
                <c:pt idx="993">
                  <c:v>36849.395833333976</c:v>
                </c:pt>
                <c:pt idx="994">
                  <c:v>36849.416666667312</c:v>
                </c:pt>
                <c:pt idx="995">
                  <c:v>36849.437500000648</c:v>
                </c:pt>
                <c:pt idx="996">
                  <c:v>36849.458333333983</c:v>
                </c:pt>
                <c:pt idx="997">
                  <c:v>36849.479166667319</c:v>
                </c:pt>
                <c:pt idx="998">
                  <c:v>36849.500000000655</c:v>
                </c:pt>
                <c:pt idx="999">
                  <c:v>36849.520833333991</c:v>
                </c:pt>
                <c:pt idx="1000">
                  <c:v>36849.541666667326</c:v>
                </c:pt>
                <c:pt idx="1001">
                  <c:v>36849.562500000662</c:v>
                </c:pt>
                <c:pt idx="1002">
                  <c:v>36849.583333333998</c:v>
                </c:pt>
                <c:pt idx="1003">
                  <c:v>36849.604166667334</c:v>
                </c:pt>
                <c:pt idx="1004">
                  <c:v>36849.625000000669</c:v>
                </c:pt>
                <c:pt idx="1005">
                  <c:v>36849.645833334005</c:v>
                </c:pt>
                <c:pt idx="1006">
                  <c:v>36849.666666667341</c:v>
                </c:pt>
                <c:pt idx="1007">
                  <c:v>36849.687500000677</c:v>
                </c:pt>
                <c:pt idx="1008">
                  <c:v>36849.708333334012</c:v>
                </c:pt>
                <c:pt idx="1009">
                  <c:v>36849.729166667348</c:v>
                </c:pt>
                <c:pt idx="1010">
                  <c:v>36849.750000000684</c:v>
                </c:pt>
                <c:pt idx="1011">
                  <c:v>36849.77083333402</c:v>
                </c:pt>
                <c:pt idx="1012">
                  <c:v>36849.791666667355</c:v>
                </c:pt>
                <c:pt idx="1013">
                  <c:v>36849.812500000691</c:v>
                </c:pt>
                <c:pt idx="1014">
                  <c:v>36849.833333334027</c:v>
                </c:pt>
                <c:pt idx="1015">
                  <c:v>36849.854166667363</c:v>
                </c:pt>
                <c:pt idx="1016">
                  <c:v>36849.875000000698</c:v>
                </c:pt>
                <c:pt idx="1017">
                  <c:v>36849.895833334034</c:v>
                </c:pt>
                <c:pt idx="1018">
                  <c:v>36849.91666666737</c:v>
                </c:pt>
                <c:pt idx="1019">
                  <c:v>36849.937500000706</c:v>
                </c:pt>
                <c:pt idx="1020">
                  <c:v>36849.958333334042</c:v>
                </c:pt>
                <c:pt idx="1021">
                  <c:v>36849.979166667377</c:v>
                </c:pt>
                <c:pt idx="1022">
                  <c:v>36850.000000000713</c:v>
                </c:pt>
                <c:pt idx="1023">
                  <c:v>36850.020833334049</c:v>
                </c:pt>
                <c:pt idx="1024">
                  <c:v>36850.041666667385</c:v>
                </c:pt>
                <c:pt idx="1025">
                  <c:v>36850.06250000072</c:v>
                </c:pt>
                <c:pt idx="1026">
                  <c:v>36850.083333334056</c:v>
                </c:pt>
                <c:pt idx="1027">
                  <c:v>36850.104166667392</c:v>
                </c:pt>
                <c:pt idx="1028">
                  <c:v>36850.125000000728</c:v>
                </c:pt>
                <c:pt idx="1029">
                  <c:v>36850.145833334063</c:v>
                </c:pt>
                <c:pt idx="1030">
                  <c:v>36850.166666667399</c:v>
                </c:pt>
                <c:pt idx="1031">
                  <c:v>36850.187500000735</c:v>
                </c:pt>
                <c:pt idx="1032">
                  <c:v>36850.208333334071</c:v>
                </c:pt>
                <c:pt idx="1033">
                  <c:v>36850.229166667406</c:v>
                </c:pt>
                <c:pt idx="1034">
                  <c:v>36850.250000000742</c:v>
                </c:pt>
                <c:pt idx="1035">
                  <c:v>36850.270833334078</c:v>
                </c:pt>
                <c:pt idx="1036">
                  <c:v>36850.291666667414</c:v>
                </c:pt>
                <c:pt idx="1037">
                  <c:v>36850.312500000749</c:v>
                </c:pt>
                <c:pt idx="1038">
                  <c:v>36850.333333334085</c:v>
                </c:pt>
                <c:pt idx="1039">
                  <c:v>36850.354166667421</c:v>
                </c:pt>
                <c:pt idx="1040">
                  <c:v>36850.375000000757</c:v>
                </c:pt>
                <c:pt idx="1041">
                  <c:v>36850.395833334092</c:v>
                </c:pt>
                <c:pt idx="1042">
                  <c:v>36850.416666667428</c:v>
                </c:pt>
                <c:pt idx="1043">
                  <c:v>36850.437500000764</c:v>
                </c:pt>
                <c:pt idx="1044">
                  <c:v>36850.4583333341</c:v>
                </c:pt>
                <c:pt idx="1045">
                  <c:v>36850.479166667435</c:v>
                </c:pt>
                <c:pt idx="1046">
                  <c:v>36850.500000000771</c:v>
                </c:pt>
                <c:pt idx="1047">
                  <c:v>36850.520833334107</c:v>
                </c:pt>
                <c:pt idx="1048">
                  <c:v>36850.541666667443</c:v>
                </c:pt>
                <c:pt idx="1049">
                  <c:v>36850.562500000779</c:v>
                </c:pt>
                <c:pt idx="1050">
                  <c:v>36850.583333334114</c:v>
                </c:pt>
                <c:pt idx="1051">
                  <c:v>36850.60416666745</c:v>
                </c:pt>
                <c:pt idx="1052">
                  <c:v>36850.625000000786</c:v>
                </c:pt>
                <c:pt idx="1053">
                  <c:v>36850.645833334122</c:v>
                </c:pt>
                <c:pt idx="1054">
                  <c:v>36850.666666667457</c:v>
                </c:pt>
                <c:pt idx="1055">
                  <c:v>36850.687500000793</c:v>
                </c:pt>
                <c:pt idx="1056">
                  <c:v>36850.708333334129</c:v>
                </c:pt>
                <c:pt idx="1057">
                  <c:v>36850.729166667465</c:v>
                </c:pt>
                <c:pt idx="1058">
                  <c:v>36850.7500000008</c:v>
                </c:pt>
                <c:pt idx="1059">
                  <c:v>36850.770833334136</c:v>
                </c:pt>
                <c:pt idx="1060">
                  <c:v>36850.791666667472</c:v>
                </c:pt>
                <c:pt idx="1061">
                  <c:v>36850.812500000808</c:v>
                </c:pt>
                <c:pt idx="1062">
                  <c:v>36850.833333334143</c:v>
                </c:pt>
                <c:pt idx="1063">
                  <c:v>36850.854166667479</c:v>
                </c:pt>
                <c:pt idx="1064">
                  <c:v>36850.875000000815</c:v>
                </c:pt>
                <c:pt idx="1065">
                  <c:v>36850.895833334151</c:v>
                </c:pt>
                <c:pt idx="1066">
                  <c:v>36850.916666667486</c:v>
                </c:pt>
                <c:pt idx="1067">
                  <c:v>36850.937500000822</c:v>
                </c:pt>
                <c:pt idx="1068">
                  <c:v>36850.958333334158</c:v>
                </c:pt>
                <c:pt idx="1069">
                  <c:v>36850.979166667494</c:v>
                </c:pt>
                <c:pt idx="1070">
                  <c:v>36851.000000000829</c:v>
                </c:pt>
                <c:pt idx="1071">
                  <c:v>36851.020833334165</c:v>
                </c:pt>
                <c:pt idx="1072">
                  <c:v>36851.041666667501</c:v>
                </c:pt>
                <c:pt idx="1073">
                  <c:v>36851.062500000837</c:v>
                </c:pt>
                <c:pt idx="1074">
                  <c:v>36851.083333334172</c:v>
                </c:pt>
                <c:pt idx="1075">
                  <c:v>36851.104166667508</c:v>
                </c:pt>
                <c:pt idx="1076">
                  <c:v>36851.125000000844</c:v>
                </c:pt>
                <c:pt idx="1077">
                  <c:v>36851.14583333418</c:v>
                </c:pt>
                <c:pt idx="1078">
                  <c:v>36851.166666667516</c:v>
                </c:pt>
                <c:pt idx="1079">
                  <c:v>36851.187500000851</c:v>
                </c:pt>
                <c:pt idx="1080">
                  <c:v>36851.208333334187</c:v>
                </c:pt>
                <c:pt idx="1081">
                  <c:v>36851.229166667523</c:v>
                </c:pt>
                <c:pt idx="1082">
                  <c:v>36851.250000000859</c:v>
                </c:pt>
                <c:pt idx="1083">
                  <c:v>36851.270833334194</c:v>
                </c:pt>
                <c:pt idx="1084">
                  <c:v>36851.29166666753</c:v>
                </c:pt>
                <c:pt idx="1085">
                  <c:v>36851.312500000866</c:v>
                </c:pt>
                <c:pt idx="1086">
                  <c:v>36851.333333334202</c:v>
                </c:pt>
                <c:pt idx="1087">
                  <c:v>36851.354166667537</c:v>
                </c:pt>
                <c:pt idx="1088">
                  <c:v>36851.375000000873</c:v>
                </c:pt>
                <c:pt idx="1089">
                  <c:v>36851.395833334209</c:v>
                </c:pt>
                <c:pt idx="1090">
                  <c:v>36851.416666667545</c:v>
                </c:pt>
                <c:pt idx="1091">
                  <c:v>36851.43750000088</c:v>
                </c:pt>
                <c:pt idx="1092">
                  <c:v>36851.458333334216</c:v>
                </c:pt>
                <c:pt idx="1093">
                  <c:v>36851.479166667552</c:v>
                </c:pt>
                <c:pt idx="1094">
                  <c:v>36851.500000000888</c:v>
                </c:pt>
                <c:pt idx="1095">
                  <c:v>36851.520833334223</c:v>
                </c:pt>
                <c:pt idx="1096">
                  <c:v>36851.541666667559</c:v>
                </c:pt>
                <c:pt idx="1097">
                  <c:v>36851.562500000895</c:v>
                </c:pt>
                <c:pt idx="1098">
                  <c:v>36851.583333334231</c:v>
                </c:pt>
                <c:pt idx="1099">
                  <c:v>36851.604166667566</c:v>
                </c:pt>
                <c:pt idx="1100">
                  <c:v>36851.625000000902</c:v>
                </c:pt>
                <c:pt idx="1101">
                  <c:v>36851.645833334238</c:v>
                </c:pt>
                <c:pt idx="1102">
                  <c:v>36851.666666667574</c:v>
                </c:pt>
                <c:pt idx="1103">
                  <c:v>36851.687500000909</c:v>
                </c:pt>
                <c:pt idx="1104">
                  <c:v>36851.708333334245</c:v>
                </c:pt>
                <c:pt idx="1105">
                  <c:v>36851.729166667581</c:v>
                </c:pt>
                <c:pt idx="1106">
                  <c:v>36851.750000000917</c:v>
                </c:pt>
                <c:pt idx="1107">
                  <c:v>36851.770833334253</c:v>
                </c:pt>
                <c:pt idx="1108">
                  <c:v>36851.791666667588</c:v>
                </c:pt>
                <c:pt idx="1109">
                  <c:v>36851.812500000924</c:v>
                </c:pt>
                <c:pt idx="1110">
                  <c:v>36851.83333333426</c:v>
                </c:pt>
                <c:pt idx="1111">
                  <c:v>36851.854166667596</c:v>
                </c:pt>
                <c:pt idx="1112">
                  <c:v>36851.875000000931</c:v>
                </c:pt>
                <c:pt idx="1113">
                  <c:v>36851.895833334267</c:v>
                </c:pt>
                <c:pt idx="1114">
                  <c:v>36851.916666667603</c:v>
                </c:pt>
                <c:pt idx="1115">
                  <c:v>36851.937500000939</c:v>
                </c:pt>
                <c:pt idx="1116">
                  <c:v>36851.958333334274</c:v>
                </c:pt>
                <c:pt idx="1117">
                  <c:v>36851.97916666761</c:v>
                </c:pt>
                <c:pt idx="1118">
                  <c:v>36852.000000000946</c:v>
                </c:pt>
                <c:pt idx="1119">
                  <c:v>36852.020833334282</c:v>
                </c:pt>
                <c:pt idx="1120">
                  <c:v>36852.041666667617</c:v>
                </c:pt>
                <c:pt idx="1121">
                  <c:v>36852.062500000953</c:v>
                </c:pt>
                <c:pt idx="1122">
                  <c:v>36852.083333334289</c:v>
                </c:pt>
                <c:pt idx="1123">
                  <c:v>36852.104166667625</c:v>
                </c:pt>
                <c:pt idx="1124">
                  <c:v>36852.12500000096</c:v>
                </c:pt>
                <c:pt idx="1125">
                  <c:v>36852.145833334296</c:v>
                </c:pt>
                <c:pt idx="1126">
                  <c:v>36852.166666667632</c:v>
                </c:pt>
                <c:pt idx="1127">
                  <c:v>36852.187500000968</c:v>
                </c:pt>
                <c:pt idx="1128">
                  <c:v>36852.208333334303</c:v>
                </c:pt>
                <c:pt idx="1129">
                  <c:v>36852.229166667639</c:v>
                </c:pt>
                <c:pt idx="1130">
                  <c:v>36852.250000000975</c:v>
                </c:pt>
                <c:pt idx="1131">
                  <c:v>36852.270833334311</c:v>
                </c:pt>
                <c:pt idx="1132">
                  <c:v>36852.291666667646</c:v>
                </c:pt>
                <c:pt idx="1133">
                  <c:v>36852.312500000982</c:v>
                </c:pt>
                <c:pt idx="1134">
                  <c:v>36852.333333334318</c:v>
                </c:pt>
                <c:pt idx="1135">
                  <c:v>36852.354166667654</c:v>
                </c:pt>
                <c:pt idx="1136">
                  <c:v>36852.37500000099</c:v>
                </c:pt>
                <c:pt idx="1137">
                  <c:v>36852.395833334325</c:v>
                </c:pt>
                <c:pt idx="1138">
                  <c:v>36852.416666667661</c:v>
                </c:pt>
                <c:pt idx="1139">
                  <c:v>36852.437500000997</c:v>
                </c:pt>
                <c:pt idx="1140">
                  <c:v>36852.458333334333</c:v>
                </c:pt>
                <c:pt idx="1141">
                  <c:v>36852.479166667668</c:v>
                </c:pt>
                <c:pt idx="1142">
                  <c:v>36852.500000001004</c:v>
                </c:pt>
                <c:pt idx="1143">
                  <c:v>36852.52083333434</c:v>
                </c:pt>
                <c:pt idx="1144">
                  <c:v>36852.541666667676</c:v>
                </c:pt>
                <c:pt idx="1145">
                  <c:v>36852.562500001011</c:v>
                </c:pt>
                <c:pt idx="1146">
                  <c:v>36852.583333334347</c:v>
                </c:pt>
                <c:pt idx="1147">
                  <c:v>36852.604166667683</c:v>
                </c:pt>
                <c:pt idx="1148">
                  <c:v>36852.625000001019</c:v>
                </c:pt>
                <c:pt idx="1149">
                  <c:v>36852.645833334354</c:v>
                </c:pt>
                <c:pt idx="1150">
                  <c:v>36852.66666666769</c:v>
                </c:pt>
                <c:pt idx="1151">
                  <c:v>36852.687500001026</c:v>
                </c:pt>
                <c:pt idx="1152">
                  <c:v>36852.708333334362</c:v>
                </c:pt>
                <c:pt idx="1153">
                  <c:v>36852.729166667697</c:v>
                </c:pt>
                <c:pt idx="1154">
                  <c:v>36852.750000001033</c:v>
                </c:pt>
                <c:pt idx="1155">
                  <c:v>36852.770833334369</c:v>
                </c:pt>
                <c:pt idx="1156">
                  <c:v>36852.791666667705</c:v>
                </c:pt>
                <c:pt idx="1157">
                  <c:v>36852.81250000104</c:v>
                </c:pt>
                <c:pt idx="1158">
                  <c:v>36852.833333334376</c:v>
                </c:pt>
                <c:pt idx="1159">
                  <c:v>36852.854166667712</c:v>
                </c:pt>
                <c:pt idx="1160">
                  <c:v>36852.875000001048</c:v>
                </c:pt>
                <c:pt idx="1161">
                  <c:v>36852.895833334383</c:v>
                </c:pt>
                <c:pt idx="1162">
                  <c:v>36852.916666667719</c:v>
                </c:pt>
                <c:pt idx="1163">
                  <c:v>36852.937500001055</c:v>
                </c:pt>
                <c:pt idx="1164">
                  <c:v>36852.958333334391</c:v>
                </c:pt>
                <c:pt idx="1165">
                  <c:v>36852.979166667727</c:v>
                </c:pt>
                <c:pt idx="1166">
                  <c:v>36853.000000001062</c:v>
                </c:pt>
                <c:pt idx="1167">
                  <c:v>36853.020833334398</c:v>
                </c:pt>
                <c:pt idx="1168">
                  <c:v>36853.041666667734</c:v>
                </c:pt>
                <c:pt idx="1169">
                  <c:v>36853.06250000107</c:v>
                </c:pt>
                <c:pt idx="1170">
                  <c:v>36853.083333334405</c:v>
                </c:pt>
                <c:pt idx="1171">
                  <c:v>36853.104166667741</c:v>
                </c:pt>
                <c:pt idx="1172">
                  <c:v>36853.125000001077</c:v>
                </c:pt>
                <c:pt idx="1173">
                  <c:v>36853.145833334413</c:v>
                </c:pt>
                <c:pt idx="1174">
                  <c:v>36853.166666667748</c:v>
                </c:pt>
                <c:pt idx="1175">
                  <c:v>36853.187500001084</c:v>
                </c:pt>
                <c:pt idx="1176">
                  <c:v>36853.20833333442</c:v>
                </c:pt>
                <c:pt idx="1177">
                  <c:v>36853.229166667756</c:v>
                </c:pt>
                <c:pt idx="1178">
                  <c:v>36853.250000001091</c:v>
                </c:pt>
                <c:pt idx="1179">
                  <c:v>36853.270833334427</c:v>
                </c:pt>
                <c:pt idx="1180">
                  <c:v>36853.291666667763</c:v>
                </c:pt>
                <c:pt idx="1181">
                  <c:v>36853.312500001099</c:v>
                </c:pt>
                <c:pt idx="1182">
                  <c:v>36853.333333334434</c:v>
                </c:pt>
                <c:pt idx="1183">
                  <c:v>36853.35416666777</c:v>
                </c:pt>
                <c:pt idx="1184">
                  <c:v>36853.375000001106</c:v>
                </c:pt>
                <c:pt idx="1185">
                  <c:v>36853.395833334442</c:v>
                </c:pt>
                <c:pt idx="1186">
                  <c:v>36853.416666667777</c:v>
                </c:pt>
                <c:pt idx="1187">
                  <c:v>36853.437500001113</c:v>
                </c:pt>
                <c:pt idx="1188">
                  <c:v>36853.458333334449</c:v>
                </c:pt>
                <c:pt idx="1189">
                  <c:v>36853.479166667785</c:v>
                </c:pt>
                <c:pt idx="1190">
                  <c:v>36853.50000000112</c:v>
                </c:pt>
                <c:pt idx="1191">
                  <c:v>36853.520833334456</c:v>
                </c:pt>
                <c:pt idx="1192">
                  <c:v>36853.541666667792</c:v>
                </c:pt>
                <c:pt idx="1193">
                  <c:v>36853.562500001128</c:v>
                </c:pt>
                <c:pt idx="1194">
                  <c:v>36853.583333334464</c:v>
                </c:pt>
                <c:pt idx="1195">
                  <c:v>36853.604166667799</c:v>
                </c:pt>
                <c:pt idx="1196">
                  <c:v>36853.625000001135</c:v>
                </c:pt>
                <c:pt idx="1197">
                  <c:v>36853.645833334471</c:v>
                </c:pt>
                <c:pt idx="1198">
                  <c:v>36853.666666667807</c:v>
                </c:pt>
                <c:pt idx="1199">
                  <c:v>36853.687500001142</c:v>
                </c:pt>
                <c:pt idx="1200">
                  <c:v>36853.708333334478</c:v>
                </c:pt>
                <c:pt idx="1201">
                  <c:v>36853.729166667814</c:v>
                </c:pt>
                <c:pt idx="1202">
                  <c:v>36853.75000000115</c:v>
                </c:pt>
                <c:pt idx="1203">
                  <c:v>36853.770833334485</c:v>
                </c:pt>
                <c:pt idx="1204">
                  <c:v>36853.791666667821</c:v>
                </c:pt>
                <c:pt idx="1205">
                  <c:v>36853.812500001157</c:v>
                </c:pt>
                <c:pt idx="1206">
                  <c:v>36853.833333334493</c:v>
                </c:pt>
                <c:pt idx="1207">
                  <c:v>36853.854166667828</c:v>
                </c:pt>
                <c:pt idx="1208">
                  <c:v>36853.875000001164</c:v>
                </c:pt>
                <c:pt idx="1209">
                  <c:v>36853.8958333345</c:v>
                </c:pt>
                <c:pt idx="1210">
                  <c:v>36853.916666667836</c:v>
                </c:pt>
                <c:pt idx="1211">
                  <c:v>36853.937500001171</c:v>
                </c:pt>
                <c:pt idx="1212">
                  <c:v>36853.958333334507</c:v>
                </c:pt>
                <c:pt idx="1213">
                  <c:v>36853.979166667843</c:v>
                </c:pt>
                <c:pt idx="1214">
                  <c:v>36854.000000001179</c:v>
                </c:pt>
                <c:pt idx="1215">
                  <c:v>36854.020833334514</c:v>
                </c:pt>
                <c:pt idx="1216">
                  <c:v>36854.04166666785</c:v>
                </c:pt>
                <c:pt idx="1217">
                  <c:v>36854.062500001186</c:v>
                </c:pt>
                <c:pt idx="1218">
                  <c:v>36854.083333334522</c:v>
                </c:pt>
                <c:pt idx="1219">
                  <c:v>36854.104166667857</c:v>
                </c:pt>
                <c:pt idx="1220">
                  <c:v>36854.125000001193</c:v>
                </c:pt>
                <c:pt idx="1221">
                  <c:v>36854.145833334529</c:v>
                </c:pt>
                <c:pt idx="1222">
                  <c:v>36854.166666667865</c:v>
                </c:pt>
                <c:pt idx="1223">
                  <c:v>36854.187500001201</c:v>
                </c:pt>
                <c:pt idx="1224">
                  <c:v>36854.208333334536</c:v>
                </c:pt>
                <c:pt idx="1225">
                  <c:v>36854.229166667872</c:v>
                </c:pt>
                <c:pt idx="1226">
                  <c:v>36854.250000001208</c:v>
                </c:pt>
                <c:pt idx="1227">
                  <c:v>36854.270833334544</c:v>
                </c:pt>
                <c:pt idx="1228">
                  <c:v>36854.291666667879</c:v>
                </c:pt>
                <c:pt idx="1229">
                  <c:v>36854.312500001215</c:v>
                </c:pt>
                <c:pt idx="1230">
                  <c:v>36854.333333334551</c:v>
                </c:pt>
                <c:pt idx="1231">
                  <c:v>36854.354166667887</c:v>
                </c:pt>
                <c:pt idx="1232">
                  <c:v>36854.375000001222</c:v>
                </c:pt>
                <c:pt idx="1233">
                  <c:v>36854.395833334558</c:v>
                </c:pt>
                <c:pt idx="1234">
                  <c:v>36854.416666667894</c:v>
                </c:pt>
                <c:pt idx="1235">
                  <c:v>36854.43750000123</c:v>
                </c:pt>
                <c:pt idx="1236">
                  <c:v>36854.458333334565</c:v>
                </c:pt>
                <c:pt idx="1237">
                  <c:v>36854.479166667901</c:v>
                </c:pt>
                <c:pt idx="1238">
                  <c:v>36854.500000001237</c:v>
                </c:pt>
                <c:pt idx="1239">
                  <c:v>36854.520833334573</c:v>
                </c:pt>
                <c:pt idx="1240">
                  <c:v>36854.541666667908</c:v>
                </c:pt>
                <c:pt idx="1241">
                  <c:v>36854.562500001244</c:v>
                </c:pt>
                <c:pt idx="1242">
                  <c:v>36854.58333333458</c:v>
                </c:pt>
                <c:pt idx="1243">
                  <c:v>36854.604166667916</c:v>
                </c:pt>
                <c:pt idx="1244">
                  <c:v>36854.625000001251</c:v>
                </c:pt>
                <c:pt idx="1245">
                  <c:v>36854.645833334587</c:v>
                </c:pt>
                <c:pt idx="1246">
                  <c:v>36854.666666667923</c:v>
                </c:pt>
                <c:pt idx="1247">
                  <c:v>36854.687500001259</c:v>
                </c:pt>
                <c:pt idx="1248">
                  <c:v>36854.708333334594</c:v>
                </c:pt>
                <c:pt idx="1249">
                  <c:v>36854.72916666793</c:v>
                </c:pt>
                <c:pt idx="1250">
                  <c:v>36854.750000001266</c:v>
                </c:pt>
                <c:pt idx="1251">
                  <c:v>36854.770833334602</c:v>
                </c:pt>
                <c:pt idx="1252">
                  <c:v>36854.791666667938</c:v>
                </c:pt>
                <c:pt idx="1253">
                  <c:v>36854.812500001273</c:v>
                </c:pt>
                <c:pt idx="1254">
                  <c:v>36854.833333334609</c:v>
                </c:pt>
                <c:pt idx="1255">
                  <c:v>36854.854166667945</c:v>
                </c:pt>
                <c:pt idx="1256">
                  <c:v>36854.875000001281</c:v>
                </c:pt>
                <c:pt idx="1257">
                  <c:v>36854.895833334616</c:v>
                </c:pt>
                <c:pt idx="1258">
                  <c:v>36854.916666667952</c:v>
                </c:pt>
                <c:pt idx="1259">
                  <c:v>36854.937500001288</c:v>
                </c:pt>
                <c:pt idx="1260">
                  <c:v>36854.958333334624</c:v>
                </c:pt>
                <c:pt idx="1261">
                  <c:v>36854.979166667959</c:v>
                </c:pt>
                <c:pt idx="1262">
                  <c:v>36855.000000001295</c:v>
                </c:pt>
                <c:pt idx="1263">
                  <c:v>36855.020833334631</c:v>
                </c:pt>
                <c:pt idx="1264">
                  <c:v>36855.041666667967</c:v>
                </c:pt>
                <c:pt idx="1265">
                  <c:v>36855.062500001302</c:v>
                </c:pt>
                <c:pt idx="1266">
                  <c:v>36855.083333334638</c:v>
                </c:pt>
                <c:pt idx="1267">
                  <c:v>36855.104166667974</c:v>
                </c:pt>
                <c:pt idx="1268">
                  <c:v>36855.12500000131</c:v>
                </c:pt>
                <c:pt idx="1269">
                  <c:v>36855.145833334645</c:v>
                </c:pt>
                <c:pt idx="1270">
                  <c:v>36855.166666667981</c:v>
                </c:pt>
                <c:pt idx="1271">
                  <c:v>36855.187500001317</c:v>
                </c:pt>
                <c:pt idx="1272">
                  <c:v>36855.208333334653</c:v>
                </c:pt>
                <c:pt idx="1273">
                  <c:v>36855.229166667988</c:v>
                </c:pt>
                <c:pt idx="1274">
                  <c:v>36855.250000001324</c:v>
                </c:pt>
                <c:pt idx="1275">
                  <c:v>36855.27083333466</c:v>
                </c:pt>
                <c:pt idx="1276">
                  <c:v>36855.291666667996</c:v>
                </c:pt>
                <c:pt idx="1277">
                  <c:v>36855.312500001332</c:v>
                </c:pt>
                <c:pt idx="1278">
                  <c:v>36855.333333334667</c:v>
                </c:pt>
                <c:pt idx="1279">
                  <c:v>36855.354166668003</c:v>
                </c:pt>
                <c:pt idx="1280">
                  <c:v>36855.375000001339</c:v>
                </c:pt>
                <c:pt idx="1281">
                  <c:v>36855.395833334675</c:v>
                </c:pt>
                <c:pt idx="1282">
                  <c:v>36855.41666666801</c:v>
                </c:pt>
                <c:pt idx="1283">
                  <c:v>36855.437500001346</c:v>
                </c:pt>
                <c:pt idx="1284">
                  <c:v>36855.458333334682</c:v>
                </c:pt>
                <c:pt idx="1285">
                  <c:v>36855.479166668018</c:v>
                </c:pt>
                <c:pt idx="1286">
                  <c:v>36855.500000001353</c:v>
                </c:pt>
                <c:pt idx="1287">
                  <c:v>36855.520833334689</c:v>
                </c:pt>
                <c:pt idx="1288">
                  <c:v>36855.541666668025</c:v>
                </c:pt>
                <c:pt idx="1289">
                  <c:v>36855.562500001361</c:v>
                </c:pt>
              </c:numCache>
            </c:numRef>
          </c:xVal>
          <c:yVal>
            <c:numRef>
              <c:f>AADATA!$M$3:$M$1303</c:f>
              <c:numCache>
                <c:formatCode>General</c:formatCode>
                <c:ptCount val="1301"/>
                <c:pt idx="1">
                  <c:v>264.29699999999997</c:v>
                </c:pt>
                <c:pt idx="2">
                  <c:v>272.32399999999996</c:v>
                </c:pt>
                <c:pt idx="3">
                  <c:v>292.21699999999998</c:v>
                </c:pt>
                <c:pt idx="4">
                  <c:v>300.59299999999996</c:v>
                </c:pt>
                <c:pt idx="5">
                  <c:v>295.00899999999996</c:v>
                </c:pt>
                <c:pt idx="6">
                  <c:v>289.42499999999995</c:v>
                </c:pt>
                <c:pt idx="7">
                  <c:v>267.089</c:v>
                </c:pt>
                <c:pt idx="8">
                  <c:v>246.14899999999997</c:v>
                </c:pt>
                <c:pt idx="9">
                  <c:v>233.58499999999998</c:v>
                </c:pt>
                <c:pt idx="10">
                  <c:v>214.041</c:v>
                </c:pt>
                <c:pt idx="11">
                  <c:v>177.39599999999999</c:v>
                </c:pt>
                <c:pt idx="12">
                  <c:v>198.68499999999997</c:v>
                </c:pt>
                <c:pt idx="13">
                  <c:v>136.214</c:v>
                </c:pt>
                <c:pt idx="14">
                  <c:v>149.476</c:v>
                </c:pt>
                <c:pt idx="15">
                  <c:v>138.30799999999999</c:v>
                </c:pt>
                <c:pt idx="16">
                  <c:v>102.71</c:v>
                </c:pt>
                <c:pt idx="17">
                  <c:v>223.81299999999999</c:v>
                </c:pt>
                <c:pt idx="18">
                  <c:v>73.742999999999995</c:v>
                </c:pt>
                <c:pt idx="19">
                  <c:v>249.63899999999998</c:v>
                </c:pt>
                <c:pt idx="20">
                  <c:v>280.7</c:v>
                </c:pt>
                <c:pt idx="21">
                  <c:v>271.27699999999999</c:v>
                </c:pt>
                <c:pt idx="22">
                  <c:v>286.28399999999999</c:v>
                </c:pt>
                <c:pt idx="23">
                  <c:v>301.98899999999998</c:v>
                </c:pt>
                <c:pt idx="24">
                  <c:v>292.21699999999998</c:v>
                </c:pt>
                <c:pt idx="25">
                  <c:v>269.88099999999997</c:v>
                </c:pt>
                <c:pt idx="26">
                  <c:v>308.96899999999999</c:v>
                </c:pt>
                <c:pt idx="27">
                  <c:v>250.33699999999999</c:v>
                </c:pt>
                <c:pt idx="28">
                  <c:v>296.40499999999997</c:v>
                </c:pt>
                <c:pt idx="29">
                  <c:v>260.10899999999998</c:v>
                </c:pt>
                <c:pt idx="30">
                  <c:v>231.49099999999999</c:v>
                </c:pt>
                <c:pt idx="31">
                  <c:v>211.249</c:v>
                </c:pt>
                <c:pt idx="32">
                  <c:v>260.10899999999998</c:v>
                </c:pt>
                <c:pt idx="33">
                  <c:v>272.673</c:v>
                </c:pt>
                <c:pt idx="34">
                  <c:v>260.10899999999998</c:v>
                </c:pt>
                <c:pt idx="35">
                  <c:v>272.673</c:v>
                </c:pt>
                <c:pt idx="36">
                  <c:v>297.80099999999999</c:v>
                </c:pt>
                <c:pt idx="37">
                  <c:v>297.80099999999999</c:v>
                </c:pt>
                <c:pt idx="38">
                  <c:v>306.17699999999996</c:v>
                </c:pt>
                <c:pt idx="39">
                  <c:v>303.38499999999999</c:v>
                </c:pt>
                <c:pt idx="40">
                  <c:v>314.20399999999995</c:v>
                </c:pt>
                <c:pt idx="41">
                  <c:v>316.99599999999998</c:v>
                </c:pt>
                <c:pt idx="42">
                  <c:v>313.85499999999996</c:v>
                </c:pt>
                <c:pt idx="43">
                  <c:v>315.94899999999996</c:v>
                </c:pt>
                <c:pt idx="44">
                  <c:v>313.15699999999998</c:v>
                </c:pt>
                <c:pt idx="45">
                  <c:v>288.029</c:v>
                </c:pt>
                <c:pt idx="46">
                  <c:v>304.78100000000001</c:v>
                </c:pt>
                <c:pt idx="47">
                  <c:v>310.01599999999996</c:v>
                </c:pt>
                <c:pt idx="48">
                  <c:v>311.76099999999997</c:v>
                </c:pt>
                <c:pt idx="49">
                  <c:v>313.15699999999998</c:v>
                </c:pt>
                <c:pt idx="50">
                  <c:v>315.94899999999996</c:v>
                </c:pt>
                <c:pt idx="51">
                  <c:v>315.94899999999996</c:v>
                </c:pt>
                <c:pt idx="52">
                  <c:v>315.94899999999996</c:v>
                </c:pt>
                <c:pt idx="53">
                  <c:v>315.94899999999996</c:v>
                </c:pt>
                <c:pt idx="54">
                  <c:v>316.64699999999999</c:v>
                </c:pt>
                <c:pt idx="55">
                  <c:v>314.553</c:v>
                </c:pt>
                <c:pt idx="56">
                  <c:v>313.15699999999998</c:v>
                </c:pt>
                <c:pt idx="57">
                  <c:v>311.76099999999997</c:v>
                </c:pt>
                <c:pt idx="58">
                  <c:v>311.76099999999997</c:v>
                </c:pt>
                <c:pt idx="59">
                  <c:v>307.57299999999998</c:v>
                </c:pt>
                <c:pt idx="60">
                  <c:v>289.42499999999995</c:v>
                </c:pt>
                <c:pt idx="61">
                  <c:v>269.88099999999997</c:v>
                </c:pt>
                <c:pt idx="62">
                  <c:v>260.80699999999996</c:v>
                </c:pt>
                <c:pt idx="63">
                  <c:v>261.505</c:v>
                </c:pt>
                <c:pt idx="64">
                  <c:v>262.90100000000001</c:v>
                </c:pt>
                <c:pt idx="65">
                  <c:v>248.94099999999997</c:v>
                </c:pt>
                <c:pt idx="66">
                  <c:v>234.98099999999999</c:v>
                </c:pt>
                <c:pt idx="67">
                  <c:v>241.96099999999998</c:v>
                </c:pt>
                <c:pt idx="68">
                  <c:v>255.92099999999999</c:v>
                </c:pt>
                <c:pt idx="69">
                  <c:v>237.773</c:v>
                </c:pt>
                <c:pt idx="70">
                  <c:v>246.14899999999997</c:v>
                </c:pt>
                <c:pt idx="71">
                  <c:v>246.14899999999997</c:v>
                </c:pt>
                <c:pt idx="72">
                  <c:v>250.33699999999999</c:v>
                </c:pt>
                <c:pt idx="73">
                  <c:v>232.18899999999999</c:v>
                </c:pt>
                <c:pt idx="74">
                  <c:v>251.73299999999998</c:v>
                </c:pt>
                <c:pt idx="75">
                  <c:v>205.66499999999999</c:v>
                </c:pt>
                <c:pt idx="76">
                  <c:v>205.66499999999999</c:v>
                </c:pt>
                <c:pt idx="77">
                  <c:v>209.85299999999998</c:v>
                </c:pt>
                <c:pt idx="78">
                  <c:v>207.06099999999998</c:v>
                </c:pt>
                <c:pt idx="79">
                  <c:v>157.154</c:v>
                </c:pt>
                <c:pt idx="80">
                  <c:v>108.294</c:v>
                </c:pt>
                <c:pt idx="81">
                  <c:v>133.422</c:v>
                </c:pt>
                <c:pt idx="82">
                  <c:v>118.764</c:v>
                </c:pt>
                <c:pt idx="83">
                  <c:v>142.49599999999998</c:v>
                </c:pt>
                <c:pt idx="84">
                  <c:v>174.60399999999998</c:v>
                </c:pt>
                <c:pt idx="85">
                  <c:v>182.631</c:v>
                </c:pt>
                <c:pt idx="86">
                  <c:v>197.28899999999999</c:v>
                </c:pt>
                <c:pt idx="87">
                  <c:v>176.69799999999998</c:v>
                </c:pt>
                <c:pt idx="88">
                  <c:v>181.93299999999999</c:v>
                </c:pt>
                <c:pt idx="89">
                  <c:v>157.154</c:v>
                </c:pt>
                <c:pt idx="90">
                  <c:v>225.20899999999997</c:v>
                </c:pt>
                <c:pt idx="91">
                  <c:v>218.22899999999998</c:v>
                </c:pt>
                <c:pt idx="92">
                  <c:v>239.16899999999998</c:v>
                </c:pt>
                <c:pt idx="93">
                  <c:v>262.90100000000001</c:v>
                </c:pt>
                <c:pt idx="94">
                  <c:v>229.39699999999999</c:v>
                </c:pt>
                <c:pt idx="95">
                  <c:v>186.12099999999998</c:v>
                </c:pt>
                <c:pt idx="96">
                  <c:v>201.47699999999998</c:v>
                </c:pt>
                <c:pt idx="97">
                  <c:v>268.48499999999996</c:v>
                </c:pt>
                <c:pt idx="98">
                  <c:v>295.00899999999996</c:v>
                </c:pt>
                <c:pt idx="99">
                  <c:v>289.07599999999996</c:v>
                </c:pt>
                <c:pt idx="100">
                  <c:v>300.24399999999997</c:v>
                </c:pt>
                <c:pt idx="101">
                  <c:v>258.71299999999997</c:v>
                </c:pt>
                <c:pt idx="102">
                  <c:v>292.21699999999998</c:v>
                </c:pt>
                <c:pt idx="103">
                  <c:v>216.833</c:v>
                </c:pt>
                <c:pt idx="104">
                  <c:v>286.63299999999998</c:v>
                </c:pt>
                <c:pt idx="105">
                  <c:v>297.80099999999999</c:v>
                </c:pt>
                <c:pt idx="106">
                  <c:v>279.65299999999996</c:v>
                </c:pt>
                <c:pt idx="107">
                  <c:v>279.65299999999996</c:v>
                </c:pt>
                <c:pt idx="108">
                  <c:v>276.86099999999999</c:v>
                </c:pt>
                <c:pt idx="109">
                  <c:v>267.089</c:v>
                </c:pt>
                <c:pt idx="110">
                  <c:v>265.69299999999998</c:v>
                </c:pt>
                <c:pt idx="111">
                  <c:v>239.16899999999998</c:v>
                </c:pt>
                <c:pt idx="112">
                  <c:v>261.505</c:v>
                </c:pt>
                <c:pt idx="113">
                  <c:v>275.46499999999997</c:v>
                </c:pt>
                <c:pt idx="114">
                  <c:v>271.97499999999997</c:v>
                </c:pt>
                <c:pt idx="115">
                  <c:v>269.88099999999997</c:v>
                </c:pt>
                <c:pt idx="116">
                  <c:v>276.512</c:v>
                </c:pt>
                <c:pt idx="117">
                  <c:v>244.75299999999999</c:v>
                </c:pt>
                <c:pt idx="118">
                  <c:v>274.06899999999996</c:v>
                </c:pt>
                <c:pt idx="119">
                  <c:v>269.53199999999998</c:v>
                </c:pt>
                <c:pt idx="120">
                  <c:v>272.673</c:v>
                </c:pt>
                <c:pt idx="121">
                  <c:v>268.48499999999996</c:v>
                </c:pt>
                <c:pt idx="122">
                  <c:v>278.25700000000001</c:v>
                </c:pt>
                <c:pt idx="123">
                  <c:v>269.53199999999998</c:v>
                </c:pt>
                <c:pt idx="124">
                  <c:v>274.06899999999996</c:v>
                </c:pt>
                <c:pt idx="125">
                  <c:v>250.33699999999999</c:v>
                </c:pt>
                <c:pt idx="126">
                  <c:v>268.48499999999996</c:v>
                </c:pt>
                <c:pt idx="127">
                  <c:v>257.31700000000001</c:v>
                </c:pt>
                <c:pt idx="128">
                  <c:v>274.06899999999996</c:v>
                </c:pt>
                <c:pt idx="129">
                  <c:v>269.88099999999997</c:v>
                </c:pt>
                <c:pt idx="130">
                  <c:v>282.44499999999999</c:v>
                </c:pt>
                <c:pt idx="131">
                  <c:v>270.928</c:v>
                </c:pt>
                <c:pt idx="132">
                  <c:v>269.53199999999998</c:v>
                </c:pt>
                <c:pt idx="133">
                  <c:v>257.31700000000001</c:v>
                </c:pt>
                <c:pt idx="134">
                  <c:v>270.928</c:v>
                </c:pt>
                <c:pt idx="135">
                  <c:v>260.10899999999998</c:v>
                </c:pt>
                <c:pt idx="136">
                  <c:v>255.92099999999999</c:v>
                </c:pt>
                <c:pt idx="137">
                  <c:v>244.75299999999999</c:v>
                </c:pt>
                <c:pt idx="138">
                  <c:v>265.69299999999998</c:v>
                </c:pt>
                <c:pt idx="139">
                  <c:v>260.10899999999998</c:v>
                </c:pt>
                <c:pt idx="140">
                  <c:v>276.16299999999995</c:v>
                </c:pt>
                <c:pt idx="141">
                  <c:v>253.12899999999999</c:v>
                </c:pt>
                <c:pt idx="142">
                  <c:v>258.71299999999997</c:v>
                </c:pt>
                <c:pt idx="143">
                  <c:v>254.52499999999998</c:v>
                </c:pt>
                <c:pt idx="144">
                  <c:v>233.58499999999998</c:v>
                </c:pt>
                <c:pt idx="145">
                  <c:v>223.81299999999999</c:v>
                </c:pt>
                <c:pt idx="146">
                  <c:v>241.96099999999998</c:v>
                </c:pt>
                <c:pt idx="147">
                  <c:v>262.90100000000001</c:v>
                </c:pt>
                <c:pt idx="148">
                  <c:v>267.089</c:v>
                </c:pt>
                <c:pt idx="149">
                  <c:v>257.31700000000001</c:v>
                </c:pt>
                <c:pt idx="150">
                  <c:v>253.12899999999999</c:v>
                </c:pt>
                <c:pt idx="151">
                  <c:v>300.59299999999996</c:v>
                </c:pt>
                <c:pt idx="152">
                  <c:v>274.06899999999996</c:v>
                </c:pt>
                <c:pt idx="153">
                  <c:v>281.04899999999998</c:v>
                </c:pt>
                <c:pt idx="154">
                  <c:v>272.673</c:v>
                </c:pt>
                <c:pt idx="155">
                  <c:v>289.07599999999996</c:v>
                </c:pt>
                <c:pt idx="156">
                  <c:v>289.42499999999995</c:v>
                </c:pt>
                <c:pt idx="157">
                  <c:v>290.47199999999998</c:v>
                </c:pt>
                <c:pt idx="158">
                  <c:v>278.25700000000001</c:v>
                </c:pt>
                <c:pt idx="159">
                  <c:v>272.32399999999996</c:v>
                </c:pt>
                <c:pt idx="160">
                  <c:v>276.512</c:v>
                </c:pt>
                <c:pt idx="161">
                  <c:v>265.69299999999998</c:v>
                </c:pt>
                <c:pt idx="162">
                  <c:v>266.39099999999996</c:v>
                </c:pt>
                <c:pt idx="163">
                  <c:v>260.10899999999998</c:v>
                </c:pt>
                <c:pt idx="164">
                  <c:v>262.90100000000001</c:v>
                </c:pt>
                <c:pt idx="165">
                  <c:v>262.90100000000001</c:v>
                </c:pt>
                <c:pt idx="166">
                  <c:v>255.92099999999999</c:v>
                </c:pt>
                <c:pt idx="167">
                  <c:v>276.86099999999999</c:v>
                </c:pt>
                <c:pt idx="168">
                  <c:v>244.75299999999999</c:v>
                </c:pt>
                <c:pt idx="169">
                  <c:v>250.33699999999999</c:v>
                </c:pt>
                <c:pt idx="170">
                  <c:v>241.96099999999998</c:v>
                </c:pt>
                <c:pt idx="171">
                  <c:v>282.096</c:v>
                </c:pt>
                <c:pt idx="172">
                  <c:v>288.029</c:v>
                </c:pt>
                <c:pt idx="173">
                  <c:v>292.21699999999998</c:v>
                </c:pt>
                <c:pt idx="174">
                  <c:v>299.197</c:v>
                </c:pt>
                <c:pt idx="175">
                  <c:v>236.37699999999998</c:v>
                </c:pt>
                <c:pt idx="176">
                  <c:v>241.96099999999998</c:v>
                </c:pt>
                <c:pt idx="177">
                  <c:v>283.84100000000001</c:v>
                </c:pt>
                <c:pt idx="178">
                  <c:v>212.64499999999998</c:v>
                </c:pt>
                <c:pt idx="179">
                  <c:v>230.79299999999998</c:v>
                </c:pt>
                <c:pt idx="180">
                  <c:v>257.31700000000001</c:v>
                </c:pt>
                <c:pt idx="181">
                  <c:v>275.11599999999999</c:v>
                </c:pt>
                <c:pt idx="182">
                  <c:v>205.66499999999999</c:v>
                </c:pt>
                <c:pt idx="183">
                  <c:v>243.35699999999997</c:v>
                </c:pt>
                <c:pt idx="184">
                  <c:v>233.58499999999998</c:v>
                </c:pt>
                <c:pt idx="185">
                  <c:v>221.02099999999999</c:v>
                </c:pt>
                <c:pt idx="186">
                  <c:v>208.45699999999999</c:v>
                </c:pt>
                <c:pt idx="187">
                  <c:v>225.20899999999997</c:v>
                </c:pt>
                <c:pt idx="188">
                  <c:v>244.75299999999999</c:v>
                </c:pt>
                <c:pt idx="189">
                  <c:v>260.80699999999996</c:v>
                </c:pt>
                <c:pt idx="190">
                  <c:v>267.089</c:v>
                </c:pt>
                <c:pt idx="191">
                  <c:v>268.48499999999996</c:v>
                </c:pt>
                <c:pt idx="192">
                  <c:v>191.70499999999998</c:v>
                </c:pt>
                <c:pt idx="193">
                  <c:v>194.49699999999999</c:v>
                </c:pt>
                <c:pt idx="194">
                  <c:v>181.93299999999999</c:v>
                </c:pt>
                <c:pt idx="195">
                  <c:v>194.49699999999999</c:v>
                </c:pt>
                <c:pt idx="196">
                  <c:v>212.64499999999998</c:v>
                </c:pt>
                <c:pt idx="197">
                  <c:v>264.29699999999997</c:v>
                </c:pt>
                <c:pt idx="198">
                  <c:v>195.893</c:v>
                </c:pt>
                <c:pt idx="199">
                  <c:v>236.37699999999998</c:v>
                </c:pt>
                <c:pt idx="200">
                  <c:v>244.75299999999999</c:v>
                </c:pt>
                <c:pt idx="201">
                  <c:v>289.42499999999995</c:v>
                </c:pt>
                <c:pt idx="202">
                  <c:v>274.767</c:v>
                </c:pt>
                <c:pt idx="203">
                  <c:v>249.63899999999998</c:v>
                </c:pt>
                <c:pt idx="204">
                  <c:v>246.14899999999997</c:v>
                </c:pt>
                <c:pt idx="205">
                  <c:v>221.02099999999999</c:v>
                </c:pt>
                <c:pt idx="206">
                  <c:v>290.82099999999997</c:v>
                </c:pt>
                <c:pt idx="207">
                  <c:v>283.84100000000001</c:v>
                </c:pt>
                <c:pt idx="208">
                  <c:v>236.37699999999998</c:v>
                </c:pt>
                <c:pt idx="209">
                  <c:v>278.25700000000001</c:v>
                </c:pt>
                <c:pt idx="210">
                  <c:v>232.18899999999999</c:v>
                </c:pt>
                <c:pt idx="211">
                  <c:v>236.37699999999998</c:v>
                </c:pt>
                <c:pt idx="212">
                  <c:v>233.58499999999998</c:v>
                </c:pt>
                <c:pt idx="213">
                  <c:v>251.73299999999998</c:v>
                </c:pt>
                <c:pt idx="214">
                  <c:v>261.505</c:v>
                </c:pt>
                <c:pt idx="215">
                  <c:v>270.57900000000001</c:v>
                </c:pt>
                <c:pt idx="216">
                  <c:v>247.54499999999999</c:v>
                </c:pt>
                <c:pt idx="217">
                  <c:v>226.60499999999999</c:v>
                </c:pt>
                <c:pt idx="218">
                  <c:v>247.54499999999999</c:v>
                </c:pt>
                <c:pt idx="219">
                  <c:v>223.11499999999998</c:v>
                </c:pt>
                <c:pt idx="220">
                  <c:v>236.37699999999998</c:v>
                </c:pt>
                <c:pt idx="221">
                  <c:v>236.37699999999998</c:v>
                </c:pt>
                <c:pt idx="222">
                  <c:v>228.00099999999998</c:v>
                </c:pt>
                <c:pt idx="223">
                  <c:v>264.29699999999997</c:v>
                </c:pt>
                <c:pt idx="224">
                  <c:v>277.90799999999996</c:v>
                </c:pt>
                <c:pt idx="225">
                  <c:v>270.928</c:v>
                </c:pt>
                <c:pt idx="226">
                  <c:v>267.089</c:v>
                </c:pt>
                <c:pt idx="227">
                  <c:v>275.46499999999997</c:v>
                </c:pt>
                <c:pt idx="228">
                  <c:v>265.69299999999998</c:v>
                </c:pt>
                <c:pt idx="229">
                  <c:v>223.81299999999999</c:v>
                </c:pt>
                <c:pt idx="230">
                  <c:v>230.095</c:v>
                </c:pt>
                <c:pt idx="231">
                  <c:v>261.505</c:v>
                </c:pt>
                <c:pt idx="232">
                  <c:v>214.041</c:v>
                </c:pt>
                <c:pt idx="233">
                  <c:v>234.98099999999999</c:v>
                </c:pt>
                <c:pt idx="234">
                  <c:v>211.94699999999997</c:v>
                </c:pt>
                <c:pt idx="235">
                  <c:v>209.85299999999998</c:v>
                </c:pt>
                <c:pt idx="236">
                  <c:v>246.14899999999997</c:v>
                </c:pt>
                <c:pt idx="237">
                  <c:v>240.565</c:v>
                </c:pt>
                <c:pt idx="238">
                  <c:v>232.18899999999999</c:v>
                </c:pt>
                <c:pt idx="239">
                  <c:v>242.65899999999999</c:v>
                </c:pt>
                <c:pt idx="240">
                  <c:v>239.86699999999999</c:v>
                </c:pt>
                <c:pt idx="241">
                  <c:v>233.58499999999998</c:v>
                </c:pt>
                <c:pt idx="242">
                  <c:v>240.565</c:v>
                </c:pt>
                <c:pt idx="243">
                  <c:v>246.14899999999997</c:v>
                </c:pt>
                <c:pt idx="244">
                  <c:v>257.31700000000001</c:v>
                </c:pt>
                <c:pt idx="245">
                  <c:v>22.788999999999998</c:v>
                </c:pt>
                <c:pt idx="246">
                  <c:v>274.06899999999996</c:v>
                </c:pt>
                <c:pt idx="247">
                  <c:v>291.86799999999999</c:v>
                </c:pt>
                <c:pt idx="248">
                  <c:v>283.84100000000001</c:v>
                </c:pt>
                <c:pt idx="249">
                  <c:v>291.86799999999999</c:v>
                </c:pt>
                <c:pt idx="250">
                  <c:v>289.42499999999995</c:v>
                </c:pt>
                <c:pt idx="253">
                  <c:v>278.25700000000001</c:v>
                </c:pt>
                <c:pt idx="254">
                  <c:v>294.31099999999998</c:v>
                </c:pt>
                <c:pt idx="255">
                  <c:v>296.05599999999998</c:v>
                </c:pt>
                <c:pt idx="256">
                  <c:v>293.26399999999995</c:v>
                </c:pt>
                <c:pt idx="257">
                  <c:v>294.65999999999997</c:v>
                </c:pt>
                <c:pt idx="258">
                  <c:v>290.47199999999998</c:v>
                </c:pt>
                <c:pt idx="259">
                  <c:v>297.452</c:v>
                </c:pt>
                <c:pt idx="260">
                  <c:v>289.42499999999995</c:v>
                </c:pt>
                <c:pt idx="261">
                  <c:v>278.25700000000001</c:v>
                </c:pt>
                <c:pt idx="262">
                  <c:v>280.351</c:v>
                </c:pt>
                <c:pt idx="263">
                  <c:v>274.06899999999996</c:v>
                </c:pt>
                <c:pt idx="264">
                  <c:v>271.27699999999999</c:v>
                </c:pt>
                <c:pt idx="265">
                  <c:v>277.55899999999997</c:v>
                </c:pt>
                <c:pt idx="266">
                  <c:v>278.25700000000001</c:v>
                </c:pt>
                <c:pt idx="267">
                  <c:v>279.65299999999996</c:v>
                </c:pt>
                <c:pt idx="268">
                  <c:v>268.48499999999996</c:v>
                </c:pt>
                <c:pt idx="269">
                  <c:v>265.69299999999998</c:v>
                </c:pt>
                <c:pt idx="270">
                  <c:v>268.48499999999996</c:v>
                </c:pt>
                <c:pt idx="271">
                  <c:v>262.20299999999997</c:v>
                </c:pt>
                <c:pt idx="272">
                  <c:v>232.18899999999999</c:v>
                </c:pt>
                <c:pt idx="273">
                  <c:v>223.81299999999999</c:v>
                </c:pt>
                <c:pt idx="274">
                  <c:v>208.45699999999999</c:v>
                </c:pt>
                <c:pt idx="275">
                  <c:v>216.833</c:v>
                </c:pt>
                <c:pt idx="276">
                  <c:v>226.60499999999999</c:v>
                </c:pt>
                <c:pt idx="277">
                  <c:v>269.88099999999997</c:v>
                </c:pt>
                <c:pt idx="278">
                  <c:v>275.11599999999999</c:v>
                </c:pt>
                <c:pt idx="279">
                  <c:v>283.84100000000001</c:v>
                </c:pt>
                <c:pt idx="280">
                  <c:v>288.029</c:v>
                </c:pt>
                <c:pt idx="281">
                  <c:v>306.17699999999996</c:v>
                </c:pt>
                <c:pt idx="282">
                  <c:v>308.62</c:v>
                </c:pt>
                <c:pt idx="283">
                  <c:v>305.82799999999997</c:v>
                </c:pt>
                <c:pt idx="284">
                  <c:v>291.86799999999999</c:v>
                </c:pt>
                <c:pt idx="285">
                  <c:v>284.88799999999998</c:v>
                </c:pt>
                <c:pt idx="286">
                  <c:v>285.23699999999997</c:v>
                </c:pt>
                <c:pt idx="287">
                  <c:v>275.11599999999999</c:v>
                </c:pt>
                <c:pt idx="288">
                  <c:v>288.029</c:v>
                </c:pt>
                <c:pt idx="289">
                  <c:v>293.613</c:v>
                </c:pt>
                <c:pt idx="290">
                  <c:v>293.26399999999995</c:v>
                </c:pt>
                <c:pt idx="291">
                  <c:v>296.05599999999998</c:v>
                </c:pt>
                <c:pt idx="292">
                  <c:v>284.88799999999998</c:v>
                </c:pt>
                <c:pt idx="293">
                  <c:v>296.40499999999997</c:v>
                </c:pt>
                <c:pt idx="294">
                  <c:v>290.82099999999997</c:v>
                </c:pt>
                <c:pt idx="295">
                  <c:v>295.00899999999996</c:v>
                </c:pt>
                <c:pt idx="296">
                  <c:v>294.31099999999998</c:v>
                </c:pt>
                <c:pt idx="297">
                  <c:v>290.82099999999997</c:v>
                </c:pt>
                <c:pt idx="298">
                  <c:v>299.197</c:v>
                </c:pt>
                <c:pt idx="299">
                  <c:v>291.51900000000001</c:v>
                </c:pt>
                <c:pt idx="300">
                  <c:v>295.00899999999996</c:v>
                </c:pt>
                <c:pt idx="301">
                  <c:v>300.24399999999997</c:v>
                </c:pt>
                <c:pt idx="302">
                  <c:v>293.613</c:v>
                </c:pt>
                <c:pt idx="303">
                  <c:v>303.38499999999999</c:v>
                </c:pt>
                <c:pt idx="304">
                  <c:v>301.64</c:v>
                </c:pt>
                <c:pt idx="305">
                  <c:v>299.197</c:v>
                </c:pt>
                <c:pt idx="306">
                  <c:v>303.036</c:v>
                </c:pt>
                <c:pt idx="307">
                  <c:v>307.57299999999998</c:v>
                </c:pt>
                <c:pt idx="308">
                  <c:v>305.47899999999998</c:v>
                </c:pt>
                <c:pt idx="309">
                  <c:v>305.82799999999997</c:v>
                </c:pt>
                <c:pt idx="310">
                  <c:v>307.22399999999999</c:v>
                </c:pt>
                <c:pt idx="311">
                  <c:v>308.62</c:v>
                </c:pt>
                <c:pt idx="312">
                  <c:v>310.01599999999996</c:v>
                </c:pt>
                <c:pt idx="313">
                  <c:v>308.96899999999999</c:v>
                </c:pt>
                <c:pt idx="314">
                  <c:v>311.41199999999998</c:v>
                </c:pt>
                <c:pt idx="315">
                  <c:v>308.96899999999999</c:v>
                </c:pt>
                <c:pt idx="316">
                  <c:v>311.76099999999997</c:v>
                </c:pt>
                <c:pt idx="317">
                  <c:v>310.36499999999995</c:v>
                </c:pt>
                <c:pt idx="318">
                  <c:v>308.27099999999996</c:v>
                </c:pt>
                <c:pt idx="319">
                  <c:v>308.62</c:v>
                </c:pt>
                <c:pt idx="320">
                  <c:v>308.96899999999999</c:v>
                </c:pt>
                <c:pt idx="321">
                  <c:v>304.78100000000001</c:v>
                </c:pt>
                <c:pt idx="322">
                  <c:v>305.47899999999998</c:v>
                </c:pt>
                <c:pt idx="323">
                  <c:v>303.38499999999999</c:v>
                </c:pt>
                <c:pt idx="324">
                  <c:v>305.82799999999997</c:v>
                </c:pt>
                <c:pt idx="325">
                  <c:v>303.38499999999999</c:v>
                </c:pt>
                <c:pt idx="326">
                  <c:v>301.64</c:v>
                </c:pt>
                <c:pt idx="327">
                  <c:v>299.197</c:v>
                </c:pt>
                <c:pt idx="328">
                  <c:v>299.197</c:v>
                </c:pt>
                <c:pt idx="329">
                  <c:v>297.452</c:v>
                </c:pt>
                <c:pt idx="330">
                  <c:v>290.82099999999997</c:v>
                </c:pt>
                <c:pt idx="331">
                  <c:v>296.05599999999998</c:v>
                </c:pt>
                <c:pt idx="332">
                  <c:v>275.11599999999999</c:v>
                </c:pt>
                <c:pt idx="333">
                  <c:v>283.84100000000001</c:v>
                </c:pt>
                <c:pt idx="334">
                  <c:v>279.30399999999997</c:v>
                </c:pt>
                <c:pt idx="335">
                  <c:v>265.69299999999998</c:v>
                </c:pt>
                <c:pt idx="336">
                  <c:v>264.29699999999997</c:v>
                </c:pt>
                <c:pt idx="337">
                  <c:v>286.63299999999998</c:v>
                </c:pt>
                <c:pt idx="338">
                  <c:v>281.04899999999998</c:v>
                </c:pt>
                <c:pt idx="339">
                  <c:v>234.98099999999999</c:v>
                </c:pt>
                <c:pt idx="340">
                  <c:v>236.37699999999998</c:v>
                </c:pt>
                <c:pt idx="341">
                  <c:v>202.87299999999999</c:v>
                </c:pt>
                <c:pt idx="342">
                  <c:v>253.12899999999999</c:v>
                </c:pt>
                <c:pt idx="343">
                  <c:v>239.16899999999998</c:v>
                </c:pt>
                <c:pt idx="344">
                  <c:v>247.54499999999999</c:v>
                </c:pt>
                <c:pt idx="345">
                  <c:v>209.85299999999998</c:v>
                </c:pt>
                <c:pt idx="346">
                  <c:v>269.53199999999998</c:v>
                </c:pt>
                <c:pt idx="347">
                  <c:v>276.86099999999999</c:v>
                </c:pt>
                <c:pt idx="348">
                  <c:v>269.18299999999999</c:v>
                </c:pt>
                <c:pt idx="349">
                  <c:v>271.27699999999999</c:v>
                </c:pt>
                <c:pt idx="350">
                  <c:v>265.69299999999998</c:v>
                </c:pt>
                <c:pt idx="351">
                  <c:v>275.46499999999997</c:v>
                </c:pt>
                <c:pt idx="352">
                  <c:v>269.88099999999997</c:v>
                </c:pt>
                <c:pt idx="353">
                  <c:v>288.029</c:v>
                </c:pt>
                <c:pt idx="354">
                  <c:v>281.04899999999998</c:v>
                </c:pt>
                <c:pt idx="355">
                  <c:v>269.88099999999997</c:v>
                </c:pt>
                <c:pt idx="356">
                  <c:v>283.84100000000001</c:v>
                </c:pt>
                <c:pt idx="357">
                  <c:v>261.505</c:v>
                </c:pt>
                <c:pt idx="358">
                  <c:v>267.089</c:v>
                </c:pt>
                <c:pt idx="359">
                  <c:v>271.97499999999997</c:v>
                </c:pt>
                <c:pt idx="360">
                  <c:v>278.25700000000001</c:v>
                </c:pt>
                <c:pt idx="361">
                  <c:v>262.90100000000001</c:v>
                </c:pt>
                <c:pt idx="362">
                  <c:v>276.86099999999999</c:v>
                </c:pt>
                <c:pt idx="363">
                  <c:v>268.48499999999996</c:v>
                </c:pt>
                <c:pt idx="364">
                  <c:v>268.48499999999996</c:v>
                </c:pt>
                <c:pt idx="365">
                  <c:v>261.505</c:v>
                </c:pt>
                <c:pt idx="366">
                  <c:v>272.32399999999996</c:v>
                </c:pt>
                <c:pt idx="367">
                  <c:v>271.27699999999999</c:v>
                </c:pt>
                <c:pt idx="368">
                  <c:v>272.32399999999996</c:v>
                </c:pt>
                <c:pt idx="369">
                  <c:v>275.11599999999999</c:v>
                </c:pt>
                <c:pt idx="370">
                  <c:v>289.42499999999995</c:v>
                </c:pt>
                <c:pt idx="371">
                  <c:v>288.029</c:v>
                </c:pt>
                <c:pt idx="372">
                  <c:v>293.613</c:v>
                </c:pt>
                <c:pt idx="373">
                  <c:v>306.17699999999996</c:v>
                </c:pt>
                <c:pt idx="374">
                  <c:v>298.49899999999997</c:v>
                </c:pt>
                <c:pt idx="375">
                  <c:v>304.43199999999996</c:v>
                </c:pt>
                <c:pt idx="376">
                  <c:v>285.23699999999997</c:v>
                </c:pt>
                <c:pt idx="377">
                  <c:v>284.88799999999998</c:v>
                </c:pt>
                <c:pt idx="378">
                  <c:v>293.613</c:v>
                </c:pt>
                <c:pt idx="379">
                  <c:v>296.05599999999998</c:v>
                </c:pt>
                <c:pt idx="380">
                  <c:v>300.59299999999996</c:v>
                </c:pt>
                <c:pt idx="381">
                  <c:v>305.82799999999997</c:v>
                </c:pt>
                <c:pt idx="382">
                  <c:v>311.76099999999997</c:v>
                </c:pt>
                <c:pt idx="383">
                  <c:v>316.99599999999998</c:v>
                </c:pt>
                <c:pt idx="384">
                  <c:v>300.59299999999996</c:v>
                </c:pt>
                <c:pt idx="385">
                  <c:v>300.59299999999996</c:v>
                </c:pt>
                <c:pt idx="386">
                  <c:v>296.40499999999997</c:v>
                </c:pt>
                <c:pt idx="387">
                  <c:v>310.36499999999995</c:v>
                </c:pt>
                <c:pt idx="388">
                  <c:v>310.36499999999995</c:v>
                </c:pt>
                <c:pt idx="389">
                  <c:v>310.36499999999995</c:v>
                </c:pt>
                <c:pt idx="390">
                  <c:v>297.452</c:v>
                </c:pt>
                <c:pt idx="391">
                  <c:v>289.42499999999995</c:v>
                </c:pt>
                <c:pt idx="392">
                  <c:v>292.21699999999998</c:v>
                </c:pt>
                <c:pt idx="393">
                  <c:v>311.41199999999998</c:v>
                </c:pt>
                <c:pt idx="394">
                  <c:v>313.15699999999998</c:v>
                </c:pt>
                <c:pt idx="395">
                  <c:v>312.80799999999999</c:v>
                </c:pt>
                <c:pt idx="396">
                  <c:v>315.94899999999996</c:v>
                </c:pt>
                <c:pt idx="397">
                  <c:v>316.64699999999999</c:v>
                </c:pt>
                <c:pt idx="398">
                  <c:v>314.553</c:v>
                </c:pt>
                <c:pt idx="399">
                  <c:v>314.553</c:v>
                </c:pt>
                <c:pt idx="400">
                  <c:v>321.53299999999996</c:v>
                </c:pt>
                <c:pt idx="401">
                  <c:v>322.92899999999997</c:v>
                </c:pt>
                <c:pt idx="402">
                  <c:v>322.92899999999997</c:v>
                </c:pt>
                <c:pt idx="403">
                  <c:v>322.58</c:v>
                </c:pt>
                <c:pt idx="404">
                  <c:v>323.976</c:v>
                </c:pt>
                <c:pt idx="405">
                  <c:v>324.32499999999999</c:v>
                </c:pt>
                <c:pt idx="406">
                  <c:v>324.32499999999999</c:v>
                </c:pt>
                <c:pt idx="407">
                  <c:v>324.32499999999999</c:v>
                </c:pt>
                <c:pt idx="408">
                  <c:v>325.721</c:v>
                </c:pt>
                <c:pt idx="409">
                  <c:v>325.721</c:v>
                </c:pt>
                <c:pt idx="410">
                  <c:v>325.721</c:v>
                </c:pt>
                <c:pt idx="411">
                  <c:v>327.11699999999996</c:v>
                </c:pt>
                <c:pt idx="412">
                  <c:v>326.76799999999997</c:v>
                </c:pt>
                <c:pt idx="413">
                  <c:v>326.76799999999997</c:v>
                </c:pt>
                <c:pt idx="414">
                  <c:v>326.76799999999997</c:v>
                </c:pt>
                <c:pt idx="415">
                  <c:v>326.76799999999997</c:v>
                </c:pt>
                <c:pt idx="416">
                  <c:v>327.11699999999996</c:v>
                </c:pt>
                <c:pt idx="417">
                  <c:v>327.11699999999996</c:v>
                </c:pt>
                <c:pt idx="418">
                  <c:v>327.11699999999996</c:v>
                </c:pt>
                <c:pt idx="419">
                  <c:v>326.41899999999998</c:v>
                </c:pt>
                <c:pt idx="420">
                  <c:v>325.721</c:v>
                </c:pt>
                <c:pt idx="421">
                  <c:v>323.976</c:v>
                </c:pt>
                <c:pt idx="422">
                  <c:v>320.137</c:v>
                </c:pt>
                <c:pt idx="423">
                  <c:v>315.25099999999998</c:v>
                </c:pt>
                <c:pt idx="424">
                  <c:v>306.875</c:v>
                </c:pt>
                <c:pt idx="425">
                  <c:v>314.553</c:v>
                </c:pt>
                <c:pt idx="426">
                  <c:v>314.20399999999995</c:v>
                </c:pt>
                <c:pt idx="427">
                  <c:v>304.78100000000001</c:v>
                </c:pt>
                <c:pt idx="428">
                  <c:v>299.197</c:v>
                </c:pt>
                <c:pt idx="429">
                  <c:v>295.00899999999996</c:v>
                </c:pt>
                <c:pt idx="430">
                  <c:v>311.41199999999998</c:v>
                </c:pt>
                <c:pt idx="431">
                  <c:v>310.36499999999995</c:v>
                </c:pt>
                <c:pt idx="432">
                  <c:v>320.137</c:v>
                </c:pt>
                <c:pt idx="433">
                  <c:v>300.59299999999996</c:v>
                </c:pt>
                <c:pt idx="434">
                  <c:v>308.96899999999999</c:v>
                </c:pt>
                <c:pt idx="435">
                  <c:v>313.15699999999998</c:v>
                </c:pt>
                <c:pt idx="436">
                  <c:v>315.94899999999996</c:v>
                </c:pt>
                <c:pt idx="437">
                  <c:v>268.48499999999996</c:v>
                </c:pt>
                <c:pt idx="438">
                  <c:v>294.65999999999997</c:v>
                </c:pt>
                <c:pt idx="439">
                  <c:v>298.84799999999996</c:v>
                </c:pt>
                <c:pt idx="440">
                  <c:v>280.7</c:v>
                </c:pt>
                <c:pt idx="441">
                  <c:v>289.42499999999995</c:v>
                </c:pt>
                <c:pt idx="442">
                  <c:v>241.96099999999998</c:v>
                </c:pt>
                <c:pt idx="443">
                  <c:v>254.52499999999998</c:v>
                </c:pt>
                <c:pt idx="444">
                  <c:v>171.11399999999998</c:v>
                </c:pt>
                <c:pt idx="445">
                  <c:v>152.268</c:v>
                </c:pt>
                <c:pt idx="446">
                  <c:v>201.47699999999998</c:v>
                </c:pt>
                <c:pt idx="447">
                  <c:v>178.792</c:v>
                </c:pt>
                <c:pt idx="448">
                  <c:v>208.45699999999999</c:v>
                </c:pt>
                <c:pt idx="449">
                  <c:v>197.28899999999999</c:v>
                </c:pt>
                <c:pt idx="450">
                  <c:v>219.62499999999997</c:v>
                </c:pt>
                <c:pt idx="451">
                  <c:v>268.48499999999996</c:v>
                </c:pt>
                <c:pt idx="452">
                  <c:v>251.73299999999998</c:v>
                </c:pt>
                <c:pt idx="453">
                  <c:v>200.779</c:v>
                </c:pt>
                <c:pt idx="454">
                  <c:v>230.79299999999998</c:v>
                </c:pt>
                <c:pt idx="455">
                  <c:v>210.55099999999999</c:v>
                </c:pt>
                <c:pt idx="456">
                  <c:v>258.71299999999997</c:v>
                </c:pt>
                <c:pt idx="457">
                  <c:v>264.995</c:v>
                </c:pt>
                <c:pt idx="458">
                  <c:v>273.71999999999997</c:v>
                </c:pt>
                <c:pt idx="459">
                  <c:v>285.23699999999997</c:v>
                </c:pt>
                <c:pt idx="460">
                  <c:v>262.20299999999997</c:v>
                </c:pt>
                <c:pt idx="461">
                  <c:v>267.089</c:v>
                </c:pt>
                <c:pt idx="462">
                  <c:v>221.02099999999999</c:v>
                </c:pt>
                <c:pt idx="463">
                  <c:v>232.18899999999999</c:v>
                </c:pt>
                <c:pt idx="464">
                  <c:v>243.35699999999997</c:v>
                </c:pt>
                <c:pt idx="465">
                  <c:v>253.12899999999999</c:v>
                </c:pt>
                <c:pt idx="466">
                  <c:v>268.48499999999996</c:v>
                </c:pt>
                <c:pt idx="467">
                  <c:v>246.14899999999997</c:v>
                </c:pt>
                <c:pt idx="468">
                  <c:v>264.29699999999997</c:v>
                </c:pt>
                <c:pt idx="469">
                  <c:v>244.75299999999999</c:v>
                </c:pt>
                <c:pt idx="470">
                  <c:v>251.73299999999998</c:v>
                </c:pt>
                <c:pt idx="471">
                  <c:v>240.565</c:v>
                </c:pt>
                <c:pt idx="472">
                  <c:v>255.92099999999999</c:v>
                </c:pt>
                <c:pt idx="473">
                  <c:v>251.73299999999998</c:v>
                </c:pt>
                <c:pt idx="474">
                  <c:v>246.14899999999997</c:v>
                </c:pt>
                <c:pt idx="475">
                  <c:v>239.16899999999998</c:v>
                </c:pt>
                <c:pt idx="476">
                  <c:v>230.79299999999998</c:v>
                </c:pt>
                <c:pt idx="477">
                  <c:v>228.00099999999998</c:v>
                </c:pt>
                <c:pt idx="478">
                  <c:v>197.28899999999999</c:v>
                </c:pt>
                <c:pt idx="479">
                  <c:v>228.00099999999998</c:v>
                </c:pt>
                <c:pt idx="480">
                  <c:v>260.10899999999998</c:v>
                </c:pt>
                <c:pt idx="481">
                  <c:v>246.14899999999997</c:v>
                </c:pt>
                <c:pt idx="482">
                  <c:v>244.75299999999999</c:v>
                </c:pt>
                <c:pt idx="487">
                  <c:v>204.26899999999998</c:v>
                </c:pt>
                <c:pt idx="488">
                  <c:v>196.59099999999998</c:v>
                </c:pt>
                <c:pt idx="489">
                  <c:v>212.64499999999998</c:v>
                </c:pt>
                <c:pt idx="490">
                  <c:v>187.517</c:v>
                </c:pt>
                <c:pt idx="491">
                  <c:v>201.47699999999998</c:v>
                </c:pt>
                <c:pt idx="492">
                  <c:v>218.22899999999998</c:v>
                </c:pt>
                <c:pt idx="493">
                  <c:v>223.81299999999999</c:v>
                </c:pt>
                <c:pt idx="494">
                  <c:v>232.18899999999999</c:v>
                </c:pt>
                <c:pt idx="495">
                  <c:v>244.75299999999999</c:v>
                </c:pt>
                <c:pt idx="496">
                  <c:v>236.37699999999998</c:v>
                </c:pt>
                <c:pt idx="497">
                  <c:v>241.96099999999998</c:v>
                </c:pt>
                <c:pt idx="498">
                  <c:v>239.16899999999998</c:v>
                </c:pt>
                <c:pt idx="499">
                  <c:v>239.16899999999998</c:v>
                </c:pt>
                <c:pt idx="500">
                  <c:v>233.58499999999998</c:v>
                </c:pt>
                <c:pt idx="501">
                  <c:v>233.58499999999998</c:v>
                </c:pt>
                <c:pt idx="502">
                  <c:v>219.62499999999997</c:v>
                </c:pt>
                <c:pt idx="503">
                  <c:v>239.16899999999998</c:v>
                </c:pt>
                <c:pt idx="504">
                  <c:v>234.98099999999999</c:v>
                </c:pt>
                <c:pt idx="505">
                  <c:v>216.833</c:v>
                </c:pt>
                <c:pt idx="506">
                  <c:v>239.16899999999998</c:v>
                </c:pt>
                <c:pt idx="507">
                  <c:v>253.82699999999997</c:v>
                </c:pt>
                <c:pt idx="508">
                  <c:v>251.73299999999998</c:v>
                </c:pt>
                <c:pt idx="509">
                  <c:v>237.773</c:v>
                </c:pt>
                <c:pt idx="510">
                  <c:v>237.773</c:v>
                </c:pt>
                <c:pt idx="511">
                  <c:v>258.71299999999997</c:v>
                </c:pt>
                <c:pt idx="512">
                  <c:v>244.75299999999999</c:v>
                </c:pt>
                <c:pt idx="513">
                  <c:v>278.25700000000001</c:v>
                </c:pt>
                <c:pt idx="514">
                  <c:v>272.32399999999996</c:v>
                </c:pt>
                <c:pt idx="515">
                  <c:v>278.25700000000001</c:v>
                </c:pt>
                <c:pt idx="516">
                  <c:v>279.30399999999997</c:v>
                </c:pt>
                <c:pt idx="517">
                  <c:v>251.73299999999998</c:v>
                </c:pt>
                <c:pt idx="518">
                  <c:v>269.88099999999997</c:v>
                </c:pt>
                <c:pt idx="519">
                  <c:v>248.94099999999997</c:v>
                </c:pt>
                <c:pt idx="520">
                  <c:v>244.75299999999999</c:v>
                </c:pt>
                <c:pt idx="521">
                  <c:v>247.54499999999999</c:v>
                </c:pt>
                <c:pt idx="522">
                  <c:v>244.75299999999999</c:v>
                </c:pt>
                <c:pt idx="523">
                  <c:v>260.10899999999998</c:v>
                </c:pt>
                <c:pt idx="524">
                  <c:v>272.673</c:v>
                </c:pt>
                <c:pt idx="525">
                  <c:v>261.505</c:v>
                </c:pt>
                <c:pt idx="526">
                  <c:v>277.90799999999996</c:v>
                </c:pt>
                <c:pt idx="527">
                  <c:v>274.06899999999996</c:v>
                </c:pt>
                <c:pt idx="528">
                  <c:v>264.29699999999997</c:v>
                </c:pt>
                <c:pt idx="529">
                  <c:v>251.73299999999998</c:v>
                </c:pt>
                <c:pt idx="530">
                  <c:v>265.69299999999998</c:v>
                </c:pt>
                <c:pt idx="531">
                  <c:v>277.90799999999996</c:v>
                </c:pt>
                <c:pt idx="532">
                  <c:v>286.63299999999998</c:v>
                </c:pt>
                <c:pt idx="533">
                  <c:v>269.53199999999998</c:v>
                </c:pt>
                <c:pt idx="534">
                  <c:v>264.29699999999997</c:v>
                </c:pt>
                <c:pt idx="535">
                  <c:v>250.33699999999999</c:v>
                </c:pt>
                <c:pt idx="536">
                  <c:v>258.71299999999997</c:v>
                </c:pt>
                <c:pt idx="537">
                  <c:v>264.29699999999997</c:v>
                </c:pt>
                <c:pt idx="538">
                  <c:v>241.96099999999998</c:v>
                </c:pt>
                <c:pt idx="539">
                  <c:v>237.07499999999999</c:v>
                </c:pt>
                <c:pt idx="540">
                  <c:v>243.35699999999997</c:v>
                </c:pt>
                <c:pt idx="541">
                  <c:v>246.14899999999997</c:v>
                </c:pt>
                <c:pt idx="542">
                  <c:v>234.98099999999999</c:v>
                </c:pt>
                <c:pt idx="543">
                  <c:v>258.71299999999997</c:v>
                </c:pt>
                <c:pt idx="544">
                  <c:v>251.73299999999998</c:v>
                </c:pt>
                <c:pt idx="545">
                  <c:v>265.69299999999998</c:v>
                </c:pt>
                <c:pt idx="546">
                  <c:v>261.505</c:v>
                </c:pt>
                <c:pt idx="547">
                  <c:v>271.27699999999999</c:v>
                </c:pt>
                <c:pt idx="548">
                  <c:v>300.59299999999996</c:v>
                </c:pt>
                <c:pt idx="549">
                  <c:v>311.76099999999997</c:v>
                </c:pt>
                <c:pt idx="550">
                  <c:v>313.15699999999998</c:v>
                </c:pt>
                <c:pt idx="551">
                  <c:v>313.15699999999998</c:v>
                </c:pt>
                <c:pt idx="552">
                  <c:v>313.85499999999996</c:v>
                </c:pt>
                <c:pt idx="553">
                  <c:v>314.20399999999995</c:v>
                </c:pt>
                <c:pt idx="554">
                  <c:v>306.17699999999996</c:v>
                </c:pt>
                <c:pt idx="555">
                  <c:v>283.14299999999997</c:v>
                </c:pt>
                <c:pt idx="556">
                  <c:v>225.20899999999997</c:v>
                </c:pt>
                <c:pt idx="557">
                  <c:v>246.14899999999997</c:v>
                </c:pt>
                <c:pt idx="558">
                  <c:v>233.58499999999998</c:v>
                </c:pt>
                <c:pt idx="559">
                  <c:v>233.58499999999998</c:v>
                </c:pt>
                <c:pt idx="560">
                  <c:v>223.81299999999999</c:v>
                </c:pt>
                <c:pt idx="561">
                  <c:v>253.12899999999999</c:v>
                </c:pt>
                <c:pt idx="562">
                  <c:v>262.90100000000001</c:v>
                </c:pt>
                <c:pt idx="563">
                  <c:v>260.10899999999998</c:v>
                </c:pt>
                <c:pt idx="564">
                  <c:v>265.69299999999998</c:v>
                </c:pt>
                <c:pt idx="565">
                  <c:v>248.94099999999997</c:v>
                </c:pt>
                <c:pt idx="566">
                  <c:v>267.089</c:v>
                </c:pt>
                <c:pt idx="567">
                  <c:v>258.71299999999997</c:v>
                </c:pt>
                <c:pt idx="568">
                  <c:v>250.33699999999999</c:v>
                </c:pt>
                <c:pt idx="569">
                  <c:v>268.48499999999996</c:v>
                </c:pt>
                <c:pt idx="570">
                  <c:v>296.05599999999998</c:v>
                </c:pt>
                <c:pt idx="571">
                  <c:v>278.25700000000001</c:v>
                </c:pt>
                <c:pt idx="572">
                  <c:v>283.84100000000001</c:v>
                </c:pt>
                <c:pt idx="573">
                  <c:v>272.673</c:v>
                </c:pt>
                <c:pt idx="574">
                  <c:v>276.86099999999999</c:v>
                </c:pt>
                <c:pt idx="575">
                  <c:v>269.18299999999999</c:v>
                </c:pt>
                <c:pt idx="584">
                  <c:v>253.82699999999997</c:v>
                </c:pt>
                <c:pt idx="585">
                  <c:v>261.505</c:v>
                </c:pt>
                <c:pt idx="586">
                  <c:v>265.69299999999998</c:v>
                </c:pt>
                <c:pt idx="587">
                  <c:v>221.71899999999999</c:v>
                </c:pt>
                <c:pt idx="588">
                  <c:v>260.10899999999998</c:v>
                </c:pt>
                <c:pt idx="589">
                  <c:v>257.31700000000001</c:v>
                </c:pt>
                <c:pt idx="590">
                  <c:v>248.94099999999997</c:v>
                </c:pt>
                <c:pt idx="591">
                  <c:v>261.505</c:v>
                </c:pt>
                <c:pt idx="592">
                  <c:v>241.96099999999998</c:v>
                </c:pt>
                <c:pt idx="593">
                  <c:v>261.505</c:v>
                </c:pt>
                <c:pt idx="594">
                  <c:v>238.47099999999998</c:v>
                </c:pt>
                <c:pt idx="595">
                  <c:v>229.39699999999999</c:v>
                </c:pt>
                <c:pt idx="596">
                  <c:v>207.75899999999999</c:v>
                </c:pt>
                <c:pt idx="597">
                  <c:v>215.43699999999998</c:v>
                </c:pt>
                <c:pt idx="598">
                  <c:v>234.98099999999999</c:v>
                </c:pt>
                <c:pt idx="599">
                  <c:v>232.18899999999999</c:v>
                </c:pt>
                <c:pt idx="600">
                  <c:v>223.81299999999999</c:v>
                </c:pt>
                <c:pt idx="601">
                  <c:v>224.511</c:v>
                </c:pt>
                <c:pt idx="602">
                  <c:v>222.41699999999997</c:v>
                </c:pt>
                <c:pt idx="603">
                  <c:v>223.81299999999999</c:v>
                </c:pt>
                <c:pt idx="604">
                  <c:v>201.47699999999998</c:v>
                </c:pt>
                <c:pt idx="605">
                  <c:v>229.39699999999999</c:v>
                </c:pt>
                <c:pt idx="606">
                  <c:v>275.46499999999997</c:v>
                </c:pt>
                <c:pt idx="607">
                  <c:v>286.63299999999998</c:v>
                </c:pt>
                <c:pt idx="608">
                  <c:v>269.88099999999997</c:v>
                </c:pt>
                <c:pt idx="609">
                  <c:v>258.71299999999997</c:v>
                </c:pt>
                <c:pt idx="610">
                  <c:v>261.505</c:v>
                </c:pt>
                <c:pt idx="611">
                  <c:v>281.04899999999998</c:v>
                </c:pt>
                <c:pt idx="612">
                  <c:v>264.29699999999997</c:v>
                </c:pt>
                <c:pt idx="613">
                  <c:v>292.21699999999998</c:v>
                </c:pt>
                <c:pt idx="614">
                  <c:v>289.42499999999995</c:v>
                </c:pt>
                <c:pt idx="615">
                  <c:v>257.31700000000001</c:v>
                </c:pt>
                <c:pt idx="616">
                  <c:v>282.44499999999999</c:v>
                </c:pt>
                <c:pt idx="617">
                  <c:v>281.04899999999998</c:v>
                </c:pt>
                <c:pt idx="618">
                  <c:v>225.20899999999997</c:v>
                </c:pt>
                <c:pt idx="619">
                  <c:v>216.833</c:v>
                </c:pt>
                <c:pt idx="620">
                  <c:v>241.96099999999998</c:v>
                </c:pt>
                <c:pt idx="621">
                  <c:v>246.14899999999997</c:v>
                </c:pt>
                <c:pt idx="622">
                  <c:v>207.06099999999998</c:v>
                </c:pt>
                <c:pt idx="623">
                  <c:v>194.49699999999999</c:v>
                </c:pt>
                <c:pt idx="624">
                  <c:v>211.249</c:v>
                </c:pt>
                <c:pt idx="625">
                  <c:v>214.041</c:v>
                </c:pt>
                <c:pt idx="626">
                  <c:v>219.62499999999997</c:v>
                </c:pt>
                <c:pt idx="627">
                  <c:v>213.34299999999999</c:v>
                </c:pt>
                <c:pt idx="628">
                  <c:v>212.64499999999998</c:v>
                </c:pt>
                <c:pt idx="629">
                  <c:v>216.833</c:v>
                </c:pt>
                <c:pt idx="630">
                  <c:v>214.041</c:v>
                </c:pt>
                <c:pt idx="631">
                  <c:v>244.75299999999999</c:v>
                </c:pt>
                <c:pt idx="632">
                  <c:v>254.52499999999998</c:v>
                </c:pt>
                <c:pt idx="633">
                  <c:v>258.71299999999997</c:v>
                </c:pt>
                <c:pt idx="634">
                  <c:v>260.10899999999998</c:v>
                </c:pt>
                <c:pt idx="635">
                  <c:v>269.53199999999998</c:v>
                </c:pt>
                <c:pt idx="636">
                  <c:v>244.75299999999999</c:v>
                </c:pt>
                <c:pt idx="637">
                  <c:v>247.54499999999999</c:v>
                </c:pt>
                <c:pt idx="638">
                  <c:v>254.52499999999998</c:v>
                </c:pt>
                <c:pt idx="639">
                  <c:v>219.62499999999997</c:v>
                </c:pt>
                <c:pt idx="640">
                  <c:v>251.73299999999998</c:v>
                </c:pt>
                <c:pt idx="641">
                  <c:v>257.31700000000001</c:v>
                </c:pt>
                <c:pt idx="642">
                  <c:v>266.39099999999996</c:v>
                </c:pt>
                <c:pt idx="643">
                  <c:v>254.52499999999998</c:v>
                </c:pt>
                <c:pt idx="644">
                  <c:v>261.505</c:v>
                </c:pt>
                <c:pt idx="645">
                  <c:v>257.31700000000001</c:v>
                </c:pt>
                <c:pt idx="646">
                  <c:v>264.29699999999997</c:v>
                </c:pt>
                <c:pt idx="647">
                  <c:v>260.10899999999998</c:v>
                </c:pt>
                <c:pt idx="648">
                  <c:v>275.46499999999997</c:v>
                </c:pt>
                <c:pt idx="649">
                  <c:v>286.63299999999998</c:v>
                </c:pt>
                <c:pt idx="650">
                  <c:v>278.25700000000001</c:v>
                </c:pt>
                <c:pt idx="651">
                  <c:v>276.86099999999999</c:v>
                </c:pt>
                <c:pt idx="652">
                  <c:v>267.089</c:v>
                </c:pt>
                <c:pt idx="653">
                  <c:v>264.29699999999997</c:v>
                </c:pt>
                <c:pt idx="654">
                  <c:v>248.94099999999997</c:v>
                </c:pt>
                <c:pt idx="655">
                  <c:v>240.565</c:v>
                </c:pt>
                <c:pt idx="656">
                  <c:v>255.92099999999999</c:v>
                </c:pt>
                <c:pt idx="657">
                  <c:v>222.41699999999997</c:v>
                </c:pt>
                <c:pt idx="658">
                  <c:v>207.06099999999998</c:v>
                </c:pt>
                <c:pt idx="659">
                  <c:v>213.34299999999999</c:v>
                </c:pt>
                <c:pt idx="660">
                  <c:v>198.68499999999997</c:v>
                </c:pt>
                <c:pt idx="661">
                  <c:v>202.17499999999998</c:v>
                </c:pt>
                <c:pt idx="662">
                  <c:v>218.22899999999998</c:v>
                </c:pt>
                <c:pt idx="663">
                  <c:v>242.65899999999999</c:v>
                </c:pt>
                <c:pt idx="664">
                  <c:v>246.14899999999997</c:v>
                </c:pt>
                <c:pt idx="665">
                  <c:v>255.92099999999999</c:v>
                </c:pt>
                <c:pt idx="666">
                  <c:v>253.12899999999999</c:v>
                </c:pt>
                <c:pt idx="667">
                  <c:v>272.673</c:v>
                </c:pt>
                <c:pt idx="668">
                  <c:v>282.096</c:v>
                </c:pt>
                <c:pt idx="669">
                  <c:v>283.84100000000001</c:v>
                </c:pt>
                <c:pt idx="670">
                  <c:v>290.82099999999997</c:v>
                </c:pt>
                <c:pt idx="671">
                  <c:v>287.68</c:v>
                </c:pt>
                <c:pt idx="672">
                  <c:v>262.90100000000001</c:v>
                </c:pt>
                <c:pt idx="673">
                  <c:v>268.48499999999996</c:v>
                </c:pt>
                <c:pt idx="674">
                  <c:v>279.65299999999996</c:v>
                </c:pt>
                <c:pt idx="675">
                  <c:v>274.06899999999996</c:v>
                </c:pt>
                <c:pt idx="676">
                  <c:v>305.82799999999997</c:v>
                </c:pt>
                <c:pt idx="677">
                  <c:v>309.66699999999997</c:v>
                </c:pt>
                <c:pt idx="678">
                  <c:v>315.59999999999997</c:v>
                </c:pt>
                <c:pt idx="679">
                  <c:v>317.34499999999997</c:v>
                </c:pt>
                <c:pt idx="680">
                  <c:v>318.04300000000001</c:v>
                </c:pt>
                <c:pt idx="681">
                  <c:v>317.34499999999997</c:v>
                </c:pt>
                <c:pt idx="682">
                  <c:v>318.392</c:v>
                </c:pt>
                <c:pt idx="683">
                  <c:v>315.94899999999996</c:v>
                </c:pt>
                <c:pt idx="684">
                  <c:v>315.94899999999996</c:v>
                </c:pt>
                <c:pt idx="685">
                  <c:v>311.76099999999997</c:v>
                </c:pt>
                <c:pt idx="686">
                  <c:v>299.197</c:v>
                </c:pt>
                <c:pt idx="687">
                  <c:v>306.17699999999996</c:v>
                </c:pt>
                <c:pt idx="688">
                  <c:v>294.65999999999997</c:v>
                </c:pt>
                <c:pt idx="689">
                  <c:v>301.64</c:v>
                </c:pt>
                <c:pt idx="690">
                  <c:v>294.65999999999997</c:v>
                </c:pt>
                <c:pt idx="691">
                  <c:v>288.029</c:v>
                </c:pt>
                <c:pt idx="692">
                  <c:v>297.452</c:v>
                </c:pt>
                <c:pt idx="693">
                  <c:v>304.78100000000001</c:v>
                </c:pt>
                <c:pt idx="694">
                  <c:v>314.553</c:v>
                </c:pt>
                <c:pt idx="695">
                  <c:v>315.25099999999998</c:v>
                </c:pt>
                <c:pt idx="696">
                  <c:v>303.38499999999999</c:v>
                </c:pt>
                <c:pt idx="697">
                  <c:v>301.98899999999998</c:v>
                </c:pt>
                <c:pt idx="698">
                  <c:v>258.71299999999997</c:v>
                </c:pt>
                <c:pt idx="699">
                  <c:v>253.12899999999999</c:v>
                </c:pt>
                <c:pt idx="700">
                  <c:v>209.85299999999998</c:v>
                </c:pt>
                <c:pt idx="701">
                  <c:v>222.41699999999997</c:v>
                </c:pt>
                <c:pt idx="702">
                  <c:v>205.66499999999999</c:v>
                </c:pt>
                <c:pt idx="703">
                  <c:v>216.833</c:v>
                </c:pt>
                <c:pt idx="704">
                  <c:v>221.02099999999999</c:v>
                </c:pt>
                <c:pt idx="705">
                  <c:v>219.62499999999997</c:v>
                </c:pt>
                <c:pt idx="706">
                  <c:v>237.773</c:v>
                </c:pt>
                <c:pt idx="707">
                  <c:v>262.90100000000001</c:v>
                </c:pt>
                <c:pt idx="708">
                  <c:v>260.10899999999998</c:v>
                </c:pt>
                <c:pt idx="709">
                  <c:v>254.52499999999998</c:v>
                </c:pt>
                <c:pt idx="710">
                  <c:v>278.25700000000001</c:v>
                </c:pt>
                <c:pt idx="711">
                  <c:v>238.47099999999998</c:v>
                </c:pt>
                <c:pt idx="712">
                  <c:v>260.10899999999998</c:v>
                </c:pt>
                <c:pt idx="713">
                  <c:v>254.52499999999998</c:v>
                </c:pt>
                <c:pt idx="714">
                  <c:v>237.773</c:v>
                </c:pt>
                <c:pt idx="715">
                  <c:v>262.90100000000001</c:v>
                </c:pt>
                <c:pt idx="716">
                  <c:v>208.45699999999999</c:v>
                </c:pt>
                <c:pt idx="717">
                  <c:v>280.7</c:v>
                </c:pt>
                <c:pt idx="718">
                  <c:v>239.16899999999998</c:v>
                </c:pt>
                <c:pt idx="719">
                  <c:v>253.12899999999999</c:v>
                </c:pt>
                <c:pt idx="720">
                  <c:v>214.041</c:v>
                </c:pt>
                <c:pt idx="723">
                  <c:v>225.20899999999997</c:v>
                </c:pt>
                <c:pt idx="724">
                  <c:v>244.75299999999999</c:v>
                </c:pt>
                <c:pt idx="725">
                  <c:v>229.39699999999999</c:v>
                </c:pt>
                <c:pt idx="726">
                  <c:v>237.773</c:v>
                </c:pt>
                <c:pt idx="727">
                  <c:v>250.33699999999999</c:v>
                </c:pt>
                <c:pt idx="728">
                  <c:v>254.52499999999998</c:v>
                </c:pt>
                <c:pt idx="729">
                  <c:v>250.33699999999999</c:v>
                </c:pt>
                <c:pt idx="730">
                  <c:v>261.505</c:v>
                </c:pt>
                <c:pt idx="731">
                  <c:v>254.52499999999998</c:v>
                </c:pt>
                <c:pt idx="732">
                  <c:v>265.69299999999998</c:v>
                </c:pt>
                <c:pt idx="733">
                  <c:v>267.089</c:v>
                </c:pt>
                <c:pt idx="734">
                  <c:v>269.88099999999997</c:v>
                </c:pt>
                <c:pt idx="735">
                  <c:v>265.69299999999998</c:v>
                </c:pt>
                <c:pt idx="736">
                  <c:v>268.48499999999996</c:v>
                </c:pt>
                <c:pt idx="737">
                  <c:v>255.92099999999999</c:v>
                </c:pt>
                <c:pt idx="738">
                  <c:v>261.505</c:v>
                </c:pt>
                <c:pt idx="739">
                  <c:v>264.29699999999997</c:v>
                </c:pt>
                <c:pt idx="740">
                  <c:v>268.48499999999996</c:v>
                </c:pt>
                <c:pt idx="741">
                  <c:v>272.32399999999996</c:v>
                </c:pt>
                <c:pt idx="742">
                  <c:v>283.84100000000001</c:v>
                </c:pt>
                <c:pt idx="743">
                  <c:v>300.59299999999996</c:v>
                </c:pt>
                <c:pt idx="744">
                  <c:v>308.96899999999999</c:v>
                </c:pt>
                <c:pt idx="745">
                  <c:v>311.76099999999997</c:v>
                </c:pt>
                <c:pt idx="746">
                  <c:v>310.36499999999995</c:v>
                </c:pt>
                <c:pt idx="747">
                  <c:v>315.94899999999996</c:v>
                </c:pt>
                <c:pt idx="748">
                  <c:v>315.94899999999996</c:v>
                </c:pt>
                <c:pt idx="749">
                  <c:v>317.34499999999997</c:v>
                </c:pt>
                <c:pt idx="750">
                  <c:v>317.34499999999997</c:v>
                </c:pt>
                <c:pt idx="751">
                  <c:v>317.34499999999997</c:v>
                </c:pt>
                <c:pt idx="752">
                  <c:v>317.34499999999997</c:v>
                </c:pt>
                <c:pt idx="753">
                  <c:v>318.392</c:v>
                </c:pt>
                <c:pt idx="754">
                  <c:v>318.392</c:v>
                </c:pt>
                <c:pt idx="755">
                  <c:v>318.74099999999999</c:v>
                </c:pt>
                <c:pt idx="756">
                  <c:v>319.78799999999995</c:v>
                </c:pt>
                <c:pt idx="757">
                  <c:v>320.137</c:v>
                </c:pt>
                <c:pt idx="758">
                  <c:v>320.137</c:v>
                </c:pt>
                <c:pt idx="759">
                  <c:v>321.53299999999996</c:v>
                </c:pt>
                <c:pt idx="760">
                  <c:v>321.53299999999996</c:v>
                </c:pt>
                <c:pt idx="761">
                  <c:v>321.53299999999996</c:v>
                </c:pt>
                <c:pt idx="762">
                  <c:v>322.23099999999999</c:v>
                </c:pt>
                <c:pt idx="763">
                  <c:v>322.92899999999997</c:v>
                </c:pt>
                <c:pt idx="764">
                  <c:v>322.92899999999997</c:v>
                </c:pt>
                <c:pt idx="765">
                  <c:v>323.976</c:v>
                </c:pt>
                <c:pt idx="766">
                  <c:v>324.32499999999999</c:v>
                </c:pt>
                <c:pt idx="767">
                  <c:v>324.32499999999999</c:v>
                </c:pt>
                <c:pt idx="768">
                  <c:v>325.721</c:v>
                </c:pt>
                <c:pt idx="769">
                  <c:v>325.37199999999996</c:v>
                </c:pt>
                <c:pt idx="770">
                  <c:v>325.721</c:v>
                </c:pt>
                <c:pt idx="771">
                  <c:v>325.721</c:v>
                </c:pt>
                <c:pt idx="772">
                  <c:v>325.721</c:v>
                </c:pt>
                <c:pt idx="773">
                  <c:v>325.721</c:v>
                </c:pt>
                <c:pt idx="774">
                  <c:v>325.37199999999996</c:v>
                </c:pt>
                <c:pt idx="775">
                  <c:v>325.721</c:v>
                </c:pt>
                <c:pt idx="776">
                  <c:v>325.721</c:v>
                </c:pt>
                <c:pt idx="777">
                  <c:v>325.37199999999996</c:v>
                </c:pt>
                <c:pt idx="778">
                  <c:v>324.32499999999999</c:v>
                </c:pt>
                <c:pt idx="779">
                  <c:v>324.32499999999999</c:v>
                </c:pt>
                <c:pt idx="780">
                  <c:v>324.32499999999999</c:v>
                </c:pt>
                <c:pt idx="781">
                  <c:v>324.32499999999999</c:v>
                </c:pt>
                <c:pt idx="782">
                  <c:v>324.32499999999999</c:v>
                </c:pt>
                <c:pt idx="784">
                  <c:v>323.976</c:v>
                </c:pt>
                <c:pt idx="785">
                  <c:v>321.53299999999996</c:v>
                </c:pt>
                <c:pt idx="786">
                  <c:v>320.137</c:v>
                </c:pt>
                <c:pt idx="787">
                  <c:v>321.18399999999997</c:v>
                </c:pt>
                <c:pt idx="788">
                  <c:v>322.58</c:v>
                </c:pt>
                <c:pt idx="789">
                  <c:v>322.58</c:v>
                </c:pt>
                <c:pt idx="790">
                  <c:v>322.58</c:v>
                </c:pt>
                <c:pt idx="791">
                  <c:v>322.92899999999997</c:v>
                </c:pt>
                <c:pt idx="792">
                  <c:v>321.18399999999997</c:v>
                </c:pt>
                <c:pt idx="793">
                  <c:v>321.53299999999996</c:v>
                </c:pt>
                <c:pt idx="794">
                  <c:v>322.92899999999997</c:v>
                </c:pt>
                <c:pt idx="795">
                  <c:v>322.58</c:v>
                </c:pt>
                <c:pt idx="796">
                  <c:v>322.92899999999997</c:v>
                </c:pt>
                <c:pt idx="797">
                  <c:v>321.53299999999996</c:v>
                </c:pt>
                <c:pt idx="798">
                  <c:v>320.137</c:v>
                </c:pt>
                <c:pt idx="799">
                  <c:v>317.34499999999997</c:v>
                </c:pt>
                <c:pt idx="800">
                  <c:v>321.53299999999996</c:v>
                </c:pt>
                <c:pt idx="801">
                  <c:v>321.53299999999996</c:v>
                </c:pt>
                <c:pt idx="802">
                  <c:v>319.78799999999995</c:v>
                </c:pt>
                <c:pt idx="803">
                  <c:v>316.99599999999998</c:v>
                </c:pt>
                <c:pt idx="804">
                  <c:v>312.80799999999999</c:v>
                </c:pt>
                <c:pt idx="805">
                  <c:v>318.74099999999999</c:v>
                </c:pt>
                <c:pt idx="806">
                  <c:v>322.58</c:v>
                </c:pt>
                <c:pt idx="807">
                  <c:v>322.92899999999997</c:v>
                </c:pt>
                <c:pt idx="808">
                  <c:v>324.32499999999999</c:v>
                </c:pt>
                <c:pt idx="809">
                  <c:v>324.32499999999999</c:v>
                </c:pt>
                <c:pt idx="810">
                  <c:v>324.32499999999999</c:v>
                </c:pt>
                <c:pt idx="811">
                  <c:v>324.32499999999999</c:v>
                </c:pt>
                <c:pt idx="812">
                  <c:v>324.32499999999999</c:v>
                </c:pt>
                <c:pt idx="813">
                  <c:v>324.32499999999999</c:v>
                </c:pt>
                <c:pt idx="814">
                  <c:v>324.32499999999999</c:v>
                </c:pt>
                <c:pt idx="815">
                  <c:v>324.32499999999999</c:v>
                </c:pt>
                <c:pt idx="816">
                  <c:v>324.32499999999999</c:v>
                </c:pt>
                <c:pt idx="817">
                  <c:v>323.976</c:v>
                </c:pt>
                <c:pt idx="818">
                  <c:v>323.976</c:v>
                </c:pt>
                <c:pt idx="819">
                  <c:v>322.92899999999997</c:v>
                </c:pt>
                <c:pt idx="820">
                  <c:v>322.92899999999997</c:v>
                </c:pt>
                <c:pt idx="821">
                  <c:v>322.92899999999997</c:v>
                </c:pt>
                <c:pt idx="822">
                  <c:v>322.92899999999997</c:v>
                </c:pt>
                <c:pt idx="823">
                  <c:v>323.62699999999995</c:v>
                </c:pt>
                <c:pt idx="824">
                  <c:v>322.58</c:v>
                </c:pt>
                <c:pt idx="825">
                  <c:v>321.18399999999997</c:v>
                </c:pt>
                <c:pt idx="826">
                  <c:v>320.137</c:v>
                </c:pt>
                <c:pt idx="827">
                  <c:v>320.137</c:v>
                </c:pt>
                <c:pt idx="828">
                  <c:v>319.78799999999995</c:v>
                </c:pt>
                <c:pt idx="829">
                  <c:v>318.74099999999999</c:v>
                </c:pt>
                <c:pt idx="830">
                  <c:v>317.34499999999997</c:v>
                </c:pt>
                <c:pt idx="831">
                  <c:v>317.34499999999997</c:v>
                </c:pt>
                <c:pt idx="832">
                  <c:v>314.553</c:v>
                </c:pt>
                <c:pt idx="833">
                  <c:v>315.94899999999996</c:v>
                </c:pt>
                <c:pt idx="834">
                  <c:v>315.94899999999996</c:v>
                </c:pt>
                <c:pt idx="835">
                  <c:v>316.64699999999999</c:v>
                </c:pt>
                <c:pt idx="836">
                  <c:v>318.74099999999999</c:v>
                </c:pt>
                <c:pt idx="837">
                  <c:v>318.74099999999999</c:v>
                </c:pt>
                <c:pt idx="838">
                  <c:v>319.78799999999995</c:v>
                </c:pt>
                <c:pt idx="839">
                  <c:v>318.74099999999999</c:v>
                </c:pt>
                <c:pt idx="840">
                  <c:v>319.78799999999995</c:v>
                </c:pt>
                <c:pt idx="841">
                  <c:v>320.137</c:v>
                </c:pt>
                <c:pt idx="842">
                  <c:v>320.137</c:v>
                </c:pt>
                <c:pt idx="843">
                  <c:v>320.137</c:v>
                </c:pt>
                <c:pt idx="844">
                  <c:v>320.137</c:v>
                </c:pt>
                <c:pt idx="845">
                  <c:v>321.53299999999996</c:v>
                </c:pt>
                <c:pt idx="846">
                  <c:v>321.53299999999996</c:v>
                </c:pt>
                <c:pt idx="847">
                  <c:v>322.92899999999997</c:v>
                </c:pt>
                <c:pt idx="848">
                  <c:v>322.92899999999997</c:v>
                </c:pt>
                <c:pt idx="849">
                  <c:v>322.92899999999997</c:v>
                </c:pt>
                <c:pt idx="850">
                  <c:v>322.92899999999997</c:v>
                </c:pt>
                <c:pt idx="851">
                  <c:v>322.92899999999997</c:v>
                </c:pt>
                <c:pt idx="852">
                  <c:v>324.32499999999999</c:v>
                </c:pt>
                <c:pt idx="853">
                  <c:v>324.32499999999999</c:v>
                </c:pt>
                <c:pt idx="854">
                  <c:v>325.37199999999996</c:v>
                </c:pt>
                <c:pt idx="855">
                  <c:v>324.32499999999999</c:v>
                </c:pt>
                <c:pt idx="856">
                  <c:v>324.32499999999999</c:v>
                </c:pt>
                <c:pt idx="857">
                  <c:v>325.721</c:v>
                </c:pt>
                <c:pt idx="858">
                  <c:v>326.76799999999997</c:v>
                </c:pt>
                <c:pt idx="859">
                  <c:v>326.76799999999997</c:v>
                </c:pt>
                <c:pt idx="860">
                  <c:v>326.76799999999997</c:v>
                </c:pt>
                <c:pt idx="861">
                  <c:v>326.76799999999997</c:v>
                </c:pt>
                <c:pt idx="862">
                  <c:v>327.11699999999996</c:v>
                </c:pt>
                <c:pt idx="863">
                  <c:v>327.11699999999996</c:v>
                </c:pt>
                <c:pt idx="864">
                  <c:v>327.11699999999996</c:v>
                </c:pt>
                <c:pt idx="865">
                  <c:v>327.11699999999996</c:v>
                </c:pt>
                <c:pt idx="866">
                  <c:v>327.11699999999996</c:v>
                </c:pt>
                <c:pt idx="867">
                  <c:v>327.11699999999996</c:v>
                </c:pt>
                <c:pt idx="868">
                  <c:v>327.11699999999996</c:v>
                </c:pt>
                <c:pt idx="869">
                  <c:v>326.76799999999997</c:v>
                </c:pt>
                <c:pt idx="870">
                  <c:v>327.11699999999996</c:v>
                </c:pt>
                <c:pt idx="871">
                  <c:v>327.11699999999996</c:v>
                </c:pt>
                <c:pt idx="872">
                  <c:v>327.11699999999996</c:v>
                </c:pt>
                <c:pt idx="873">
                  <c:v>326.76799999999997</c:v>
                </c:pt>
                <c:pt idx="874">
                  <c:v>326.76799999999997</c:v>
                </c:pt>
                <c:pt idx="875">
                  <c:v>326.76799999999997</c:v>
                </c:pt>
                <c:pt idx="876">
                  <c:v>325.721</c:v>
                </c:pt>
                <c:pt idx="877">
                  <c:v>325.721</c:v>
                </c:pt>
                <c:pt idx="878">
                  <c:v>325.721</c:v>
                </c:pt>
                <c:pt idx="879">
                  <c:v>325.721</c:v>
                </c:pt>
                <c:pt idx="880">
                  <c:v>325.37199999999996</c:v>
                </c:pt>
                <c:pt idx="881">
                  <c:v>324.32499999999999</c:v>
                </c:pt>
                <c:pt idx="882">
                  <c:v>324.32499999999999</c:v>
                </c:pt>
                <c:pt idx="883">
                  <c:v>324.32499999999999</c:v>
                </c:pt>
                <c:pt idx="884">
                  <c:v>321.53299999999996</c:v>
                </c:pt>
                <c:pt idx="885">
                  <c:v>322.58</c:v>
                </c:pt>
                <c:pt idx="886">
                  <c:v>322.92899999999997</c:v>
                </c:pt>
                <c:pt idx="887">
                  <c:v>322.92899999999997</c:v>
                </c:pt>
                <c:pt idx="888">
                  <c:v>322.92899999999997</c:v>
                </c:pt>
                <c:pt idx="889">
                  <c:v>321.53299999999996</c:v>
                </c:pt>
                <c:pt idx="890">
                  <c:v>321.53299999999996</c:v>
                </c:pt>
                <c:pt idx="891">
                  <c:v>321.53299999999996</c:v>
                </c:pt>
                <c:pt idx="892">
                  <c:v>321.53299999999996</c:v>
                </c:pt>
                <c:pt idx="893">
                  <c:v>322.92899999999997</c:v>
                </c:pt>
                <c:pt idx="894">
                  <c:v>322.92899999999997</c:v>
                </c:pt>
                <c:pt idx="895">
                  <c:v>323.976</c:v>
                </c:pt>
                <c:pt idx="896">
                  <c:v>324.32499999999999</c:v>
                </c:pt>
                <c:pt idx="897">
                  <c:v>325.721</c:v>
                </c:pt>
                <c:pt idx="898">
                  <c:v>325.721</c:v>
                </c:pt>
                <c:pt idx="899">
                  <c:v>324.32499999999999</c:v>
                </c:pt>
                <c:pt idx="900">
                  <c:v>323.976</c:v>
                </c:pt>
                <c:pt idx="901">
                  <c:v>324.32499999999999</c:v>
                </c:pt>
                <c:pt idx="902">
                  <c:v>326.76799999999997</c:v>
                </c:pt>
                <c:pt idx="903">
                  <c:v>327.11699999999996</c:v>
                </c:pt>
                <c:pt idx="904">
                  <c:v>325.721</c:v>
                </c:pt>
                <c:pt idx="905">
                  <c:v>321.53299999999996</c:v>
                </c:pt>
                <c:pt idx="906">
                  <c:v>311.76099999999997</c:v>
                </c:pt>
                <c:pt idx="907">
                  <c:v>315.59999999999997</c:v>
                </c:pt>
                <c:pt idx="908">
                  <c:v>320.137</c:v>
                </c:pt>
                <c:pt idx="909">
                  <c:v>318.74099999999999</c:v>
                </c:pt>
                <c:pt idx="910">
                  <c:v>315.94899999999996</c:v>
                </c:pt>
                <c:pt idx="911">
                  <c:v>314.553</c:v>
                </c:pt>
                <c:pt idx="912">
                  <c:v>314.553</c:v>
                </c:pt>
                <c:pt idx="913">
                  <c:v>317.34499999999997</c:v>
                </c:pt>
                <c:pt idx="914">
                  <c:v>322.92899999999997</c:v>
                </c:pt>
                <c:pt idx="915">
                  <c:v>322.92899999999997</c:v>
                </c:pt>
                <c:pt idx="916">
                  <c:v>322.92899999999997</c:v>
                </c:pt>
                <c:pt idx="917">
                  <c:v>323.62699999999995</c:v>
                </c:pt>
                <c:pt idx="918">
                  <c:v>322.92899999999997</c:v>
                </c:pt>
                <c:pt idx="919">
                  <c:v>321.18399999999997</c:v>
                </c:pt>
                <c:pt idx="920">
                  <c:v>320.137</c:v>
                </c:pt>
                <c:pt idx="921">
                  <c:v>321.18399999999997</c:v>
                </c:pt>
                <c:pt idx="922">
                  <c:v>320.137</c:v>
                </c:pt>
                <c:pt idx="923">
                  <c:v>321.53299999999996</c:v>
                </c:pt>
                <c:pt idx="924">
                  <c:v>322.92899999999997</c:v>
                </c:pt>
                <c:pt idx="925">
                  <c:v>325.721</c:v>
                </c:pt>
                <c:pt idx="926">
                  <c:v>317.34499999999997</c:v>
                </c:pt>
                <c:pt idx="927">
                  <c:v>310.01599999999996</c:v>
                </c:pt>
                <c:pt idx="928">
                  <c:v>309.66699999999997</c:v>
                </c:pt>
                <c:pt idx="929">
                  <c:v>314.20399999999995</c:v>
                </c:pt>
                <c:pt idx="930">
                  <c:v>321.53299999999996</c:v>
                </c:pt>
                <c:pt idx="931">
                  <c:v>317.34499999999997</c:v>
                </c:pt>
                <c:pt idx="932">
                  <c:v>311.76099999999997</c:v>
                </c:pt>
                <c:pt idx="933">
                  <c:v>322.92899999999997</c:v>
                </c:pt>
                <c:pt idx="934">
                  <c:v>324.32499999999999</c:v>
                </c:pt>
                <c:pt idx="935">
                  <c:v>315.94899999999996</c:v>
                </c:pt>
                <c:pt idx="936">
                  <c:v>290.82099999999997</c:v>
                </c:pt>
                <c:pt idx="937">
                  <c:v>310.36499999999995</c:v>
                </c:pt>
                <c:pt idx="938">
                  <c:v>314.20399999999995</c:v>
                </c:pt>
                <c:pt idx="939">
                  <c:v>314.553</c:v>
                </c:pt>
                <c:pt idx="940">
                  <c:v>308.96899999999999</c:v>
                </c:pt>
                <c:pt idx="941">
                  <c:v>303.036</c:v>
                </c:pt>
                <c:pt idx="942">
                  <c:v>314.553</c:v>
                </c:pt>
                <c:pt idx="943">
                  <c:v>314.553</c:v>
                </c:pt>
                <c:pt idx="944">
                  <c:v>315.94899999999996</c:v>
                </c:pt>
                <c:pt idx="945">
                  <c:v>318.392</c:v>
                </c:pt>
                <c:pt idx="946">
                  <c:v>318.392</c:v>
                </c:pt>
                <c:pt idx="947">
                  <c:v>317.34499999999997</c:v>
                </c:pt>
                <c:pt idx="948">
                  <c:v>315.59999999999997</c:v>
                </c:pt>
                <c:pt idx="949">
                  <c:v>314.553</c:v>
                </c:pt>
                <c:pt idx="950">
                  <c:v>310.36499999999995</c:v>
                </c:pt>
                <c:pt idx="951">
                  <c:v>307.57299999999998</c:v>
                </c:pt>
                <c:pt idx="952">
                  <c:v>303.38499999999999</c:v>
                </c:pt>
                <c:pt idx="953">
                  <c:v>299.197</c:v>
                </c:pt>
                <c:pt idx="954">
                  <c:v>304.78100000000001</c:v>
                </c:pt>
                <c:pt idx="955">
                  <c:v>292.21699999999998</c:v>
                </c:pt>
                <c:pt idx="956">
                  <c:v>290.82099999999997</c:v>
                </c:pt>
                <c:pt idx="957">
                  <c:v>299.197</c:v>
                </c:pt>
                <c:pt idx="958">
                  <c:v>304.78100000000001</c:v>
                </c:pt>
                <c:pt idx="959">
                  <c:v>293.26399999999995</c:v>
                </c:pt>
                <c:pt idx="960">
                  <c:v>299.197</c:v>
                </c:pt>
                <c:pt idx="961">
                  <c:v>300.59299999999996</c:v>
                </c:pt>
                <c:pt idx="962">
                  <c:v>296.40499999999997</c:v>
                </c:pt>
                <c:pt idx="963">
                  <c:v>294.65999999999997</c:v>
                </c:pt>
                <c:pt idx="964">
                  <c:v>296.40499999999997</c:v>
                </c:pt>
                <c:pt idx="965">
                  <c:v>293.613</c:v>
                </c:pt>
                <c:pt idx="975">
                  <c:v>296.40499999999997</c:v>
                </c:pt>
                <c:pt idx="976">
                  <c:v>300.59299999999996</c:v>
                </c:pt>
                <c:pt idx="977">
                  <c:v>286.63299999999998</c:v>
                </c:pt>
                <c:pt idx="978">
                  <c:v>300.59299999999996</c:v>
                </c:pt>
                <c:pt idx="979">
                  <c:v>293.613</c:v>
                </c:pt>
                <c:pt idx="980">
                  <c:v>287.68</c:v>
                </c:pt>
                <c:pt idx="981">
                  <c:v>292.21699999999998</c:v>
                </c:pt>
                <c:pt idx="982">
                  <c:v>300.24399999999997</c:v>
                </c:pt>
                <c:pt idx="983">
                  <c:v>299.197</c:v>
                </c:pt>
                <c:pt idx="984">
                  <c:v>285.23699999999997</c:v>
                </c:pt>
                <c:pt idx="985">
                  <c:v>292.21699999999998</c:v>
                </c:pt>
                <c:pt idx="986">
                  <c:v>297.452</c:v>
                </c:pt>
                <c:pt idx="987">
                  <c:v>304.78100000000001</c:v>
                </c:pt>
                <c:pt idx="988">
                  <c:v>303.38499999999999</c:v>
                </c:pt>
                <c:pt idx="989">
                  <c:v>294.31099999999998</c:v>
                </c:pt>
                <c:pt idx="990">
                  <c:v>299.197</c:v>
                </c:pt>
                <c:pt idx="991">
                  <c:v>299.89499999999998</c:v>
                </c:pt>
                <c:pt idx="992">
                  <c:v>300.59299999999996</c:v>
                </c:pt>
                <c:pt idx="993">
                  <c:v>288.029</c:v>
                </c:pt>
                <c:pt idx="994">
                  <c:v>272.673</c:v>
                </c:pt>
                <c:pt idx="995">
                  <c:v>299.197</c:v>
                </c:pt>
                <c:pt idx="996">
                  <c:v>307.57299999999998</c:v>
                </c:pt>
                <c:pt idx="997">
                  <c:v>292.21699999999998</c:v>
                </c:pt>
                <c:pt idx="998">
                  <c:v>289.07599999999996</c:v>
                </c:pt>
                <c:pt idx="999">
                  <c:v>290.47199999999998</c:v>
                </c:pt>
                <c:pt idx="1000">
                  <c:v>287.68</c:v>
                </c:pt>
                <c:pt idx="1001">
                  <c:v>267.089</c:v>
                </c:pt>
                <c:pt idx="1002">
                  <c:v>257.31700000000001</c:v>
                </c:pt>
                <c:pt idx="1003">
                  <c:v>273.71999999999997</c:v>
                </c:pt>
                <c:pt idx="1004">
                  <c:v>281.04899999999998</c:v>
                </c:pt>
                <c:pt idx="1005">
                  <c:v>274.06899999999996</c:v>
                </c:pt>
                <c:pt idx="1006">
                  <c:v>268.48499999999996</c:v>
                </c:pt>
                <c:pt idx="1007">
                  <c:v>269.88099999999997</c:v>
                </c:pt>
                <c:pt idx="1008">
                  <c:v>278.25700000000001</c:v>
                </c:pt>
                <c:pt idx="1009">
                  <c:v>277.55899999999997</c:v>
                </c:pt>
                <c:pt idx="1010">
                  <c:v>279.65299999999996</c:v>
                </c:pt>
                <c:pt idx="1011">
                  <c:v>289.07599999999996</c:v>
                </c:pt>
                <c:pt idx="1012">
                  <c:v>290.47199999999998</c:v>
                </c:pt>
                <c:pt idx="1013">
                  <c:v>283.49199999999996</c:v>
                </c:pt>
                <c:pt idx="1014">
                  <c:v>300.59299999999996</c:v>
                </c:pt>
                <c:pt idx="1015">
                  <c:v>278.25700000000001</c:v>
                </c:pt>
                <c:pt idx="1016">
                  <c:v>265.69299999999998</c:v>
                </c:pt>
                <c:pt idx="1017">
                  <c:v>262.90100000000001</c:v>
                </c:pt>
                <c:pt idx="1018">
                  <c:v>273.71999999999997</c:v>
                </c:pt>
                <c:pt idx="1019">
                  <c:v>267.089</c:v>
                </c:pt>
                <c:pt idx="1020">
                  <c:v>272.673</c:v>
                </c:pt>
                <c:pt idx="1021">
                  <c:v>265.69299999999998</c:v>
                </c:pt>
                <c:pt idx="1022">
                  <c:v>300.24399999999997</c:v>
                </c:pt>
                <c:pt idx="1023">
                  <c:v>313.15699999999998</c:v>
                </c:pt>
                <c:pt idx="1024">
                  <c:v>315.94899999999996</c:v>
                </c:pt>
                <c:pt idx="1025">
                  <c:v>317.34499999999997</c:v>
                </c:pt>
                <c:pt idx="1026">
                  <c:v>317.34499999999997</c:v>
                </c:pt>
                <c:pt idx="1027">
                  <c:v>317.34499999999997</c:v>
                </c:pt>
                <c:pt idx="1028">
                  <c:v>318.74099999999999</c:v>
                </c:pt>
                <c:pt idx="1029">
                  <c:v>320.137</c:v>
                </c:pt>
                <c:pt idx="1030">
                  <c:v>319.78799999999995</c:v>
                </c:pt>
                <c:pt idx="1031">
                  <c:v>321.18399999999997</c:v>
                </c:pt>
                <c:pt idx="1032">
                  <c:v>321.53299999999996</c:v>
                </c:pt>
                <c:pt idx="1033">
                  <c:v>301.291</c:v>
                </c:pt>
                <c:pt idx="1034">
                  <c:v>300.59299999999996</c:v>
                </c:pt>
                <c:pt idx="1035">
                  <c:v>296.40499999999997</c:v>
                </c:pt>
                <c:pt idx="1036">
                  <c:v>289.42499999999995</c:v>
                </c:pt>
                <c:pt idx="1037">
                  <c:v>305.82799999999997</c:v>
                </c:pt>
                <c:pt idx="1038">
                  <c:v>306.875</c:v>
                </c:pt>
                <c:pt idx="1039">
                  <c:v>299.197</c:v>
                </c:pt>
                <c:pt idx="1040">
                  <c:v>298.84799999999996</c:v>
                </c:pt>
                <c:pt idx="1041">
                  <c:v>314.20399999999995</c:v>
                </c:pt>
                <c:pt idx="1042">
                  <c:v>286.28399999999999</c:v>
                </c:pt>
                <c:pt idx="1043">
                  <c:v>295.00899999999996</c:v>
                </c:pt>
                <c:pt idx="1044">
                  <c:v>293.26399999999995</c:v>
                </c:pt>
                <c:pt idx="1045">
                  <c:v>318.74099999999999</c:v>
                </c:pt>
                <c:pt idx="1046">
                  <c:v>310.01599999999996</c:v>
                </c:pt>
                <c:pt idx="1047">
                  <c:v>294.31099999999998</c:v>
                </c:pt>
                <c:pt idx="1048">
                  <c:v>285.23699999999997</c:v>
                </c:pt>
                <c:pt idx="1049">
                  <c:v>299.89499999999998</c:v>
                </c:pt>
                <c:pt idx="1050">
                  <c:v>307.57299999999998</c:v>
                </c:pt>
                <c:pt idx="1051">
                  <c:v>286.63299999999998</c:v>
                </c:pt>
                <c:pt idx="1052">
                  <c:v>294.65999999999997</c:v>
                </c:pt>
                <c:pt idx="1053">
                  <c:v>269.18299999999999</c:v>
                </c:pt>
                <c:pt idx="1054">
                  <c:v>264.29699999999997</c:v>
                </c:pt>
                <c:pt idx="1055">
                  <c:v>264.29699999999997</c:v>
                </c:pt>
                <c:pt idx="1056">
                  <c:v>258.71299999999997</c:v>
                </c:pt>
                <c:pt idx="1057">
                  <c:v>291.86799999999999</c:v>
                </c:pt>
                <c:pt idx="1058">
                  <c:v>284.88799999999998</c:v>
                </c:pt>
                <c:pt idx="1059">
                  <c:v>300.59299999999996</c:v>
                </c:pt>
                <c:pt idx="1060">
                  <c:v>303.38499999999999</c:v>
                </c:pt>
                <c:pt idx="1061">
                  <c:v>300.59299999999996</c:v>
                </c:pt>
                <c:pt idx="1062">
                  <c:v>315.94899999999996</c:v>
                </c:pt>
                <c:pt idx="1063">
                  <c:v>321.53299999999996</c:v>
                </c:pt>
                <c:pt idx="1064">
                  <c:v>325.721</c:v>
                </c:pt>
                <c:pt idx="1065">
                  <c:v>326.76799999999997</c:v>
                </c:pt>
                <c:pt idx="1066">
                  <c:v>325.721</c:v>
                </c:pt>
                <c:pt idx="1067">
                  <c:v>321.18399999999997</c:v>
                </c:pt>
                <c:pt idx="1068">
                  <c:v>317.34499999999997</c:v>
                </c:pt>
                <c:pt idx="1069">
                  <c:v>310.36499999999995</c:v>
                </c:pt>
                <c:pt idx="1070">
                  <c:v>296.05599999999998</c:v>
                </c:pt>
                <c:pt idx="1071">
                  <c:v>320.137</c:v>
                </c:pt>
                <c:pt idx="1072">
                  <c:v>296.05599999999998</c:v>
                </c:pt>
                <c:pt idx="1073">
                  <c:v>322.58</c:v>
                </c:pt>
                <c:pt idx="1074">
                  <c:v>306.17699999999996</c:v>
                </c:pt>
                <c:pt idx="1075">
                  <c:v>304.43199999999996</c:v>
                </c:pt>
                <c:pt idx="1076">
                  <c:v>318.74099999999999</c:v>
                </c:pt>
                <c:pt idx="1077">
                  <c:v>278.25700000000001</c:v>
                </c:pt>
                <c:pt idx="1078">
                  <c:v>312.80799999999999</c:v>
                </c:pt>
                <c:pt idx="1079">
                  <c:v>315.94899999999996</c:v>
                </c:pt>
                <c:pt idx="1080">
                  <c:v>303.38499999999999</c:v>
                </c:pt>
                <c:pt idx="1081">
                  <c:v>316.99599999999998</c:v>
                </c:pt>
                <c:pt idx="1082">
                  <c:v>279.65299999999996</c:v>
                </c:pt>
                <c:pt idx="1083">
                  <c:v>314.553</c:v>
                </c:pt>
                <c:pt idx="1084">
                  <c:v>315.94899999999996</c:v>
                </c:pt>
                <c:pt idx="1085">
                  <c:v>319.78799999999995</c:v>
                </c:pt>
                <c:pt idx="1086">
                  <c:v>321.18399999999997</c:v>
                </c:pt>
                <c:pt idx="1087">
                  <c:v>322.58</c:v>
                </c:pt>
                <c:pt idx="1088">
                  <c:v>318.74099999999999</c:v>
                </c:pt>
                <c:pt idx="1089">
                  <c:v>322.92899999999997</c:v>
                </c:pt>
                <c:pt idx="1090">
                  <c:v>322.23099999999999</c:v>
                </c:pt>
                <c:pt idx="1091">
                  <c:v>317.34499999999997</c:v>
                </c:pt>
                <c:pt idx="1092">
                  <c:v>318.74099999999999</c:v>
                </c:pt>
                <c:pt idx="1093">
                  <c:v>286.63299999999998</c:v>
                </c:pt>
                <c:pt idx="1094">
                  <c:v>275.46499999999997</c:v>
                </c:pt>
                <c:pt idx="1095">
                  <c:v>304.78100000000001</c:v>
                </c:pt>
                <c:pt idx="1096">
                  <c:v>314.20399999999995</c:v>
                </c:pt>
                <c:pt idx="1097">
                  <c:v>313.15699999999998</c:v>
                </c:pt>
                <c:pt idx="1098">
                  <c:v>317.34499999999997</c:v>
                </c:pt>
                <c:pt idx="1099">
                  <c:v>317.34499999999997</c:v>
                </c:pt>
                <c:pt idx="1100">
                  <c:v>315.94899999999996</c:v>
                </c:pt>
                <c:pt idx="1101">
                  <c:v>315.59999999999997</c:v>
                </c:pt>
                <c:pt idx="1102">
                  <c:v>298.84799999999996</c:v>
                </c:pt>
                <c:pt idx="1103">
                  <c:v>265.69299999999998</c:v>
                </c:pt>
                <c:pt idx="1104">
                  <c:v>283.49199999999996</c:v>
                </c:pt>
                <c:pt idx="1105">
                  <c:v>254.52499999999998</c:v>
                </c:pt>
                <c:pt idx="1106">
                  <c:v>276.512</c:v>
                </c:pt>
                <c:pt idx="1107">
                  <c:v>254.52499999999998</c:v>
                </c:pt>
                <c:pt idx="1108">
                  <c:v>246.14899999999997</c:v>
                </c:pt>
                <c:pt idx="1109">
                  <c:v>265.69299999999998</c:v>
                </c:pt>
                <c:pt idx="1110">
                  <c:v>200.08099999999999</c:v>
                </c:pt>
                <c:pt idx="1111">
                  <c:v>269.88099999999997</c:v>
                </c:pt>
                <c:pt idx="1112">
                  <c:v>234.98099999999999</c:v>
                </c:pt>
                <c:pt idx="1113">
                  <c:v>266.39099999999996</c:v>
                </c:pt>
                <c:pt idx="1114">
                  <c:v>245.45099999999999</c:v>
                </c:pt>
                <c:pt idx="1115">
                  <c:v>256.61899999999997</c:v>
                </c:pt>
                <c:pt idx="1116">
                  <c:v>251.73299999999998</c:v>
                </c:pt>
                <c:pt idx="1117">
                  <c:v>244.75299999999999</c:v>
                </c:pt>
                <c:pt idx="1118">
                  <c:v>248.94099999999997</c:v>
                </c:pt>
                <c:pt idx="1119">
                  <c:v>233.58499999999998</c:v>
                </c:pt>
                <c:pt idx="1120">
                  <c:v>246.14899999999997</c:v>
                </c:pt>
                <c:pt idx="1121">
                  <c:v>216.833</c:v>
                </c:pt>
                <c:pt idx="1122">
                  <c:v>229.39699999999999</c:v>
                </c:pt>
                <c:pt idx="1123">
                  <c:v>219.62499999999997</c:v>
                </c:pt>
                <c:pt idx="1124">
                  <c:v>246.14899999999997</c:v>
                </c:pt>
                <c:pt idx="1125">
                  <c:v>260.10899999999998</c:v>
                </c:pt>
                <c:pt idx="1126">
                  <c:v>251.73299999999998</c:v>
                </c:pt>
                <c:pt idx="1127">
                  <c:v>255.22299999999998</c:v>
                </c:pt>
                <c:pt idx="1128">
                  <c:v>272.673</c:v>
                </c:pt>
                <c:pt idx="1129">
                  <c:v>255.92099999999999</c:v>
                </c:pt>
                <c:pt idx="1130">
                  <c:v>225.20899999999997</c:v>
                </c:pt>
                <c:pt idx="1131">
                  <c:v>246.84699999999998</c:v>
                </c:pt>
                <c:pt idx="1132">
                  <c:v>194.49699999999999</c:v>
                </c:pt>
                <c:pt idx="1133">
                  <c:v>272.673</c:v>
                </c:pt>
                <c:pt idx="1134">
                  <c:v>269.53199999999998</c:v>
                </c:pt>
                <c:pt idx="1135">
                  <c:v>283.49199999999996</c:v>
                </c:pt>
                <c:pt idx="1136">
                  <c:v>278.25700000000001</c:v>
                </c:pt>
                <c:pt idx="1137">
                  <c:v>281.04899999999998</c:v>
                </c:pt>
                <c:pt idx="1138">
                  <c:v>283.84100000000001</c:v>
                </c:pt>
                <c:pt idx="1139">
                  <c:v>277.90799999999996</c:v>
                </c:pt>
                <c:pt idx="1140">
                  <c:v>292.21699999999998</c:v>
                </c:pt>
                <c:pt idx="1141">
                  <c:v>290.47199999999998</c:v>
                </c:pt>
                <c:pt idx="1142">
                  <c:v>286.63299999999998</c:v>
                </c:pt>
                <c:pt idx="1143">
                  <c:v>274.06899999999996</c:v>
                </c:pt>
                <c:pt idx="1144">
                  <c:v>282.44499999999999</c:v>
                </c:pt>
                <c:pt idx="1145">
                  <c:v>297.80099999999999</c:v>
                </c:pt>
                <c:pt idx="1146">
                  <c:v>276.86099999999999</c:v>
                </c:pt>
                <c:pt idx="1147">
                  <c:v>241.96099999999998</c:v>
                </c:pt>
                <c:pt idx="1148">
                  <c:v>290.47199999999998</c:v>
                </c:pt>
                <c:pt idx="1149">
                  <c:v>278.25700000000001</c:v>
                </c:pt>
                <c:pt idx="1150">
                  <c:v>304.78100000000001</c:v>
                </c:pt>
                <c:pt idx="1151">
                  <c:v>272.32399999999996</c:v>
                </c:pt>
                <c:pt idx="1152">
                  <c:v>265.69299999999998</c:v>
                </c:pt>
                <c:pt idx="1153">
                  <c:v>290.47199999999998</c:v>
                </c:pt>
                <c:pt idx="1154">
                  <c:v>258.71299999999997</c:v>
                </c:pt>
                <c:pt idx="1155">
                  <c:v>299.197</c:v>
                </c:pt>
                <c:pt idx="1156">
                  <c:v>316.99599999999998</c:v>
                </c:pt>
                <c:pt idx="1157">
                  <c:v>321.53299999999996</c:v>
                </c:pt>
                <c:pt idx="1158">
                  <c:v>322.92899999999997</c:v>
                </c:pt>
                <c:pt idx="1159">
                  <c:v>324.32499999999999</c:v>
                </c:pt>
                <c:pt idx="1160">
                  <c:v>325.37199999999996</c:v>
                </c:pt>
                <c:pt idx="1161">
                  <c:v>253.12899999999999</c:v>
                </c:pt>
                <c:pt idx="1162">
                  <c:v>272.673</c:v>
                </c:pt>
                <c:pt idx="1163">
                  <c:v>257.31700000000001</c:v>
                </c:pt>
                <c:pt idx="1164">
                  <c:v>183.32899999999998</c:v>
                </c:pt>
                <c:pt idx="1165">
                  <c:v>260.10899999999998</c:v>
                </c:pt>
                <c:pt idx="1166">
                  <c:v>291.51900000000001</c:v>
                </c:pt>
                <c:pt idx="1167">
                  <c:v>315.94899999999996</c:v>
                </c:pt>
                <c:pt idx="1168">
                  <c:v>322.92899999999997</c:v>
                </c:pt>
                <c:pt idx="1169">
                  <c:v>323.976</c:v>
                </c:pt>
                <c:pt idx="1170">
                  <c:v>324.32499999999999</c:v>
                </c:pt>
                <c:pt idx="1171">
                  <c:v>322.23099999999999</c:v>
                </c:pt>
                <c:pt idx="1172">
                  <c:v>324.32499999999999</c:v>
                </c:pt>
                <c:pt idx="1173">
                  <c:v>325.37199999999996</c:v>
                </c:pt>
                <c:pt idx="1174">
                  <c:v>325.721</c:v>
                </c:pt>
                <c:pt idx="1175">
                  <c:v>325.721</c:v>
                </c:pt>
                <c:pt idx="1176">
                  <c:v>326.76799999999997</c:v>
                </c:pt>
                <c:pt idx="1177">
                  <c:v>327.11699999999996</c:v>
                </c:pt>
                <c:pt idx="1178">
                  <c:v>327.11699999999996</c:v>
                </c:pt>
                <c:pt idx="1179">
                  <c:v>327.11699999999996</c:v>
                </c:pt>
                <c:pt idx="1180">
                  <c:v>327.11699999999996</c:v>
                </c:pt>
                <c:pt idx="1181">
                  <c:v>327.11699999999996</c:v>
                </c:pt>
                <c:pt idx="1182">
                  <c:v>327.11699999999996</c:v>
                </c:pt>
                <c:pt idx="1183">
                  <c:v>327.11699999999996</c:v>
                </c:pt>
                <c:pt idx="1184">
                  <c:v>327.11699999999996</c:v>
                </c:pt>
                <c:pt idx="1185">
                  <c:v>324.32499999999999</c:v>
                </c:pt>
                <c:pt idx="1186">
                  <c:v>308.27099999999996</c:v>
                </c:pt>
                <c:pt idx="1187">
                  <c:v>276.86099999999999</c:v>
                </c:pt>
                <c:pt idx="1188">
                  <c:v>272.673</c:v>
                </c:pt>
                <c:pt idx="1189">
                  <c:v>254.52499999999998</c:v>
                </c:pt>
                <c:pt idx="1190">
                  <c:v>271.97499999999997</c:v>
                </c:pt>
                <c:pt idx="1191">
                  <c:v>271.27699999999999</c:v>
                </c:pt>
                <c:pt idx="1192">
                  <c:v>254.52499999999998</c:v>
                </c:pt>
                <c:pt idx="1193">
                  <c:v>273.71999999999997</c:v>
                </c:pt>
                <c:pt idx="1194">
                  <c:v>274.06899999999996</c:v>
                </c:pt>
                <c:pt idx="1195">
                  <c:v>275.46499999999997</c:v>
                </c:pt>
                <c:pt idx="1196">
                  <c:v>262.90100000000001</c:v>
                </c:pt>
                <c:pt idx="1197">
                  <c:v>275.11599999999999</c:v>
                </c:pt>
                <c:pt idx="1198">
                  <c:v>279.65299999999996</c:v>
                </c:pt>
                <c:pt idx="1199">
                  <c:v>260.10899999999998</c:v>
                </c:pt>
                <c:pt idx="1200">
                  <c:v>277.90799999999996</c:v>
                </c:pt>
                <c:pt idx="1201">
                  <c:v>279.65299999999996</c:v>
                </c:pt>
                <c:pt idx="1202">
                  <c:v>290.82099999999997</c:v>
                </c:pt>
                <c:pt idx="1203">
                  <c:v>296.40499999999997</c:v>
                </c:pt>
                <c:pt idx="1204">
                  <c:v>289.42499999999995</c:v>
                </c:pt>
                <c:pt idx="1205">
                  <c:v>290.82099999999997</c:v>
                </c:pt>
                <c:pt idx="1206">
                  <c:v>296.40499999999997</c:v>
                </c:pt>
                <c:pt idx="1207">
                  <c:v>286.63299999999998</c:v>
                </c:pt>
                <c:pt idx="1208">
                  <c:v>292.91499999999996</c:v>
                </c:pt>
                <c:pt idx="1209">
                  <c:v>302.68699999999995</c:v>
                </c:pt>
                <c:pt idx="1210">
                  <c:v>299.197</c:v>
                </c:pt>
                <c:pt idx="1211">
                  <c:v>293.26399999999995</c:v>
                </c:pt>
                <c:pt idx="1212">
                  <c:v>302.68699999999995</c:v>
                </c:pt>
                <c:pt idx="1213">
                  <c:v>274.06899999999996</c:v>
                </c:pt>
                <c:pt idx="1214">
                  <c:v>296.40499999999997</c:v>
                </c:pt>
                <c:pt idx="1215">
                  <c:v>300.59299999999996</c:v>
                </c:pt>
                <c:pt idx="1216">
                  <c:v>298.49899999999997</c:v>
                </c:pt>
                <c:pt idx="1217">
                  <c:v>305.82799999999997</c:v>
                </c:pt>
                <c:pt idx="1218">
                  <c:v>289.07599999999996</c:v>
                </c:pt>
                <c:pt idx="1219">
                  <c:v>297.80099999999999</c:v>
                </c:pt>
                <c:pt idx="1220">
                  <c:v>295.00899999999996</c:v>
                </c:pt>
                <c:pt idx="1221">
                  <c:v>300.59299999999996</c:v>
                </c:pt>
                <c:pt idx="1222">
                  <c:v>313.15699999999998</c:v>
                </c:pt>
                <c:pt idx="1223">
                  <c:v>315.94899999999996</c:v>
                </c:pt>
                <c:pt idx="1224">
                  <c:v>297.10300000000001</c:v>
                </c:pt>
                <c:pt idx="1225">
                  <c:v>319.78799999999995</c:v>
                </c:pt>
                <c:pt idx="1226">
                  <c:v>317.34499999999997</c:v>
                </c:pt>
                <c:pt idx="1227">
                  <c:v>322.92899999999997</c:v>
                </c:pt>
                <c:pt idx="1228">
                  <c:v>303.38499999999999</c:v>
                </c:pt>
                <c:pt idx="1229">
                  <c:v>318.392</c:v>
                </c:pt>
                <c:pt idx="1230">
                  <c:v>314.20399999999995</c:v>
                </c:pt>
                <c:pt idx="1231">
                  <c:v>310.36499999999995</c:v>
                </c:pt>
                <c:pt idx="1232">
                  <c:v>299.197</c:v>
                </c:pt>
                <c:pt idx="1233">
                  <c:v>301.98899999999998</c:v>
                </c:pt>
                <c:pt idx="1234">
                  <c:v>267.089</c:v>
                </c:pt>
                <c:pt idx="1235">
                  <c:v>288.029</c:v>
                </c:pt>
                <c:pt idx="1236">
                  <c:v>279.65299999999996</c:v>
                </c:pt>
                <c:pt idx="1237">
                  <c:v>265.69299999999998</c:v>
                </c:pt>
                <c:pt idx="1238">
                  <c:v>268.48499999999996</c:v>
                </c:pt>
                <c:pt idx="1239">
                  <c:v>268.48499999999996</c:v>
                </c:pt>
                <c:pt idx="1240">
                  <c:v>267.089</c:v>
                </c:pt>
                <c:pt idx="1241">
                  <c:v>292.21699999999998</c:v>
                </c:pt>
                <c:pt idx="1242">
                  <c:v>294.65999999999997</c:v>
                </c:pt>
                <c:pt idx="1243">
                  <c:v>285.23699999999997</c:v>
                </c:pt>
                <c:pt idx="1244">
                  <c:v>289.42499999999995</c:v>
                </c:pt>
                <c:pt idx="1245">
                  <c:v>279.65299999999996</c:v>
                </c:pt>
                <c:pt idx="1246">
                  <c:v>275.11599999999999</c:v>
                </c:pt>
                <c:pt idx="1247">
                  <c:v>288.029</c:v>
                </c:pt>
                <c:pt idx="1248">
                  <c:v>275.46499999999997</c:v>
                </c:pt>
                <c:pt idx="1249">
                  <c:v>282.44499999999999</c:v>
                </c:pt>
                <c:pt idx="1250">
                  <c:v>273.71999999999997</c:v>
                </c:pt>
                <c:pt idx="1251">
                  <c:v>288.029</c:v>
                </c:pt>
                <c:pt idx="1252">
                  <c:v>282.096</c:v>
                </c:pt>
                <c:pt idx="1253">
                  <c:v>287.33099999999996</c:v>
                </c:pt>
                <c:pt idx="1254">
                  <c:v>295.00899999999996</c:v>
                </c:pt>
                <c:pt idx="1255">
                  <c:v>291.86799999999999</c:v>
                </c:pt>
                <c:pt idx="1256">
                  <c:v>304.78100000000001</c:v>
                </c:pt>
                <c:pt idx="1257">
                  <c:v>297.452</c:v>
                </c:pt>
                <c:pt idx="1258">
                  <c:v>297.80099999999999</c:v>
                </c:pt>
                <c:pt idx="1259">
                  <c:v>289.42499999999995</c:v>
                </c:pt>
                <c:pt idx="1260">
                  <c:v>315.94899999999996</c:v>
                </c:pt>
                <c:pt idx="1261">
                  <c:v>308.96899999999999</c:v>
                </c:pt>
                <c:pt idx="1262">
                  <c:v>322.92899999999997</c:v>
                </c:pt>
                <c:pt idx="1263">
                  <c:v>322.92899999999997</c:v>
                </c:pt>
                <c:pt idx="1264">
                  <c:v>324.32499999999999</c:v>
                </c:pt>
                <c:pt idx="1265">
                  <c:v>324.32499999999999</c:v>
                </c:pt>
                <c:pt idx="1266">
                  <c:v>322.92899999999997</c:v>
                </c:pt>
                <c:pt idx="1267">
                  <c:v>318.392</c:v>
                </c:pt>
                <c:pt idx="1268">
                  <c:v>313.15699999999998</c:v>
                </c:pt>
                <c:pt idx="1269">
                  <c:v>320.137</c:v>
                </c:pt>
                <c:pt idx="1270">
                  <c:v>30.117999999999999</c:v>
                </c:pt>
                <c:pt idx="1271">
                  <c:v>272.32399999999996</c:v>
                </c:pt>
                <c:pt idx="1272">
                  <c:v>283.84100000000001</c:v>
                </c:pt>
                <c:pt idx="1273">
                  <c:v>292.21699999999998</c:v>
                </c:pt>
                <c:pt idx="1274">
                  <c:v>281.04899999999998</c:v>
                </c:pt>
                <c:pt idx="1275">
                  <c:v>304.08299999999997</c:v>
                </c:pt>
                <c:pt idx="1276">
                  <c:v>301.64</c:v>
                </c:pt>
                <c:pt idx="1277">
                  <c:v>308.96899999999999</c:v>
                </c:pt>
                <c:pt idx="1278">
                  <c:v>301.98899999999998</c:v>
                </c:pt>
                <c:pt idx="1279">
                  <c:v>300.59299999999996</c:v>
                </c:pt>
                <c:pt idx="1280">
                  <c:v>201.47699999999998</c:v>
                </c:pt>
                <c:pt idx="1281">
                  <c:v>169.01999999999998</c:v>
                </c:pt>
                <c:pt idx="1282">
                  <c:v>131.328</c:v>
                </c:pt>
                <c:pt idx="1283">
                  <c:v>113.17999999999999</c:v>
                </c:pt>
                <c:pt idx="1284">
                  <c:v>104.80399999999999</c:v>
                </c:pt>
                <c:pt idx="1285">
                  <c:v>125.04599999999999</c:v>
                </c:pt>
                <c:pt idx="1286">
                  <c:v>140.40199999999999</c:v>
                </c:pt>
                <c:pt idx="1287">
                  <c:v>118.764</c:v>
                </c:pt>
                <c:pt idx="1288">
                  <c:v>127.13999999999999</c:v>
                </c:pt>
                <c:pt idx="1289">
                  <c:v>132.02599999999998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08-415F-9B14-B651548FC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318400"/>
        <c:axId val="1"/>
      </c:scatterChart>
      <c:valAx>
        <c:axId val="706318400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631840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547717842323659"/>
          <c:y val="0.504774897680764"/>
          <c:w val="0.1112033195020747"/>
          <c:h val="3.274215552523874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46887966804979"/>
          <c:y val="2.046384720327421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663900414937761E-2"/>
          <c:y val="0.10504774897680765"/>
          <c:w val="0.84232365145228216"/>
          <c:h val="0.86357435197817189"/>
        </c:manualLayout>
      </c:layout>
      <c:scatterChart>
        <c:scatterStyle val="lineMarker"/>
        <c:varyColors val="0"/>
        <c:ser>
          <c:idx val="0"/>
          <c:order val="0"/>
          <c:tx>
            <c:strRef>
              <c:f>AADATA!$K$1:$K$2</c:f>
              <c:strCache>
                <c:ptCount val="2"/>
                <c:pt idx="0">
                  <c:v>Humidity</c:v>
                </c:pt>
              </c:strCache>
            </c:strRef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AADATA!$H$3:$H$1303</c:f>
              <c:numCache>
                <c:formatCode>m/d/yyyy\ h:mm</c:formatCode>
                <c:ptCount val="1301"/>
                <c:pt idx="0">
                  <c:v>36828.708333333336</c:v>
                </c:pt>
                <c:pt idx="1">
                  <c:v>36828.729166666672</c:v>
                </c:pt>
                <c:pt idx="2">
                  <c:v>36828.750000000007</c:v>
                </c:pt>
                <c:pt idx="3">
                  <c:v>36828.770833333343</c:v>
                </c:pt>
                <c:pt idx="4">
                  <c:v>36828.791666666679</c:v>
                </c:pt>
                <c:pt idx="5">
                  <c:v>36828.812500000015</c:v>
                </c:pt>
                <c:pt idx="6">
                  <c:v>36828.83333333335</c:v>
                </c:pt>
                <c:pt idx="7">
                  <c:v>36828.854166666686</c:v>
                </c:pt>
                <c:pt idx="8">
                  <c:v>36828.875000000022</c:v>
                </c:pt>
                <c:pt idx="9">
                  <c:v>36828.895833333358</c:v>
                </c:pt>
                <c:pt idx="10">
                  <c:v>36828.916666666693</c:v>
                </c:pt>
                <c:pt idx="11">
                  <c:v>36828.937500000029</c:v>
                </c:pt>
                <c:pt idx="12">
                  <c:v>36828.958333333365</c:v>
                </c:pt>
                <c:pt idx="13">
                  <c:v>36828.979166666701</c:v>
                </c:pt>
                <c:pt idx="14">
                  <c:v>36829.000000000036</c:v>
                </c:pt>
                <c:pt idx="15">
                  <c:v>36829.020833333372</c:v>
                </c:pt>
                <c:pt idx="16">
                  <c:v>36829.041666666708</c:v>
                </c:pt>
                <c:pt idx="17">
                  <c:v>36829.062500000044</c:v>
                </c:pt>
                <c:pt idx="18">
                  <c:v>36829.083333333379</c:v>
                </c:pt>
                <c:pt idx="19">
                  <c:v>36829.104166666715</c:v>
                </c:pt>
                <c:pt idx="20">
                  <c:v>36829.125000000051</c:v>
                </c:pt>
                <c:pt idx="21">
                  <c:v>36829.145833333387</c:v>
                </c:pt>
                <c:pt idx="22">
                  <c:v>36829.166666666722</c:v>
                </c:pt>
                <c:pt idx="23">
                  <c:v>36829.187500000058</c:v>
                </c:pt>
                <c:pt idx="24">
                  <c:v>36829.208333333394</c:v>
                </c:pt>
                <c:pt idx="25">
                  <c:v>36829.22916666673</c:v>
                </c:pt>
                <c:pt idx="26">
                  <c:v>36829.250000000065</c:v>
                </c:pt>
                <c:pt idx="27">
                  <c:v>36829.270833333401</c:v>
                </c:pt>
                <c:pt idx="28">
                  <c:v>36829.291666666737</c:v>
                </c:pt>
                <c:pt idx="29">
                  <c:v>36829.312500000073</c:v>
                </c:pt>
                <c:pt idx="30">
                  <c:v>36829.333333333409</c:v>
                </c:pt>
                <c:pt idx="31">
                  <c:v>36829.354166666744</c:v>
                </c:pt>
                <c:pt idx="32">
                  <c:v>36829.37500000008</c:v>
                </c:pt>
                <c:pt idx="33">
                  <c:v>36829.395833333416</c:v>
                </c:pt>
                <c:pt idx="34">
                  <c:v>36829.416666666752</c:v>
                </c:pt>
                <c:pt idx="35">
                  <c:v>36829.437500000087</c:v>
                </c:pt>
                <c:pt idx="36">
                  <c:v>36829.458333333423</c:v>
                </c:pt>
                <c:pt idx="37">
                  <c:v>36829.479166666759</c:v>
                </c:pt>
                <c:pt idx="38">
                  <c:v>36829.500000000095</c:v>
                </c:pt>
                <c:pt idx="39">
                  <c:v>36829.52083333343</c:v>
                </c:pt>
                <c:pt idx="40">
                  <c:v>36829.541666666766</c:v>
                </c:pt>
                <c:pt idx="41">
                  <c:v>36829.562500000102</c:v>
                </c:pt>
                <c:pt idx="42">
                  <c:v>36829.583333333438</c:v>
                </c:pt>
                <c:pt idx="43">
                  <c:v>36829.604166666773</c:v>
                </c:pt>
                <c:pt idx="44">
                  <c:v>36829.625000000109</c:v>
                </c:pt>
                <c:pt idx="45">
                  <c:v>36829.645833333445</c:v>
                </c:pt>
                <c:pt idx="46">
                  <c:v>36829.666666666781</c:v>
                </c:pt>
                <c:pt idx="47">
                  <c:v>36829.687500000116</c:v>
                </c:pt>
                <c:pt idx="48">
                  <c:v>36829.708333333452</c:v>
                </c:pt>
                <c:pt idx="49">
                  <c:v>36829.729166666788</c:v>
                </c:pt>
                <c:pt idx="50">
                  <c:v>36829.750000000124</c:v>
                </c:pt>
                <c:pt idx="51">
                  <c:v>36829.770833333459</c:v>
                </c:pt>
                <c:pt idx="52">
                  <c:v>36829.791666666795</c:v>
                </c:pt>
                <c:pt idx="53">
                  <c:v>36829.812500000131</c:v>
                </c:pt>
                <c:pt idx="54">
                  <c:v>36829.833333333467</c:v>
                </c:pt>
                <c:pt idx="55">
                  <c:v>36829.854166666802</c:v>
                </c:pt>
                <c:pt idx="56">
                  <c:v>36829.875000000138</c:v>
                </c:pt>
                <c:pt idx="57">
                  <c:v>36829.895833333474</c:v>
                </c:pt>
                <c:pt idx="58">
                  <c:v>36829.91666666681</c:v>
                </c:pt>
                <c:pt idx="59">
                  <c:v>36829.937500000146</c:v>
                </c:pt>
                <c:pt idx="60">
                  <c:v>36829.958333333481</c:v>
                </c:pt>
                <c:pt idx="61">
                  <c:v>36829.979166666817</c:v>
                </c:pt>
                <c:pt idx="62">
                  <c:v>36830.000000000153</c:v>
                </c:pt>
                <c:pt idx="63">
                  <c:v>36830.020833333489</c:v>
                </c:pt>
                <c:pt idx="64">
                  <c:v>36830.041666666824</c:v>
                </c:pt>
                <c:pt idx="65">
                  <c:v>36830.06250000016</c:v>
                </c:pt>
                <c:pt idx="66">
                  <c:v>36830.083333333496</c:v>
                </c:pt>
                <c:pt idx="67">
                  <c:v>36830.104166666832</c:v>
                </c:pt>
                <c:pt idx="68">
                  <c:v>36830.125000000167</c:v>
                </c:pt>
                <c:pt idx="69">
                  <c:v>36830.145833333503</c:v>
                </c:pt>
                <c:pt idx="70">
                  <c:v>36830.166666666839</c:v>
                </c:pt>
                <c:pt idx="71">
                  <c:v>36830.187500000175</c:v>
                </c:pt>
                <c:pt idx="72">
                  <c:v>36830.20833333351</c:v>
                </c:pt>
                <c:pt idx="73">
                  <c:v>36830.229166666846</c:v>
                </c:pt>
                <c:pt idx="74">
                  <c:v>36830.250000000182</c:v>
                </c:pt>
                <c:pt idx="75">
                  <c:v>36830.270833333518</c:v>
                </c:pt>
                <c:pt idx="76">
                  <c:v>36830.291666666853</c:v>
                </c:pt>
                <c:pt idx="77">
                  <c:v>36830.312500000189</c:v>
                </c:pt>
                <c:pt idx="78">
                  <c:v>36830.333333333525</c:v>
                </c:pt>
                <c:pt idx="79">
                  <c:v>36830.354166666861</c:v>
                </c:pt>
                <c:pt idx="80">
                  <c:v>36830.375000000196</c:v>
                </c:pt>
                <c:pt idx="81">
                  <c:v>36830.395833333532</c:v>
                </c:pt>
                <c:pt idx="82">
                  <c:v>36830.416666666868</c:v>
                </c:pt>
                <c:pt idx="83">
                  <c:v>36830.437500000204</c:v>
                </c:pt>
                <c:pt idx="84">
                  <c:v>36830.458333333539</c:v>
                </c:pt>
                <c:pt idx="85">
                  <c:v>36830.479166666875</c:v>
                </c:pt>
                <c:pt idx="86">
                  <c:v>36830.500000000211</c:v>
                </c:pt>
                <c:pt idx="87">
                  <c:v>36830.520833333547</c:v>
                </c:pt>
                <c:pt idx="88">
                  <c:v>36830.541666666883</c:v>
                </c:pt>
                <c:pt idx="89">
                  <c:v>36830.562500000218</c:v>
                </c:pt>
                <c:pt idx="90">
                  <c:v>36830.583333333554</c:v>
                </c:pt>
                <c:pt idx="91">
                  <c:v>36830.60416666689</c:v>
                </c:pt>
                <c:pt idx="92">
                  <c:v>36830.625000000226</c:v>
                </c:pt>
                <c:pt idx="93">
                  <c:v>36830.645833333561</c:v>
                </c:pt>
                <c:pt idx="94">
                  <c:v>36830.666666666897</c:v>
                </c:pt>
                <c:pt idx="95">
                  <c:v>36830.687500000233</c:v>
                </c:pt>
                <c:pt idx="96">
                  <c:v>36830.708333333569</c:v>
                </c:pt>
                <c:pt idx="97">
                  <c:v>36830.729166666904</c:v>
                </c:pt>
                <c:pt idx="98">
                  <c:v>36830.75000000024</c:v>
                </c:pt>
                <c:pt idx="99">
                  <c:v>36830.770833333576</c:v>
                </c:pt>
                <c:pt idx="100">
                  <c:v>36830.791666666912</c:v>
                </c:pt>
                <c:pt idx="101">
                  <c:v>36830.812500000247</c:v>
                </c:pt>
                <c:pt idx="102">
                  <c:v>36830.833333333583</c:v>
                </c:pt>
                <c:pt idx="103">
                  <c:v>36830.854166666919</c:v>
                </c:pt>
                <c:pt idx="104">
                  <c:v>36830.875000000255</c:v>
                </c:pt>
                <c:pt idx="105">
                  <c:v>36830.89583333359</c:v>
                </c:pt>
                <c:pt idx="106">
                  <c:v>36830.916666666926</c:v>
                </c:pt>
                <c:pt idx="107">
                  <c:v>36830.937500000262</c:v>
                </c:pt>
                <c:pt idx="108">
                  <c:v>36830.958333333598</c:v>
                </c:pt>
                <c:pt idx="109">
                  <c:v>36830.979166666933</c:v>
                </c:pt>
                <c:pt idx="110">
                  <c:v>36831.000000000269</c:v>
                </c:pt>
                <c:pt idx="111">
                  <c:v>36831.020833333605</c:v>
                </c:pt>
                <c:pt idx="112">
                  <c:v>36831.041666666941</c:v>
                </c:pt>
                <c:pt idx="113">
                  <c:v>36831.062500000276</c:v>
                </c:pt>
                <c:pt idx="114">
                  <c:v>36831.083333333612</c:v>
                </c:pt>
                <c:pt idx="115">
                  <c:v>36831.104166666948</c:v>
                </c:pt>
                <c:pt idx="116">
                  <c:v>36831.125000000284</c:v>
                </c:pt>
                <c:pt idx="117">
                  <c:v>36831.14583333362</c:v>
                </c:pt>
                <c:pt idx="118">
                  <c:v>36831.166666666955</c:v>
                </c:pt>
                <c:pt idx="119">
                  <c:v>36831.187500000291</c:v>
                </c:pt>
                <c:pt idx="120">
                  <c:v>36831.208333333627</c:v>
                </c:pt>
                <c:pt idx="121">
                  <c:v>36831.229166666963</c:v>
                </c:pt>
                <c:pt idx="122">
                  <c:v>36831.250000000298</c:v>
                </c:pt>
                <c:pt idx="123">
                  <c:v>36831.270833333634</c:v>
                </c:pt>
                <c:pt idx="124">
                  <c:v>36831.29166666697</c:v>
                </c:pt>
                <c:pt idx="125">
                  <c:v>36831.312500000306</c:v>
                </c:pt>
                <c:pt idx="126">
                  <c:v>36831.333333333641</c:v>
                </c:pt>
                <c:pt idx="127">
                  <c:v>36831.354166666977</c:v>
                </c:pt>
                <c:pt idx="128">
                  <c:v>36831.375000000313</c:v>
                </c:pt>
                <c:pt idx="129">
                  <c:v>36831.395833333649</c:v>
                </c:pt>
                <c:pt idx="130">
                  <c:v>36831.416666666984</c:v>
                </c:pt>
                <c:pt idx="131">
                  <c:v>36831.43750000032</c:v>
                </c:pt>
                <c:pt idx="132">
                  <c:v>36831.458333333656</c:v>
                </c:pt>
                <c:pt idx="133">
                  <c:v>36831.479166666992</c:v>
                </c:pt>
                <c:pt idx="134">
                  <c:v>36831.500000000327</c:v>
                </c:pt>
                <c:pt idx="135">
                  <c:v>36831.520833333663</c:v>
                </c:pt>
                <c:pt idx="136">
                  <c:v>36831.541666666999</c:v>
                </c:pt>
                <c:pt idx="137">
                  <c:v>36831.562500000335</c:v>
                </c:pt>
                <c:pt idx="138">
                  <c:v>36831.58333333367</c:v>
                </c:pt>
                <c:pt idx="139">
                  <c:v>36831.604166667006</c:v>
                </c:pt>
                <c:pt idx="140">
                  <c:v>36831.625000000342</c:v>
                </c:pt>
                <c:pt idx="141">
                  <c:v>36831.645833333678</c:v>
                </c:pt>
                <c:pt idx="142">
                  <c:v>36831.666666667013</c:v>
                </c:pt>
                <c:pt idx="143">
                  <c:v>36831.687500000349</c:v>
                </c:pt>
                <c:pt idx="144">
                  <c:v>36831.708333333685</c:v>
                </c:pt>
                <c:pt idx="145">
                  <c:v>36831.729166667021</c:v>
                </c:pt>
                <c:pt idx="146">
                  <c:v>36831.750000000357</c:v>
                </c:pt>
                <c:pt idx="147">
                  <c:v>36831.770833333692</c:v>
                </c:pt>
                <c:pt idx="148">
                  <c:v>36831.791666667028</c:v>
                </c:pt>
                <c:pt idx="149">
                  <c:v>36831.812500000364</c:v>
                </c:pt>
                <c:pt idx="150">
                  <c:v>36831.8333333337</c:v>
                </c:pt>
                <c:pt idx="151">
                  <c:v>36831.854166667035</c:v>
                </c:pt>
                <c:pt idx="152">
                  <c:v>36831.875000000371</c:v>
                </c:pt>
                <c:pt idx="153">
                  <c:v>36831.895833333707</c:v>
                </c:pt>
                <c:pt idx="154">
                  <c:v>36831.916666667043</c:v>
                </c:pt>
                <c:pt idx="155">
                  <c:v>36831.937500000378</c:v>
                </c:pt>
                <c:pt idx="156">
                  <c:v>36831.958333333714</c:v>
                </c:pt>
                <c:pt idx="157">
                  <c:v>36831.97916666705</c:v>
                </c:pt>
                <c:pt idx="158">
                  <c:v>36832.000000000386</c:v>
                </c:pt>
                <c:pt idx="159">
                  <c:v>36832.020833333721</c:v>
                </c:pt>
                <c:pt idx="160">
                  <c:v>36832.041666667057</c:v>
                </c:pt>
                <c:pt idx="161">
                  <c:v>36832.062500000393</c:v>
                </c:pt>
                <c:pt idx="162">
                  <c:v>36832.083333333729</c:v>
                </c:pt>
                <c:pt idx="163">
                  <c:v>36832.104166667064</c:v>
                </c:pt>
                <c:pt idx="164">
                  <c:v>36832.1250000004</c:v>
                </c:pt>
                <c:pt idx="165">
                  <c:v>36832.145833333736</c:v>
                </c:pt>
                <c:pt idx="166">
                  <c:v>36832.166666667072</c:v>
                </c:pt>
                <c:pt idx="167">
                  <c:v>36832.187500000407</c:v>
                </c:pt>
                <c:pt idx="168">
                  <c:v>36832.208333333743</c:v>
                </c:pt>
                <c:pt idx="169">
                  <c:v>36832.229166667079</c:v>
                </c:pt>
                <c:pt idx="170">
                  <c:v>36832.250000000415</c:v>
                </c:pt>
                <c:pt idx="171">
                  <c:v>36832.27083333375</c:v>
                </c:pt>
                <c:pt idx="172">
                  <c:v>36832.291666667086</c:v>
                </c:pt>
                <c:pt idx="173">
                  <c:v>36832.312500000422</c:v>
                </c:pt>
                <c:pt idx="174">
                  <c:v>36832.333333333758</c:v>
                </c:pt>
                <c:pt idx="175">
                  <c:v>36832.354166667094</c:v>
                </c:pt>
                <c:pt idx="176">
                  <c:v>36832.375000000429</c:v>
                </c:pt>
                <c:pt idx="177">
                  <c:v>36832.395833333765</c:v>
                </c:pt>
                <c:pt idx="178">
                  <c:v>36832.416666667101</c:v>
                </c:pt>
                <c:pt idx="179">
                  <c:v>36832.437500000437</c:v>
                </c:pt>
                <c:pt idx="180">
                  <c:v>36832.458333333772</c:v>
                </c:pt>
                <c:pt idx="181">
                  <c:v>36832.479166667108</c:v>
                </c:pt>
                <c:pt idx="182">
                  <c:v>36832.500000000444</c:v>
                </c:pt>
                <c:pt idx="183">
                  <c:v>36832.52083333378</c:v>
                </c:pt>
                <c:pt idx="184">
                  <c:v>36832.541666667115</c:v>
                </c:pt>
                <c:pt idx="185">
                  <c:v>36832.562500000451</c:v>
                </c:pt>
                <c:pt idx="186">
                  <c:v>36832.583333333787</c:v>
                </c:pt>
                <c:pt idx="187">
                  <c:v>36832.604166667123</c:v>
                </c:pt>
                <c:pt idx="188">
                  <c:v>36832.625000000458</c:v>
                </c:pt>
                <c:pt idx="189">
                  <c:v>36832.645833333794</c:v>
                </c:pt>
                <c:pt idx="190">
                  <c:v>36832.66666666713</c:v>
                </c:pt>
                <c:pt idx="191">
                  <c:v>36832.687500000466</c:v>
                </c:pt>
                <c:pt idx="192">
                  <c:v>36832.708333333801</c:v>
                </c:pt>
                <c:pt idx="193">
                  <c:v>36832.729166667137</c:v>
                </c:pt>
                <c:pt idx="194">
                  <c:v>36832.750000000473</c:v>
                </c:pt>
                <c:pt idx="195">
                  <c:v>36832.770833333809</c:v>
                </c:pt>
                <c:pt idx="196">
                  <c:v>36832.791666667144</c:v>
                </c:pt>
                <c:pt idx="197">
                  <c:v>36832.81250000048</c:v>
                </c:pt>
                <c:pt idx="198">
                  <c:v>36832.833333333816</c:v>
                </c:pt>
                <c:pt idx="199">
                  <c:v>36832.854166667152</c:v>
                </c:pt>
                <c:pt idx="200">
                  <c:v>36832.875000000487</c:v>
                </c:pt>
                <c:pt idx="201">
                  <c:v>36832.895833333823</c:v>
                </c:pt>
                <c:pt idx="202">
                  <c:v>36832.916666667159</c:v>
                </c:pt>
                <c:pt idx="203">
                  <c:v>36832.937500000495</c:v>
                </c:pt>
                <c:pt idx="204">
                  <c:v>36832.958333333831</c:v>
                </c:pt>
                <c:pt idx="205">
                  <c:v>36832.979166667166</c:v>
                </c:pt>
                <c:pt idx="206">
                  <c:v>36833.000000000502</c:v>
                </c:pt>
                <c:pt idx="207">
                  <c:v>36833.020833333838</c:v>
                </c:pt>
                <c:pt idx="208">
                  <c:v>36833.041666667174</c:v>
                </c:pt>
                <c:pt idx="209">
                  <c:v>36833.062500000509</c:v>
                </c:pt>
                <c:pt idx="210">
                  <c:v>36833.083333333845</c:v>
                </c:pt>
                <c:pt idx="211">
                  <c:v>36833.104166667181</c:v>
                </c:pt>
                <c:pt idx="212">
                  <c:v>36833.125000000517</c:v>
                </c:pt>
                <c:pt idx="213">
                  <c:v>36833.145833333852</c:v>
                </c:pt>
                <c:pt idx="214">
                  <c:v>36833.166666667188</c:v>
                </c:pt>
                <c:pt idx="215">
                  <c:v>36833.187500000524</c:v>
                </c:pt>
                <c:pt idx="216">
                  <c:v>36833.20833333386</c:v>
                </c:pt>
                <c:pt idx="217">
                  <c:v>36833.229166667195</c:v>
                </c:pt>
                <c:pt idx="218">
                  <c:v>36833.250000000531</c:v>
                </c:pt>
                <c:pt idx="219">
                  <c:v>36833.270833333867</c:v>
                </c:pt>
                <c:pt idx="220">
                  <c:v>36833.291666667203</c:v>
                </c:pt>
                <c:pt idx="221">
                  <c:v>36833.312500000538</c:v>
                </c:pt>
                <c:pt idx="222">
                  <c:v>36833.333333333874</c:v>
                </c:pt>
                <c:pt idx="223">
                  <c:v>36833.35416666721</c:v>
                </c:pt>
                <c:pt idx="224">
                  <c:v>36833.375000000546</c:v>
                </c:pt>
                <c:pt idx="225">
                  <c:v>36833.395833333881</c:v>
                </c:pt>
                <c:pt idx="226">
                  <c:v>36833.416666667217</c:v>
                </c:pt>
                <c:pt idx="227">
                  <c:v>36833.437500000553</c:v>
                </c:pt>
                <c:pt idx="228">
                  <c:v>36833.458333333889</c:v>
                </c:pt>
                <c:pt idx="229">
                  <c:v>36833.479166667224</c:v>
                </c:pt>
                <c:pt idx="230">
                  <c:v>36833.50000000056</c:v>
                </c:pt>
                <c:pt idx="231">
                  <c:v>36833.520833333896</c:v>
                </c:pt>
                <c:pt idx="232">
                  <c:v>36833.541666667232</c:v>
                </c:pt>
                <c:pt idx="233">
                  <c:v>36833.562500000568</c:v>
                </c:pt>
                <c:pt idx="234">
                  <c:v>36833.583333333903</c:v>
                </c:pt>
                <c:pt idx="235">
                  <c:v>36833.604166667239</c:v>
                </c:pt>
                <c:pt idx="236">
                  <c:v>36833.625000000575</c:v>
                </c:pt>
                <c:pt idx="237">
                  <c:v>36833.645833333911</c:v>
                </c:pt>
                <c:pt idx="238">
                  <c:v>36833.666666667246</c:v>
                </c:pt>
                <c:pt idx="239">
                  <c:v>36833.687500000582</c:v>
                </c:pt>
                <c:pt idx="240">
                  <c:v>36833.708333333918</c:v>
                </c:pt>
                <c:pt idx="241">
                  <c:v>36833.729166667254</c:v>
                </c:pt>
                <c:pt idx="242">
                  <c:v>36833.750000000589</c:v>
                </c:pt>
                <c:pt idx="243">
                  <c:v>36833.770833333925</c:v>
                </c:pt>
                <c:pt idx="244">
                  <c:v>36833.791666667261</c:v>
                </c:pt>
                <c:pt idx="245">
                  <c:v>36833.812500000597</c:v>
                </c:pt>
                <c:pt idx="246">
                  <c:v>36833.833333333932</c:v>
                </c:pt>
                <c:pt idx="247">
                  <c:v>36833.854166667268</c:v>
                </c:pt>
                <c:pt idx="248">
                  <c:v>36833.875000000604</c:v>
                </c:pt>
                <c:pt idx="249">
                  <c:v>36833.89583333394</c:v>
                </c:pt>
                <c:pt idx="250">
                  <c:v>36833.916666667275</c:v>
                </c:pt>
                <c:pt idx="251">
                  <c:v>36833.937500000611</c:v>
                </c:pt>
                <c:pt idx="252">
                  <c:v>36833.958333333947</c:v>
                </c:pt>
                <c:pt idx="253">
                  <c:v>36833.979166667283</c:v>
                </c:pt>
                <c:pt idx="254">
                  <c:v>36834.000000000618</c:v>
                </c:pt>
                <c:pt idx="255">
                  <c:v>36834.020833333954</c:v>
                </c:pt>
                <c:pt idx="256">
                  <c:v>36834.04166666729</c:v>
                </c:pt>
                <c:pt idx="257">
                  <c:v>36834.062500000626</c:v>
                </c:pt>
                <c:pt idx="258">
                  <c:v>36834.083333333961</c:v>
                </c:pt>
                <c:pt idx="259">
                  <c:v>36834.104166667297</c:v>
                </c:pt>
                <c:pt idx="260">
                  <c:v>36834.125000000633</c:v>
                </c:pt>
                <c:pt idx="261">
                  <c:v>36834.145833333969</c:v>
                </c:pt>
                <c:pt idx="262">
                  <c:v>36834.166666667305</c:v>
                </c:pt>
                <c:pt idx="263">
                  <c:v>36834.18750000064</c:v>
                </c:pt>
                <c:pt idx="264">
                  <c:v>36834.208333333976</c:v>
                </c:pt>
                <c:pt idx="265">
                  <c:v>36834.229166667312</c:v>
                </c:pt>
                <c:pt idx="266">
                  <c:v>36834.250000000648</c:v>
                </c:pt>
                <c:pt idx="267">
                  <c:v>36834.270833333983</c:v>
                </c:pt>
                <c:pt idx="268">
                  <c:v>36834.291666667319</c:v>
                </c:pt>
                <c:pt idx="269">
                  <c:v>36834.312500000655</c:v>
                </c:pt>
                <c:pt idx="270">
                  <c:v>36834.333333333991</c:v>
                </c:pt>
                <c:pt idx="271">
                  <c:v>36834.354166667326</c:v>
                </c:pt>
                <c:pt idx="272">
                  <c:v>36834.375000000662</c:v>
                </c:pt>
                <c:pt idx="273">
                  <c:v>36834.395833333998</c:v>
                </c:pt>
                <c:pt idx="274">
                  <c:v>36834.416666667334</c:v>
                </c:pt>
                <c:pt idx="275">
                  <c:v>36834.437500000669</c:v>
                </c:pt>
                <c:pt idx="276">
                  <c:v>36834.458333334005</c:v>
                </c:pt>
                <c:pt idx="277">
                  <c:v>36834.479166667341</c:v>
                </c:pt>
                <c:pt idx="278">
                  <c:v>36834.500000000677</c:v>
                </c:pt>
                <c:pt idx="279">
                  <c:v>36834.520833334012</c:v>
                </c:pt>
                <c:pt idx="280">
                  <c:v>36834.541666667348</c:v>
                </c:pt>
                <c:pt idx="281">
                  <c:v>36834.562500000684</c:v>
                </c:pt>
                <c:pt idx="282">
                  <c:v>36834.58333333402</c:v>
                </c:pt>
                <c:pt idx="283">
                  <c:v>36834.604166667355</c:v>
                </c:pt>
                <c:pt idx="284">
                  <c:v>36834.625000000691</c:v>
                </c:pt>
                <c:pt idx="285">
                  <c:v>36834.645833334027</c:v>
                </c:pt>
                <c:pt idx="286">
                  <c:v>36834.666666667363</c:v>
                </c:pt>
                <c:pt idx="287">
                  <c:v>36834.687500000698</c:v>
                </c:pt>
                <c:pt idx="288">
                  <c:v>36834.708333334034</c:v>
                </c:pt>
                <c:pt idx="289">
                  <c:v>36834.72916666737</c:v>
                </c:pt>
                <c:pt idx="290">
                  <c:v>36834.750000000706</c:v>
                </c:pt>
                <c:pt idx="291">
                  <c:v>36834.770833334042</c:v>
                </c:pt>
                <c:pt idx="292">
                  <c:v>36834.791666667377</c:v>
                </c:pt>
                <c:pt idx="293">
                  <c:v>36834.812500000713</c:v>
                </c:pt>
                <c:pt idx="294">
                  <c:v>36834.833333334049</c:v>
                </c:pt>
                <c:pt idx="295">
                  <c:v>36834.854166667385</c:v>
                </c:pt>
                <c:pt idx="296">
                  <c:v>36834.87500000072</c:v>
                </c:pt>
                <c:pt idx="297">
                  <c:v>36834.895833334056</c:v>
                </c:pt>
                <c:pt idx="298">
                  <c:v>36834.916666667392</c:v>
                </c:pt>
                <c:pt idx="299">
                  <c:v>36834.937500000728</c:v>
                </c:pt>
                <c:pt idx="300">
                  <c:v>36834.958333334063</c:v>
                </c:pt>
                <c:pt idx="301">
                  <c:v>36834.979166667399</c:v>
                </c:pt>
                <c:pt idx="302">
                  <c:v>36835.000000000735</c:v>
                </c:pt>
                <c:pt idx="303">
                  <c:v>36835.020833334071</c:v>
                </c:pt>
                <c:pt idx="304">
                  <c:v>36835.041666667406</c:v>
                </c:pt>
                <c:pt idx="305">
                  <c:v>36835.062500000742</c:v>
                </c:pt>
                <c:pt idx="306">
                  <c:v>36835.083333334078</c:v>
                </c:pt>
                <c:pt idx="307">
                  <c:v>36835.104166667414</c:v>
                </c:pt>
                <c:pt idx="308">
                  <c:v>36835.125000000749</c:v>
                </c:pt>
                <c:pt idx="309">
                  <c:v>36835.145833334085</c:v>
                </c:pt>
                <c:pt idx="310">
                  <c:v>36835.166666667421</c:v>
                </c:pt>
                <c:pt idx="311">
                  <c:v>36835.187500000757</c:v>
                </c:pt>
                <c:pt idx="312">
                  <c:v>36835.208333334092</c:v>
                </c:pt>
                <c:pt idx="313">
                  <c:v>36835.229166667428</c:v>
                </c:pt>
                <c:pt idx="314">
                  <c:v>36835.250000000764</c:v>
                </c:pt>
                <c:pt idx="315">
                  <c:v>36835.2708333341</c:v>
                </c:pt>
                <c:pt idx="316">
                  <c:v>36835.291666667435</c:v>
                </c:pt>
                <c:pt idx="317">
                  <c:v>36835.312500000771</c:v>
                </c:pt>
                <c:pt idx="318">
                  <c:v>36835.333333334107</c:v>
                </c:pt>
                <c:pt idx="319">
                  <c:v>36835.354166667443</c:v>
                </c:pt>
                <c:pt idx="320">
                  <c:v>36835.375000000779</c:v>
                </c:pt>
                <c:pt idx="321">
                  <c:v>36835.395833334114</c:v>
                </c:pt>
                <c:pt idx="322">
                  <c:v>36835.41666666745</c:v>
                </c:pt>
                <c:pt idx="323">
                  <c:v>36835.437500000786</c:v>
                </c:pt>
                <c:pt idx="324">
                  <c:v>36835.458333334122</c:v>
                </c:pt>
                <c:pt idx="325">
                  <c:v>36835.479166667457</c:v>
                </c:pt>
                <c:pt idx="326">
                  <c:v>36835.500000000793</c:v>
                </c:pt>
                <c:pt idx="327">
                  <c:v>36835.520833334129</c:v>
                </c:pt>
                <c:pt idx="328">
                  <c:v>36835.541666667465</c:v>
                </c:pt>
                <c:pt idx="329">
                  <c:v>36835.5625000008</c:v>
                </c:pt>
                <c:pt idx="330">
                  <c:v>36835.583333334136</c:v>
                </c:pt>
                <c:pt idx="331">
                  <c:v>36835.604166667472</c:v>
                </c:pt>
                <c:pt idx="332">
                  <c:v>36835.625000000808</c:v>
                </c:pt>
                <c:pt idx="333">
                  <c:v>36835.645833334143</c:v>
                </c:pt>
                <c:pt idx="334">
                  <c:v>36835.666666667479</c:v>
                </c:pt>
                <c:pt idx="335">
                  <c:v>36835.687500000815</c:v>
                </c:pt>
                <c:pt idx="336">
                  <c:v>36835.708333334151</c:v>
                </c:pt>
                <c:pt idx="337">
                  <c:v>36835.729166667486</c:v>
                </c:pt>
                <c:pt idx="338">
                  <c:v>36835.750000000822</c:v>
                </c:pt>
                <c:pt idx="339">
                  <c:v>36835.770833334158</c:v>
                </c:pt>
                <c:pt idx="340">
                  <c:v>36835.791666667494</c:v>
                </c:pt>
                <c:pt idx="341">
                  <c:v>36835.812500000829</c:v>
                </c:pt>
                <c:pt idx="342">
                  <c:v>36835.833333334165</c:v>
                </c:pt>
                <c:pt idx="343">
                  <c:v>36835.854166667501</c:v>
                </c:pt>
                <c:pt idx="344">
                  <c:v>36835.875000000837</c:v>
                </c:pt>
                <c:pt idx="345">
                  <c:v>36835.895833334172</c:v>
                </c:pt>
                <c:pt idx="346">
                  <c:v>36835.916666667508</c:v>
                </c:pt>
                <c:pt idx="347">
                  <c:v>36835.937500000844</c:v>
                </c:pt>
                <c:pt idx="348">
                  <c:v>36835.95833333418</c:v>
                </c:pt>
                <c:pt idx="349">
                  <c:v>36835.979166667516</c:v>
                </c:pt>
                <c:pt idx="350">
                  <c:v>36836.000000000851</c:v>
                </c:pt>
                <c:pt idx="351">
                  <c:v>36836.020833334187</c:v>
                </c:pt>
                <c:pt idx="352">
                  <c:v>36836.041666667523</c:v>
                </c:pt>
                <c:pt idx="353">
                  <c:v>36836.062500000859</c:v>
                </c:pt>
                <c:pt idx="354">
                  <c:v>36836.083333334194</c:v>
                </c:pt>
                <c:pt idx="355">
                  <c:v>36836.10416666753</c:v>
                </c:pt>
                <c:pt idx="356">
                  <c:v>36836.125000000866</c:v>
                </c:pt>
                <c:pt idx="357">
                  <c:v>36836.145833334202</c:v>
                </c:pt>
                <c:pt idx="358">
                  <c:v>36836.166666667537</c:v>
                </c:pt>
                <c:pt idx="359">
                  <c:v>36836.187500000873</c:v>
                </c:pt>
                <c:pt idx="360">
                  <c:v>36836.208333334209</c:v>
                </c:pt>
                <c:pt idx="361">
                  <c:v>36836.229166667545</c:v>
                </c:pt>
                <c:pt idx="362">
                  <c:v>36836.25000000088</c:v>
                </c:pt>
                <c:pt idx="363">
                  <c:v>36836.270833334216</c:v>
                </c:pt>
                <c:pt idx="364">
                  <c:v>36836.291666667552</c:v>
                </c:pt>
                <c:pt idx="365">
                  <c:v>36836.312500000888</c:v>
                </c:pt>
                <c:pt idx="366">
                  <c:v>36836.333333334223</c:v>
                </c:pt>
                <c:pt idx="367">
                  <c:v>36836.354166667559</c:v>
                </c:pt>
                <c:pt idx="368">
                  <c:v>36836.375000000895</c:v>
                </c:pt>
                <c:pt idx="369">
                  <c:v>36836.395833334231</c:v>
                </c:pt>
                <c:pt idx="370">
                  <c:v>36836.416666667566</c:v>
                </c:pt>
                <c:pt idx="371">
                  <c:v>36836.437500000902</c:v>
                </c:pt>
                <c:pt idx="372">
                  <c:v>36836.458333334238</c:v>
                </c:pt>
                <c:pt idx="373">
                  <c:v>36836.479166667574</c:v>
                </c:pt>
                <c:pt idx="374">
                  <c:v>36836.500000000909</c:v>
                </c:pt>
                <c:pt idx="375">
                  <c:v>36836.520833334245</c:v>
                </c:pt>
                <c:pt idx="376">
                  <c:v>36836.541666667581</c:v>
                </c:pt>
                <c:pt idx="377">
                  <c:v>36836.562500000917</c:v>
                </c:pt>
                <c:pt idx="378">
                  <c:v>36836.583333334253</c:v>
                </c:pt>
                <c:pt idx="379">
                  <c:v>36836.604166667588</c:v>
                </c:pt>
                <c:pt idx="380">
                  <c:v>36836.625000000924</c:v>
                </c:pt>
                <c:pt idx="381">
                  <c:v>36836.64583333426</c:v>
                </c:pt>
                <c:pt idx="382">
                  <c:v>36836.666666667596</c:v>
                </c:pt>
                <c:pt idx="383">
                  <c:v>36836.687500000931</c:v>
                </c:pt>
                <c:pt idx="384">
                  <c:v>36836.708333334267</c:v>
                </c:pt>
                <c:pt idx="385">
                  <c:v>36836.729166667603</c:v>
                </c:pt>
                <c:pt idx="386">
                  <c:v>36836.750000000939</c:v>
                </c:pt>
                <c:pt idx="387">
                  <c:v>36836.770833334274</c:v>
                </c:pt>
                <c:pt idx="388">
                  <c:v>36836.79166666761</c:v>
                </c:pt>
                <c:pt idx="389">
                  <c:v>36836.812500000946</c:v>
                </c:pt>
                <c:pt idx="390">
                  <c:v>36836.833333334282</c:v>
                </c:pt>
                <c:pt idx="391">
                  <c:v>36836.854166667617</c:v>
                </c:pt>
                <c:pt idx="392">
                  <c:v>36836.875000000953</c:v>
                </c:pt>
                <c:pt idx="393">
                  <c:v>36836.895833334289</c:v>
                </c:pt>
                <c:pt idx="394">
                  <c:v>36836.916666667625</c:v>
                </c:pt>
                <c:pt idx="395">
                  <c:v>36836.93750000096</c:v>
                </c:pt>
                <c:pt idx="396">
                  <c:v>36836.958333334296</c:v>
                </c:pt>
                <c:pt idx="397">
                  <c:v>36836.979166667632</c:v>
                </c:pt>
                <c:pt idx="398">
                  <c:v>36837.000000000968</c:v>
                </c:pt>
                <c:pt idx="399">
                  <c:v>36837.020833334303</c:v>
                </c:pt>
                <c:pt idx="400">
                  <c:v>36837.041666667639</c:v>
                </c:pt>
                <c:pt idx="401">
                  <c:v>36837.062500000975</c:v>
                </c:pt>
                <c:pt idx="402">
                  <c:v>36837.083333334311</c:v>
                </c:pt>
                <c:pt idx="403">
                  <c:v>36837.104166667646</c:v>
                </c:pt>
                <c:pt idx="404">
                  <c:v>36837.125000000982</c:v>
                </c:pt>
                <c:pt idx="405">
                  <c:v>36837.145833334318</c:v>
                </c:pt>
                <c:pt idx="406">
                  <c:v>36837.166666667654</c:v>
                </c:pt>
                <c:pt idx="407">
                  <c:v>36837.18750000099</c:v>
                </c:pt>
                <c:pt idx="408">
                  <c:v>36837.208333334325</c:v>
                </c:pt>
                <c:pt idx="409">
                  <c:v>36837.229166667661</c:v>
                </c:pt>
                <c:pt idx="410">
                  <c:v>36837.250000000997</c:v>
                </c:pt>
                <c:pt idx="411">
                  <c:v>36837.270833334333</c:v>
                </c:pt>
                <c:pt idx="412">
                  <c:v>36837.291666667668</c:v>
                </c:pt>
                <c:pt idx="413">
                  <c:v>36837.312500001004</c:v>
                </c:pt>
                <c:pt idx="414">
                  <c:v>36837.33333333434</c:v>
                </c:pt>
                <c:pt idx="415">
                  <c:v>36837.354166667676</c:v>
                </c:pt>
                <c:pt idx="416">
                  <c:v>36837.375000001011</c:v>
                </c:pt>
                <c:pt idx="417">
                  <c:v>36837.395833334347</c:v>
                </c:pt>
                <c:pt idx="418">
                  <c:v>36837.416666667683</c:v>
                </c:pt>
                <c:pt idx="419">
                  <c:v>36837.437500001019</c:v>
                </c:pt>
                <c:pt idx="420">
                  <c:v>36837.458333334354</c:v>
                </c:pt>
                <c:pt idx="421">
                  <c:v>36837.47916666769</c:v>
                </c:pt>
                <c:pt idx="422">
                  <c:v>36837.500000001026</c:v>
                </c:pt>
                <c:pt idx="423">
                  <c:v>36837.520833334362</c:v>
                </c:pt>
                <c:pt idx="424">
                  <c:v>36837.541666667697</c:v>
                </c:pt>
                <c:pt idx="425">
                  <c:v>36837.562500001033</c:v>
                </c:pt>
                <c:pt idx="426">
                  <c:v>36837.583333334369</c:v>
                </c:pt>
                <c:pt idx="427">
                  <c:v>36837.604166667705</c:v>
                </c:pt>
                <c:pt idx="428">
                  <c:v>36837.62500000104</c:v>
                </c:pt>
                <c:pt idx="429">
                  <c:v>36837.645833334376</c:v>
                </c:pt>
                <c:pt idx="430">
                  <c:v>36837.666666667712</c:v>
                </c:pt>
                <c:pt idx="431">
                  <c:v>36837.687500001048</c:v>
                </c:pt>
                <c:pt idx="432">
                  <c:v>36837.708333334383</c:v>
                </c:pt>
                <c:pt idx="433">
                  <c:v>36837.729166667719</c:v>
                </c:pt>
                <c:pt idx="434">
                  <c:v>36837.750000001055</c:v>
                </c:pt>
                <c:pt idx="435">
                  <c:v>36837.770833334391</c:v>
                </c:pt>
                <c:pt idx="436">
                  <c:v>36837.791666667727</c:v>
                </c:pt>
                <c:pt idx="437">
                  <c:v>36837.812500001062</c:v>
                </c:pt>
                <c:pt idx="438">
                  <c:v>36837.833333334398</c:v>
                </c:pt>
                <c:pt idx="439">
                  <c:v>36837.854166667734</c:v>
                </c:pt>
                <c:pt idx="440">
                  <c:v>36837.87500000107</c:v>
                </c:pt>
                <c:pt idx="441">
                  <c:v>36837.895833334405</c:v>
                </c:pt>
                <c:pt idx="442">
                  <c:v>36837.916666667741</c:v>
                </c:pt>
                <c:pt idx="443">
                  <c:v>36837.937500001077</c:v>
                </c:pt>
                <c:pt idx="444">
                  <c:v>36837.958333334413</c:v>
                </c:pt>
                <c:pt idx="445">
                  <c:v>36837.979166667748</c:v>
                </c:pt>
                <c:pt idx="446">
                  <c:v>36838.000000001084</c:v>
                </c:pt>
                <c:pt idx="447">
                  <c:v>36838.02083333442</c:v>
                </c:pt>
                <c:pt idx="448">
                  <c:v>36838.041666667756</c:v>
                </c:pt>
                <c:pt idx="449">
                  <c:v>36838.062500001091</c:v>
                </c:pt>
                <c:pt idx="450">
                  <c:v>36838.083333334427</c:v>
                </c:pt>
                <c:pt idx="451">
                  <c:v>36838.104166667763</c:v>
                </c:pt>
                <c:pt idx="452">
                  <c:v>36838.125000001099</c:v>
                </c:pt>
                <c:pt idx="453">
                  <c:v>36838.145833334434</c:v>
                </c:pt>
                <c:pt idx="454">
                  <c:v>36838.16666666777</c:v>
                </c:pt>
                <c:pt idx="455">
                  <c:v>36838.187500001106</c:v>
                </c:pt>
                <c:pt idx="456">
                  <c:v>36838.208333334442</c:v>
                </c:pt>
                <c:pt idx="457">
                  <c:v>36838.229166667777</c:v>
                </c:pt>
                <c:pt idx="458">
                  <c:v>36838.250000001113</c:v>
                </c:pt>
                <c:pt idx="459">
                  <c:v>36838.270833334449</c:v>
                </c:pt>
                <c:pt idx="460">
                  <c:v>36838.291666667785</c:v>
                </c:pt>
                <c:pt idx="461">
                  <c:v>36838.31250000112</c:v>
                </c:pt>
                <c:pt idx="462">
                  <c:v>36838.333333334456</c:v>
                </c:pt>
                <c:pt idx="463">
                  <c:v>36838.354166667792</c:v>
                </c:pt>
                <c:pt idx="464">
                  <c:v>36838.375000001128</c:v>
                </c:pt>
                <c:pt idx="465">
                  <c:v>36838.395833334464</c:v>
                </c:pt>
                <c:pt idx="466">
                  <c:v>36838.416666667799</c:v>
                </c:pt>
                <c:pt idx="467">
                  <c:v>36838.437500001135</c:v>
                </c:pt>
                <c:pt idx="468">
                  <c:v>36838.458333334471</c:v>
                </c:pt>
                <c:pt idx="469">
                  <c:v>36838.479166667807</c:v>
                </c:pt>
                <c:pt idx="470">
                  <c:v>36838.500000001142</c:v>
                </c:pt>
                <c:pt idx="471">
                  <c:v>36838.520833334478</c:v>
                </c:pt>
                <c:pt idx="472">
                  <c:v>36838.541666667814</c:v>
                </c:pt>
                <c:pt idx="473">
                  <c:v>36838.56250000115</c:v>
                </c:pt>
                <c:pt idx="474">
                  <c:v>36838.583333334485</c:v>
                </c:pt>
                <c:pt idx="475">
                  <c:v>36838.604166667821</c:v>
                </c:pt>
                <c:pt idx="476">
                  <c:v>36838.625000001157</c:v>
                </c:pt>
                <c:pt idx="477">
                  <c:v>36838.645833334493</c:v>
                </c:pt>
                <c:pt idx="478">
                  <c:v>36838.666666667828</c:v>
                </c:pt>
                <c:pt idx="479">
                  <c:v>36838.687500001164</c:v>
                </c:pt>
                <c:pt idx="480">
                  <c:v>36838.7083333345</c:v>
                </c:pt>
                <c:pt idx="481">
                  <c:v>36838.729166667836</c:v>
                </c:pt>
                <c:pt idx="482">
                  <c:v>36838.750000001171</c:v>
                </c:pt>
                <c:pt idx="483">
                  <c:v>36838.770833334507</c:v>
                </c:pt>
                <c:pt idx="484">
                  <c:v>36838.791666667843</c:v>
                </c:pt>
                <c:pt idx="485">
                  <c:v>36838.812500001179</c:v>
                </c:pt>
                <c:pt idx="486">
                  <c:v>36838.833333334514</c:v>
                </c:pt>
                <c:pt idx="487">
                  <c:v>36838.85416666785</c:v>
                </c:pt>
                <c:pt idx="488">
                  <c:v>36838.875000001186</c:v>
                </c:pt>
                <c:pt idx="489">
                  <c:v>36838.895833334522</c:v>
                </c:pt>
                <c:pt idx="490">
                  <c:v>36838.916666667857</c:v>
                </c:pt>
                <c:pt idx="491">
                  <c:v>36838.937500001193</c:v>
                </c:pt>
                <c:pt idx="492">
                  <c:v>36838.958333334529</c:v>
                </c:pt>
                <c:pt idx="493">
                  <c:v>36838.979166667865</c:v>
                </c:pt>
                <c:pt idx="494">
                  <c:v>36839.000000001201</c:v>
                </c:pt>
                <c:pt idx="495">
                  <c:v>36839.020833334536</c:v>
                </c:pt>
                <c:pt idx="496">
                  <c:v>36839.041666667872</c:v>
                </c:pt>
                <c:pt idx="497">
                  <c:v>36839.062500001208</c:v>
                </c:pt>
                <c:pt idx="498">
                  <c:v>36839.083333334544</c:v>
                </c:pt>
                <c:pt idx="499">
                  <c:v>36839.104166667879</c:v>
                </c:pt>
                <c:pt idx="500">
                  <c:v>36839.125000001215</c:v>
                </c:pt>
                <c:pt idx="501">
                  <c:v>36839.145833334551</c:v>
                </c:pt>
                <c:pt idx="502">
                  <c:v>36839.166666667887</c:v>
                </c:pt>
                <c:pt idx="503">
                  <c:v>36839.187500001222</c:v>
                </c:pt>
                <c:pt idx="504">
                  <c:v>36839.208333334558</c:v>
                </c:pt>
                <c:pt idx="505">
                  <c:v>36839.229166667894</c:v>
                </c:pt>
                <c:pt idx="506">
                  <c:v>36839.25000000123</c:v>
                </c:pt>
                <c:pt idx="507">
                  <c:v>36839.270833334565</c:v>
                </c:pt>
                <c:pt idx="508">
                  <c:v>36839.291666667901</c:v>
                </c:pt>
                <c:pt idx="509">
                  <c:v>36839.312500001237</c:v>
                </c:pt>
                <c:pt idx="510">
                  <c:v>36839.333333334573</c:v>
                </c:pt>
                <c:pt idx="511">
                  <c:v>36839.354166667908</c:v>
                </c:pt>
                <c:pt idx="512">
                  <c:v>36839.375000001244</c:v>
                </c:pt>
                <c:pt idx="513">
                  <c:v>36839.39583333458</c:v>
                </c:pt>
                <c:pt idx="514">
                  <c:v>36839.416666667916</c:v>
                </c:pt>
                <c:pt idx="515">
                  <c:v>36839.437500001251</c:v>
                </c:pt>
                <c:pt idx="516">
                  <c:v>36839.458333334587</c:v>
                </c:pt>
                <c:pt idx="517">
                  <c:v>36839.479166667923</c:v>
                </c:pt>
                <c:pt idx="518">
                  <c:v>36839.500000001259</c:v>
                </c:pt>
                <c:pt idx="519">
                  <c:v>36839.520833334594</c:v>
                </c:pt>
                <c:pt idx="520">
                  <c:v>36839.54166666793</c:v>
                </c:pt>
                <c:pt idx="521">
                  <c:v>36839.562500001266</c:v>
                </c:pt>
                <c:pt idx="522">
                  <c:v>36839.583333334602</c:v>
                </c:pt>
                <c:pt idx="523">
                  <c:v>36839.604166667938</c:v>
                </c:pt>
                <c:pt idx="524">
                  <c:v>36839.625000001273</c:v>
                </c:pt>
                <c:pt idx="525">
                  <c:v>36839.645833334609</c:v>
                </c:pt>
                <c:pt idx="526">
                  <c:v>36839.666666667945</c:v>
                </c:pt>
                <c:pt idx="527">
                  <c:v>36839.687500001281</c:v>
                </c:pt>
                <c:pt idx="528">
                  <c:v>36839.708333334616</c:v>
                </c:pt>
                <c:pt idx="529">
                  <c:v>36839.729166667952</c:v>
                </c:pt>
                <c:pt idx="530">
                  <c:v>36839.750000001288</c:v>
                </c:pt>
                <c:pt idx="531">
                  <c:v>36839.770833334624</c:v>
                </c:pt>
                <c:pt idx="532">
                  <c:v>36839.791666667959</c:v>
                </c:pt>
                <c:pt idx="533">
                  <c:v>36839.812500001295</c:v>
                </c:pt>
                <c:pt idx="534">
                  <c:v>36839.833333334631</c:v>
                </c:pt>
                <c:pt idx="535">
                  <c:v>36839.854166667967</c:v>
                </c:pt>
                <c:pt idx="536">
                  <c:v>36839.875000001302</c:v>
                </c:pt>
                <c:pt idx="537">
                  <c:v>36839.895833334638</c:v>
                </c:pt>
                <c:pt idx="538">
                  <c:v>36839.916666667974</c:v>
                </c:pt>
                <c:pt idx="539">
                  <c:v>36839.93750000131</c:v>
                </c:pt>
                <c:pt idx="540">
                  <c:v>36839.958333334645</c:v>
                </c:pt>
                <c:pt idx="541">
                  <c:v>36839.979166667981</c:v>
                </c:pt>
                <c:pt idx="542">
                  <c:v>36840.000000001317</c:v>
                </c:pt>
                <c:pt idx="543">
                  <c:v>36840.020833334653</c:v>
                </c:pt>
                <c:pt idx="544">
                  <c:v>36840.041666667988</c:v>
                </c:pt>
                <c:pt idx="545">
                  <c:v>36840.062500001324</c:v>
                </c:pt>
                <c:pt idx="546">
                  <c:v>36840.08333333466</c:v>
                </c:pt>
                <c:pt idx="547">
                  <c:v>36840.104166667996</c:v>
                </c:pt>
                <c:pt idx="548">
                  <c:v>36840.125000001332</c:v>
                </c:pt>
                <c:pt idx="549">
                  <c:v>36840.145833334667</c:v>
                </c:pt>
                <c:pt idx="550">
                  <c:v>36840.166666668003</c:v>
                </c:pt>
                <c:pt idx="551">
                  <c:v>36840.187500001339</c:v>
                </c:pt>
                <c:pt idx="552">
                  <c:v>36840.208333334675</c:v>
                </c:pt>
                <c:pt idx="553">
                  <c:v>36840.22916666801</c:v>
                </c:pt>
                <c:pt idx="554">
                  <c:v>36840.250000001346</c:v>
                </c:pt>
                <c:pt idx="555">
                  <c:v>36840.270833334682</c:v>
                </c:pt>
                <c:pt idx="556">
                  <c:v>36840.291666668018</c:v>
                </c:pt>
                <c:pt idx="557">
                  <c:v>36840.312500001353</c:v>
                </c:pt>
                <c:pt idx="558">
                  <c:v>36840.333333334689</c:v>
                </c:pt>
                <c:pt idx="559">
                  <c:v>36840.354166668025</c:v>
                </c:pt>
                <c:pt idx="560">
                  <c:v>36840.375000001361</c:v>
                </c:pt>
                <c:pt idx="561">
                  <c:v>36840.395833334696</c:v>
                </c:pt>
                <c:pt idx="562">
                  <c:v>36840.416666668032</c:v>
                </c:pt>
                <c:pt idx="563">
                  <c:v>36840.437500001368</c:v>
                </c:pt>
                <c:pt idx="564">
                  <c:v>36840.458333334704</c:v>
                </c:pt>
                <c:pt idx="565">
                  <c:v>36840.479166668039</c:v>
                </c:pt>
                <c:pt idx="566">
                  <c:v>36840.500000001375</c:v>
                </c:pt>
                <c:pt idx="567">
                  <c:v>36840.520833334711</c:v>
                </c:pt>
                <c:pt idx="568">
                  <c:v>36840.541666668047</c:v>
                </c:pt>
                <c:pt idx="569">
                  <c:v>36840.562500001382</c:v>
                </c:pt>
                <c:pt idx="570">
                  <c:v>36840.583333334718</c:v>
                </c:pt>
                <c:pt idx="571">
                  <c:v>36840.604166668054</c:v>
                </c:pt>
                <c:pt idx="572">
                  <c:v>36840.62500000139</c:v>
                </c:pt>
                <c:pt idx="573">
                  <c:v>36840.645833334725</c:v>
                </c:pt>
                <c:pt idx="574">
                  <c:v>36840.666666668061</c:v>
                </c:pt>
                <c:pt idx="575">
                  <c:v>36840.687500001397</c:v>
                </c:pt>
                <c:pt idx="576">
                  <c:v>36840.708333334733</c:v>
                </c:pt>
                <c:pt idx="577">
                  <c:v>36840.729166668069</c:v>
                </c:pt>
                <c:pt idx="578">
                  <c:v>36840.750000001404</c:v>
                </c:pt>
                <c:pt idx="579">
                  <c:v>36840.77083333474</c:v>
                </c:pt>
                <c:pt idx="580">
                  <c:v>36840.791666668076</c:v>
                </c:pt>
                <c:pt idx="581">
                  <c:v>36840.812500001412</c:v>
                </c:pt>
                <c:pt idx="582">
                  <c:v>36840.833333334747</c:v>
                </c:pt>
                <c:pt idx="583">
                  <c:v>36840.854166668083</c:v>
                </c:pt>
                <c:pt idx="584">
                  <c:v>36840.875000001419</c:v>
                </c:pt>
                <c:pt idx="585">
                  <c:v>36840.895833334755</c:v>
                </c:pt>
                <c:pt idx="586">
                  <c:v>36840.91666666809</c:v>
                </c:pt>
                <c:pt idx="587">
                  <c:v>36840.937500001426</c:v>
                </c:pt>
                <c:pt idx="588">
                  <c:v>36840.958333334762</c:v>
                </c:pt>
                <c:pt idx="589">
                  <c:v>36840.979166668098</c:v>
                </c:pt>
                <c:pt idx="590">
                  <c:v>36841.000000001433</c:v>
                </c:pt>
                <c:pt idx="591">
                  <c:v>36841.020833334769</c:v>
                </c:pt>
                <c:pt idx="592">
                  <c:v>36841.041666668105</c:v>
                </c:pt>
                <c:pt idx="593">
                  <c:v>36841.062500001441</c:v>
                </c:pt>
                <c:pt idx="594">
                  <c:v>36841.083333334776</c:v>
                </c:pt>
                <c:pt idx="595">
                  <c:v>36841.104166668112</c:v>
                </c:pt>
                <c:pt idx="596">
                  <c:v>36841.125000001448</c:v>
                </c:pt>
                <c:pt idx="597">
                  <c:v>36841.145833334784</c:v>
                </c:pt>
                <c:pt idx="598">
                  <c:v>36841.166666668119</c:v>
                </c:pt>
                <c:pt idx="599">
                  <c:v>36841.187500001455</c:v>
                </c:pt>
                <c:pt idx="600">
                  <c:v>36841.208333334791</c:v>
                </c:pt>
                <c:pt idx="601">
                  <c:v>36841.229166668127</c:v>
                </c:pt>
                <c:pt idx="602">
                  <c:v>36841.250000001462</c:v>
                </c:pt>
                <c:pt idx="603">
                  <c:v>36841.270833334798</c:v>
                </c:pt>
                <c:pt idx="604">
                  <c:v>36841.291666668134</c:v>
                </c:pt>
                <c:pt idx="605">
                  <c:v>36841.31250000147</c:v>
                </c:pt>
                <c:pt idx="606">
                  <c:v>36841.333333334806</c:v>
                </c:pt>
                <c:pt idx="607">
                  <c:v>36841.354166668141</c:v>
                </c:pt>
                <c:pt idx="608">
                  <c:v>36841.375000001477</c:v>
                </c:pt>
                <c:pt idx="609">
                  <c:v>36841.395833334813</c:v>
                </c:pt>
                <c:pt idx="610">
                  <c:v>36841.416666668149</c:v>
                </c:pt>
                <c:pt idx="611">
                  <c:v>36841.437500001484</c:v>
                </c:pt>
                <c:pt idx="612">
                  <c:v>36841.45833333482</c:v>
                </c:pt>
                <c:pt idx="613">
                  <c:v>36841.479166668156</c:v>
                </c:pt>
                <c:pt idx="614">
                  <c:v>36841.500000001492</c:v>
                </c:pt>
                <c:pt idx="615">
                  <c:v>36841.520833334827</c:v>
                </c:pt>
                <c:pt idx="616">
                  <c:v>36841.541666668163</c:v>
                </c:pt>
                <c:pt idx="617">
                  <c:v>36841.562500001499</c:v>
                </c:pt>
                <c:pt idx="618">
                  <c:v>36841.583333334835</c:v>
                </c:pt>
                <c:pt idx="619">
                  <c:v>36841.60416666817</c:v>
                </c:pt>
                <c:pt idx="620">
                  <c:v>36841.625000001506</c:v>
                </c:pt>
                <c:pt idx="621">
                  <c:v>36841.645833334842</c:v>
                </c:pt>
                <c:pt idx="622">
                  <c:v>36841.666666668178</c:v>
                </c:pt>
                <c:pt idx="623">
                  <c:v>36841.687500001513</c:v>
                </c:pt>
                <c:pt idx="624">
                  <c:v>36841.708333334849</c:v>
                </c:pt>
                <c:pt idx="625">
                  <c:v>36841.729166668185</c:v>
                </c:pt>
                <c:pt idx="626">
                  <c:v>36841.750000001521</c:v>
                </c:pt>
                <c:pt idx="627">
                  <c:v>36841.770833334856</c:v>
                </c:pt>
                <c:pt idx="628">
                  <c:v>36841.791666668192</c:v>
                </c:pt>
                <c:pt idx="629">
                  <c:v>36841.812500001528</c:v>
                </c:pt>
                <c:pt idx="630">
                  <c:v>36841.833333334864</c:v>
                </c:pt>
                <c:pt idx="631">
                  <c:v>36841.854166668199</c:v>
                </c:pt>
                <c:pt idx="632">
                  <c:v>36841.875000001535</c:v>
                </c:pt>
                <c:pt idx="633">
                  <c:v>36841.895833334871</c:v>
                </c:pt>
                <c:pt idx="634">
                  <c:v>36841.916666668207</c:v>
                </c:pt>
                <c:pt idx="635">
                  <c:v>36841.937500001543</c:v>
                </c:pt>
                <c:pt idx="636">
                  <c:v>36841.958333334878</c:v>
                </c:pt>
                <c:pt idx="637">
                  <c:v>36841.979166668214</c:v>
                </c:pt>
                <c:pt idx="638">
                  <c:v>36842.00000000155</c:v>
                </c:pt>
                <c:pt idx="639">
                  <c:v>36842.020833334886</c:v>
                </c:pt>
                <c:pt idx="640">
                  <c:v>36842.041666668221</c:v>
                </c:pt>
                <c:pt idx="641">
                  <c:v>36842.062500001557</c:v>
                </c:pt>
                <c:pt idx="642">
                  <c:v>36842.083333334893</c:v>
                </c:pt>
                <c:pt idx="643">
                  <c:v>36842.104166668229</c:v>
                </c:pt>
                <c:pt idx="644">
                  <c:v>36842.125000001564</c:v>
                </c:pt>
                <c:pt idx="645">
                  <c:v>36842.1458333349</c:v>
                </c:pt>
                <c:pt idx="646">
                  <c:v>36842.166666668236</c:v>
                </c:pt>
                <c:pt idx="647">
                  <c:v>36842.187500001572</c:v>
                </c:pt>
                <c:pt idx="648">
                  <c:v>36842.208333334907</c:v>
                </c:pt>
                <c:pt idx="649">
                  <c:v>36842.229166668243</c:v>
                </c:pt>
                <c:pt idx="650">
                  <c:v>36842.250000001579</c:v>
                </c:pt>
                <c:pt idx="651">
                  <c:v>36842.270833334915</c:v>
                </c:pt>
                <c:pt idx="652">
                  <c:v>36842.29166666825</c:v>
                </c:pt>
                <c:pt idx="653">
                  <c:v>36842.312500001586</c:v>
                </c:pt>
                <c:pt idx="654">
                  <c:v>36842.333333334922</c:v>
                </c:pt>
                <c:pt idx="655">
                  <c:v>36842.354166668258</c:v>
                </c:pt>
                <c:pt idx="656">
                  <c:v>36842.375000001593</c:v>
                </c:pt>
                <c:pt idx="657">
                  <c:v>36842.395833334929</c:v>
                </c:pt>
                <c:pt idx="658">
                  <c:v>36842.416666668265</c:v>
                </c:pt>
                <c:pt idx="659">
                  <c:v>36842.437500001601</c:v>
                </c:pt>
                <c:pt idx="660">
                  <c:v>36842.458333334936</c:v>
                </c:pt>
                <c:pt idx="661">
                  <c:v>36842.479166668272</c:v>
                </c:pt>
                <c:pt idx="662">
                  <c:v>36842.500000001608</c:v>
                </c:pt>
                <c:pt idx="663">
                  <c:v>36842.520833334944</c:v>
                </c:pt>
                <c:pt idx="664">
                  <c:v>36842.54166666828</c:v>
                </c:pt>
                <c:pt idx="665">
                  <c:v>36842.562500001615</c:v>
                </c:pt>
                <c:pt idx="666">
                  <c:v>36842.583333334951</c:v>
                </c:pt>
                <c:pt idx="667">
                  <c:v>36842.604166668287</c:v>
                </c:pt>
                <c:pt idx="668">
                  <c:v>36842.625000001623</c:v>
                </c:pt>
                <c:pt idx="669">
                  <c:v>36842.645833334958</c:v>
                </c:pt>
                <c:pt idx="670">
                  <c:v>36842.666666668294</c:v>
                </c:pt>
                <c:pt idx="671">
                  <c:v>36842.68750000163</c:v>
                </c:pt>
                <c:pt idx="672">
                  <c:v>36842.708333334966</c:v>
                </c:pt>
                <c:pt idx="673">
                  <c:v>36842.729166668301</c:v>
                </c:pt>
                <c:pt idx="674">
                  <c:v>36842.750000001637</c:v>
                </c:pt>
                <c:pt idx="675">
                  <c:v>36842.770833334973</c:v>
                </c:pt>
                <c:pt idx="676">
                  <c:v>36842.791666668309</c:v>
                </c:pt>
                <c:pt idx="677">
                  <c:v>36842.812500001644</c:v>
                </c:pt>
                <c:pt idx="678">
                  <c:v>36842.83333333498</c:v>
                </c:pt>
                <c:pt idx="679">
                  <c:v>36842.854166668316</c:v>
                </c:pt>
                <c:pt idx="680">
                  <c:v>36842.875000001652</c:v>
                </c:pt>
                <c:pt idx="681">
                  <c:v>36842.895833334987</c:v>
                </c:pt>
                <c:pt idx="682">
                  <c:v>36842.916666668323</c:v>
                </c:pt>
                <c:pt idx="683">
                  <c:v>36842.937500001659</c:v>
                </c:pt>
                <c:pt idx="684">
                  <c:v>36842.958333334995</c:v>
                </c:pt>
                <c:pt idx="685">
                  <c:v>36842.97916666833</c:v>
                </c:pt>
                <c:pt idx="686">
                  <c:v>36843.000000001666</c:v>
                </c:pt>
                <c:pt idx="687">
                  <c:v>36843.020833335002</c:v>
                </c:pt>
                <c:pt idx="688">
                  <c:v>36843.041666668338</c:v>
                </c:pt>
                <c:pt idx="689">
                  <c:v>36843.062500001673</c:v>
                </c:pt>
                <c:pt idx="690">
                  <c:v>36843.083333335009</c:v>
                </c:pt>
                <c:pt idx="691">
                  <c:v>36843.104166668345</c:v>
                </c:pt>
                <c:pt idx="692">
                  <c:v>36843.125000001681</c:v>
                </c:pt>
                <c:pt idx="693">
                  <c:v>36843.145833335017</c:v>
                </c:pt>
                <c:pt idx="694">
                  <c:v>36843.166666668352</c:v>
                </c:pt>
                <c:pt idx="695">
                  <c:v>36843.187500001688</c:v>
                </c:pt>
                <c:pt idx="696">
                  <c:v>36843.208333335024</c:v>
                </c:pt>
                <c:pt idx="697">
                  <c:v>36843.22916666836</c:v>
                </c:pt>
                <c:pt idx="698">
                  <c:v>36843.250000001695</c:v>
                </c:pt>
                <c:pt idx="699">
                  <c:v>36843.270833335031</c:v>
                </c:pt>
                <c:pt idx="700">
                  <c:v>36843.291666668367</c:v>
                </c:pt>
                <c:pt idx="701">
                  <c:v>36843.312500001703</c:v>
                </c:pt>
                <c:pt idx="702">
                  <c:v>36843.333333335038</c:v>
                </c:pt>
                <c:pt idx="703">
                  <c:v>36843.354166668374</c:v>
                </c:pt>
                <c:pt idx="704">
                  <c:v>36843.37500000171</c:v>
                </c:pt>
                <c:pt idx="705">
                  <c:v>36843.395833335046</c:v>
                </c:pt>
                <c:pt idx="706">
                  <c:v>36843.416666668381</c:v>
                </c:pt>
                <c:pt idx="707">
                  <c:v>36843.437500001717</c:v>
                </c:pt>
                <c:pt idx="708">
                  <c:v>36843.458333335053</c:v>
                </c:pt>
                <c:pt idx="709">
                  <c:v>36843.479166668389</c:v>
                </c:pt>
                <c:pt idx="710">
                  <c:v>36843.500000001724</c:v>
                </c:pt>
                <c:pt idx="711">
                  <c:v>36843.52083333506</c:v>
                </c:pt>
                <c:pt idx="712">
                  <c:v>36843.541666668396</c:v>
                </c:pt>
                <c:pt idx="713">
                  <c:v>36843.562500001732</c:v>
                </c:pt>
                <c:pt idx="714">
                  <c:v>36843.583333335067</c:v>
                </c:pt>
                <c:pt idx="715">
                  <c:v>36843.604166668403</c:v>
                </c:pt>
                <c:pt idx="716">
                  <c:v>36843.625000001739</c:v>
                </c:pt>
                <c:pt idx="717">
                  <c:v>36843.645833335075</c:v>
                </c:pt>
                <c:pt idx="718">
                  <c:v>36843.66666666841</c:v>
                </c:pt>
                <c:pt idx="719">
                  <c:v>36843.687500001746</c:v>
                </c:pt>
                <c:pt idx="720">
                  <c:v>36843.708333335082</c:v>
                </c:pt>
                <c:pt idx="721">
                  <c:v>36843.729166668418</c:v>
                </c:pt>
                <c:pt idx="722">
                  <c:v>36843.750000001754</c:v>
                </c:pt>
                <c:pt idx="723">
                  <c:v>36843.770833335089</c:v>
                </c:pt>
                <c:pt idx="724">
                  <c:v>36843.791666668425</c:v>
                </c:pt>
                <c:pt idx="725">
                  <c:v>36843.812500001761</c:v>
                </c:pt>
                <c:pt idx="726">
                  <c:v>36843.833333335097</c:v>
                </c:pt>
                <c:pt idx="727">
                  <c:v>36843.854166666664</c:v>
                </c:pt>
                <c:pt idx="728">
                  <c:v>36843.875</c:v>
                </c:pt>
                <c:pt idx="729">
                  <c:v>36843.895833333336</c:v>
                </c:pt>
                <c:pt idx="730">
                  <c:v>36843.916666666672</c:v>
                </c:pt>
                <c:pt idx="731">
                  <c:v>36843.937500000007</c:v>
                </c:pt>
                <c:pt idx="732">
                  <c:v>36843.958333333343</c:v>
                </c:pt>
                <c:pt idx="733">
                  <c:v>36843.979166666679</c:v>
                </c:pt>
                <c:pt idx="734">
                  <c:v>36844.000000000015</c:v>
                </c:pt>
                <c:pt idx="735">
                  <c:v>36844.02083333335</c:v>
                </c:pt>
                <c:pt idx="736">
                  <c:v>36844.041666666686</c:v>
                </c:pt>
                <c:pt idx="737">
                  <c:v>36844.062500000022</c:v>
                </c:pt>
                <c:pt idx="738">
                  <c:v>36844.083333333358</c:v>
                </c:pt>
                <c:pt idx="739">
                  <c:v>36844.104166666693</c:v>
                </c:pt>
                <c:pt idx="740">
                  <c:v>36844.125000000029</c:v>
                </c:pt>
                <c:pt idx="741">
                  <c:v>36844.145833333365</c:v>
                </c:pt>
                <c:pt idx="742">
                  <c:v>36844.166666666701</c:v>
                </c:pt>
                <c:pt idx="743">
                  <c:v>36844.187500000036</c:v>
                </c:pt>
                <c:pt idx="744">
                  <c:v>36844.208333333372</c:v>
                </c:pt>
                <c:pt idx="745">
                  <c:v>36844.229166666708</c:v>
                </c:pt>
                <c:pt idx="746">
                  <c:v>36844.250000000044</c:v>
                </c:pt>
                <c:pt idx="747">
                  <c:v>36844.270833333379</c:v>
                </c:pt>
                <c:pt idx="748">
                  <c:v>36844.291666666715</c:v>
                </c:pt>
                <c:pt idx="749">
                  <c:v>36844.312500000051</c:v>
                </c:pt>
                <c:pt idx="750">
                  <c:v>36844.333333333387</c:v>
                </c:pt>
                <c:pt idx="751">
                  <c:v>36844.354166666722</c:v>
                </c:pt>
                <c:pt idx="752">
                  <c:v>36844.375000000058</c:v>
                </c:pt>
                <c:pt idx="753">
                  <c:v>36844.395833333394</c:v>
                </c:pt>
                <c:pt idx="754">
                  <c:v>36844.41666666673</c:v>
                </c:pt>
                <c:pt idx="755">
                  <c:v>36844.437500000065</c:v>
                </c:pt>
                <c:pt idx="756">
                  <c:v>36844.458333333401</c:v>
                </c:pt>
                <c:pt idx="757">
                  <c:v>36844.479166666737</c:v>
                </c:pt>
                <c:pt idx="758">
                  <c:v>36844.500000000073</c:v>
                </c:pt>
                <c:pt idx="759">
                  <c:v>36844.520833333409</c:v>
                </c:pt>
                <c:pt idx="760">
                  <c:v>36844.541666666744</c:v>
                </c:pt>
                <c:pt idx="761">
                  <c:v>36844.56250000008</c:v>
                </c:pt>
                <c:pt idx="762">
                  <c:v>36844.583333333416</c:v>
                </c:pt>
                <c:pt idx="763">
                  <c:v>36844.604166666752</c:v>
                </c:pt>
                <c:pt idx="764">
                  <c:v>36844.625000000087</c:v>
                </c:pt>
                <c:pt idx="765">
                  <c:v>36844.645833333423</c:v>
                </c:pt>
                <c:pt idx="766">
                  <c:v>36844.666666666759</c:v>
                </c:pt>
                <c:pt idx="767">
                  <c:v>36844.687500000095</c:v>
                </c:pt>
                <c:pt idx="768">
                  <c:v>36844.70833333343</c:v>
                </c:pt>
                <c:pt idx="769">
                  <c:v>36844.729166666766</c:v>
                </c:pt>
                <c:pt idx="770">
                  <c:v>36844.750000000102</c:v>
                </c:pt>
                <c:pt idx="771">
                  <c:v>36844.770833333438</c:v>
                </c:pt>
                <c:pt idx="772">
                  <c:v>36844.791666666773</c:v>
                </c:pt>
                <c:pt idx="773">
                  <c:v>36844.812500000109</c:v>
                </c:pt>
                <c:pt idx="774">
                  <c:v>36844.833333333445</c:v>
                </c:pt>
                <c:pt idx="775">
                  <c:v>36844.854166666781</c:v>
                </c:pt>
                <c:pt idx="776">
                  <c:v>36844.875000000116</c:v>
                </c:pt>
                <c:pt idx="777">
                  <c:v>36844.895833333452</c:v>
                </c:pt>
                <c:pt idx="778">
                  <c:v>36844.916666666788</c:v>
                </c:pt>
                <c:pt idx="779">
                  <c:v>36844.937500000124</c:v>
                </c:pt>
                <c:pt idx="780">
                  <c:v>36844.958333333459</c:v>
                </c:pt>
                <c:pt idx="781">
                  <c:v>36844.979166666795</c:v>
                </c:pt>
                <c:pt idx="782">
                  <c:v>36845.000000000131</c:v>
                </c:pt>
                <c:pt idx="783">
                  <c:v>36845.020833333467</c:v>
                </c:pt>
                <c:pt idx="784">
                  <c:v>36845.041666666802</c:v>
                </c:pt>
                <c:pt idx="785">
                  <c:v>36845.062500000138</c:v>
                </c:pt>
                <c:pt idx="786">
                  <c:v>36845.083333333474</c:v>
                </c:pt>
                <c:pt idx="787">
                  <c:v>36845.10416666681</c:v>
                </c:pt>
                <c:pt idx="788">
                  <c:v>36845.125000000146</c:v>
                </c:pt>
                <c:pt idx="789">
                  <c:v>36845.145833333481</c:v>
                </c:pt>
                <c:pt idx="790">
                  <c:v>36845.166666666817</c:v>
                </c:pt>
                <c:pt idx="791">
                  <c:v>36845.187500000153</c:v>
                </c:pt>
                <c:pt idx="792">
                  <c:v>36845.208333333489</c:v>
                </c:pt>
                <c:pt idx="793">
                  <c:v>36845.229166666824</c:v>
                </c:pt>
                <c:pt idx="794">
                  <c:v>36845.25000000016</c:v>
                </c:pt>
                <c:pt idx="795">
                  <c:v>36845.270833333496</c:v>
                </c:pt>
                <c:pt idx="796">
                  <c:v>36845.291666666832</c:v>
                </c:pt>
                <c:pt idx="797">
                  <c:v>36845.312500000167</c:v>
                </c:pt>
                <c:pt idx="798">
                  <c:v>36845.333333333503</c:v>
                </c:pt>
                <c:pt idx="799">
                  <c:v>36845.354166666839</c:v>
                </c:pt>
                <c:pt idx="800">
                  <c:v>36845.375000000175</c:v>
                </c:pt>
                <c:pt idx="801">
                  <c:v>36845.39583333351</c:v>
                </c:pt>
                <c:pt idx="802">
                  <c:v>36845.416666666846</c:v>
                </c:pt>
                <c:pt idx="803">
                  <c:v>36845.437500000182</c:v>
                </c:pt>
                <c:pt idx="804">
                  <c:v>36845.458333333518</c:v>
                </c:pt>
                <c:pt idx="805">
                  <c:v>36845.479166666853</c:v>
                </c:pt>
                <c:pt idx="806">
                  <c:v>36845.500000000189</c:v>
                </c:pt>
                <c:pt idx="807">
                  <c:v>36845.520833333525</c:v>
                </c:pt>
                <c:pt idx="808">
                  <c:v>36845.541666666861</c:v>
                </c:pt>
                <c:pt idx="809">
                  <c:v>36845.562500000196</c:v>
                </c:pt>
                <c:pt idx="810">
                  <c:v>36845.583333333532</c:v>
                </c:pt>
                <c:pt idx="811">
                  <c:v>36845.604166666868</c:v>
                </c:pt>
                <c:pt idx="812">
                  <c:v>36845.625000000204</c:v>
                </c:pt>
                <c:pt idx="813">
                  <c:v>36845.645833333539</c:v>
                </c:pt>
                <c:pt idx="814">
                  <c:v>36845.666666666875</c:v>
                </c:pt>
                <c:pt idx="815">
                  <c:v>36845.687500000211</c:v>
                </c:pt>
                <c:pt idx="816">
                  <c:v>36845.708333333547</c:v>
                </c:pt>
                <c:pt idx="817">
                  <c:v>36845.729166666883</c:v>
                </c:pt>
                <c:pt idx="818">
                  <c:v>36845.750000000218</c:v>
                </c:pt>
                <c:pt idx="819">
                  <c:v>36845.770833333554</c:v>
                </c:pt>
                <c:pt idx="820">
                  <c:v>36845.79166666689</c:v>
                </c:pt>
                <c:pt idx="821">
                  <c:v>36845.812500000226</c:v>
                </c:pt>
                <c:pt idx="822">
                  <c:v>36845.833333333561</c:v>
                </c:pt>
                <c:pt idx="823">
                  <c:v>36845.854166666897</c:v>
                </c:pt>
                <c:pt idx="824">
                  <c:v>36845.875000000233</c:v>
                </c:pt>
                <c:pt idx="825">
                  <c:v>36845.895833333569</c:v>
                </c:pt>
                <c:pt idx="826">
                  <c:v>36845.916666666904</c:v>
                </c:pt>
                <c:pt idx="827">
                  <c:v>36845.93750000024</c:v>
                </c:pt>
                <c:pt idx="828">
                  <c:v>36845.958333333576</c:v>
                </c:pt>
                <c:pt idx="829">
                  <c:v>36845.979166666912</c:v>
                </c:pt>
                <c:pt idx="830">
                  <c:v>36846.000000000247</c:v>
                </c:pt>
                <c:pt idx="831">
                  <c:v>36846.020833333583</c:v>
                </c:pt>
                <c:pt idx="832">
                  <c:v>36846.041666666919</c:v>
                </c:pt>
                <c:pt idx="833">
                  <c:v>36846.062500000255</c:v>
                </c:pt>
                <c:pt idx="834">
                  <c:v>36846.08333333359</c:v>
                </c:pt>
                <c:pt idx="835">
                  <c:v>36846.104166666926</c:v>
                </c:pt>
                <c:pt idx="836">
                  <c:v>36846.125000000262</c:v>
                </c:pt>
                <c:pt idx="837">
                  <c:v>36846.145833333598</c:v>
                </c:pt>
                <c:pt idx="838">
                  <c:v>36846.166666666933</c:v>
                </c:pt>
                <c:pt idx="839">
                  <c:v>36846.187500000269</c:v>
                </c:pt>
                <c:pt idx="840">
                  <c:v>36846.208333333605</c:v>
                </c:pt>
                <c:pt idx="841">
                  <c:v>36846.229166666941</c:v>
                </c:pt>
                <c:pt idx="842">
                  <c:v>36846.250000000276</c:v>
                </c:pt>
                <c:pt idx="843">
                  <c:v>36846.270833333612</c:v>
                </c:pt>
                <c:pt idx="844">
                  <c:v>36846.291666666948</c:v>
                </c:pt>
                <c:pt idx="845">
                  <c:v>36846.312500000284</c:v>
                </c:pt>
                <c:pt idx="846">
                  <c:v>36846.33333333362</c:v>
                </c:pt>
                <c:pt idx="847">
                  <c:v>36846.354166666955</c:v>
                </c:pt>
                <c:pt idx="848">
                  <c:v>36846.375000000291</c:v>
                </c:pt>
                <c:pt idx="849">
                  <c:v>36846.395833333627</c:v>
                </c:pt>
                <c:pt idx="850">
                  <c:v>36846.416666666963</c:v>
                </c:pt>
                <c:pt idx="851">
                  <c:v>36846.437500000298</c:v>
                </c:pt>
                <c:pt idx="852">
                  <c:v>36846.458333333634</c:v>
                </c:pt>
                <c:pt idx="853">
                  <c:v>36846.47916666697</c:v>
                </c:pt>
                <c:pt idx="854">
                  <c:v>36846.500000000306</c:v>
                </c:pt>
                <c:pt idx="855">
                  <c:v>36846.520833333641</c:v>
                </c:pt>
                <c:pt idx="856">
                  <c:v>36846.541666666977</c:v>
                </c:pt>
                <c:pt idx="857">
                  <c:v>36846.562500000313</c:v>
                </c:pt>
                <c:pt idx="858">
                  <c:v>36846.583333333649</c:v>
                </c:pt>
                <c:pt idx="859">
                  <c:v>36846.604166666984</c:v>
                </c:pt>
                <c:pt idx="860">
                  <c:v>36846.62500000032</c:v>
                </c:pt>
                <c:pt idx="861">
                  <c:v>36846.645833333656</c:v>
                </c:pt>
                <c:pt idx="862">
                  <c:v>36846.666666666992</c:v>
                </c:pt>
                <c:pt idx="863">
                  <c:v>36846.687500000327</c:v>
                </c:pt>
                <c:pt idx="864">
                  <c:v>36846.708333333663</c:v>
                </c:pt>
                <c:pt idx="865">
                  <c:v>36846.729166666999</c:v>
                </c:pt>
                <c:pt idx="866">
                  <c:v>36846.750000000335</c:v>
                </c:pt>
                <c:pt idx="867">
                  <c:v>36846.77083333367</c:v>
                </c:pt>
                <c:pt idx="868">
                  <c:v>36846.791666667006</c:v>
                </c:pt>
                <c:pt idx="869">
                  <c:v>36846.812500000342</c:v>
                </c:pt>
                <c:pt idx="870">
                  <c:v>36846.833333333678</c:v>
                </c:pt>
                <c:pt idx="871">
                  <c:v>36846.854166667013</c:v>
                </c:pt>
                <c:pt idx="872">
                  <c:v>36846.875000000349</c:v>
                </c:pt>
                <c:pt idx="873">
                  <c:v>36846.895833333685</c:v>
                </c:pt>
                <c:pt idx="874">
                  <c:v>36846.916666667021</c:v>
                </c:pt>
                <c:pt idx="875">
                  <c:v>36846.937500000357</c:v>
                </c:pt>
                <c:pt idx="876">
                  <c:v>36846.958333333692</c:v>
                </c:pt>
                <c:pt idx="877">
                  <c:v>36846.979166667028</c:v>
                </c:pt>
                <c:pt idx="878">
                  <c:v>36847.000000000364</c:v>
                </c:pt>
                <c:pt idx="879">
                  <c:v>36847.0208333337</c:v>
                </c:pt>
                <c:pt idx="880">
                  <c:v>36847.041666667035</c:v>
                </c:pt>
                <c:pt idx="881">
                  <c:v>36847.062500000371</c:v>
                </c:pt>
                <c:pt idx="882">
                  <c:v>36847.083333333707</c:v>
                </c:pt>
                <c:pt idx="883">
                  <c:v>36847.104166667043</c:v>
                </c:pt>
                <c:pt idx="884">
                  <c:v>36847.125000000378</c:v>
                </c:pt>
                <c:pt idx="885">
                  <c:v>36847.145833333714</c:v>
                </c:pt>
                <c:pt idx="886">
                  <c:v>36847.16666666705</c:v>
                </c:pt>
                <c:pt idx="887">
                  <c:v>36847.187500000386</c:v>
                </c:pt>
                <c:pt idx="888">
                  <c:v>36847.208333333721</c:v>
                </c:pt>
                <c:pt idx="889">
                  <c:v>36847.229166667057</c:v>
                </c:pt>
                <c:pt idx="890">
                  <c:v>36847.250000000393</c:v>
                </c:pt>
                <c:pt idx="891">
                  <c:v>36847.270833333729</c:v>
                </c:pt>
                <c:pt idx="892">
                  <c:v>36847.291666667064</c:v>
                </c:pt>
                <c:pt idx="893">
                  <c:v>36847.3125000004</c:v>
                </c:pt>
                <c:pt idx="894">
                  <c:v>36847.333333333736</c:v>
                </c:pt>
                <c:pt idx="895">
                  <c:v>36847.354166667072</c:v>
                </c:pt>
                <c:pt idx="896">
                  <c:v>36847.375000000407</c:v>
                </c:pt>
                <c:pt idx="897">
                  <c:v>36847.395833333743</c:v>
                </c:pt>
                <c:pt idx="898">
                  <c:v>36847.416666667079</c:v>
                </c:pt>
                <c:pt idx="899">
                  <c:v>36847.437500000415</c:v>
                </c:pt>
                <c:pt idx="900">
                  <c:v>36847.45833333375</c:v>
                </c:pt>
                <c:pt idx="901">
                  <c:v>36847.479166667086</c:v>
                </c:pt>
                <c:pt idx="902">
                  <c:v>36847.500000000422</c:v>
                </c:pt>
                <c:pt idx="903">
                  <c:v>36847.520833333758</c:v>
                </c:pt>
                <c:pt idx="904">
                  <c:v>36847.541666667094</c:v>
                </c:pt>
                <c:pt idx="905">
                  <c:v>36847.562500000429</c:v>
                </c:pt>
                <c:pt idx="906">
                  <c:v>36847.583333333765</c:v>
                </c:pt>
                <c:pt idx="907">
                  <c:v>36847.604166667101</c:v>
                </c:pt>
                <c:pt idx="908">
                  <c:v>36847.625000000437</c:v>
                </c:pt>
                <c:pt idx="909">
                  <c:v>36847.645833333772</c:v>
                </c:pt>
                <c:pt idx="910">
                  <c:v>36847.666666667108</c:v>
                </c:pt>
                <c:pt idx="911">
                  <c:v>36847.687500000444</c:v>
                </c:pt>
                <c:pt idx="912">
                  <c:v>36847.70833333378</c:v>
                </c:pt>
                <c:pt idx="913">
                  <c:v>36847.729166667115</c:v>
                </c:pt>
                <c:pt idx="914">
                  <c:v>36847.750000000451</c:v>
                </c:pt>
                <c:pt idx="915">
                  <c:v>36847.770833333787</c:v>
                </c:pt>
                <c:pt idx="916">
                  <c:v>36847.791666667123</c:v>
                </c:pt>
                <c:pt idx="917">
                  <c:v>36847.812500000458</c:v>
                </c:pt>
                <c:pt idx="918">
                  <c:v>36847.833333333794</c:v>
                </c:pt>
                <c:pt idx="919">
                  <c:v>36847.85416666713</c:v>
                </c:pt>
                <c:pt idx="920">
                  <c:v>36847.875000000466</c:v>
                </c:pt>
                <c:pt idx="921">
                  <c:v>36847.895833333801</c:v>
                </c:pt>
                <c:pt idx="922">
                  <c:v>36847.916666667137</c:v>
                </c:pt>
                <c:pt idx="923">
                  <c:v>36847.937500000473</c:v>
                </c:pt>
                <c:pt idx="924">
                  <c:v>36847.958333333809</c:v>
                </c:pt>
                <c:pt idx="925">
                  <c:v>36847.979166667144</c:v>
                </c:pt>
                <c:pt idx="926">
                  <c:v>36848.00000000048</c:v>
                </c:pt>
                <c:pt idx="927">
                  <c:v>36848.020833333816</c:v>
                </c:pt>
                <c:pt idx="928">
                  <c:v>36848.041666667152</c:v>
                </c:pt>
                <c:pt idx="929">
                  <c:v>36848.062500000487</c:v>
                </c:pt>
                <c:pt idx="930">
                  <c:v>36848.083333333823</c:v>
                </c:pt>
                <c:pt idx="931">
                  <c:v>36848.104166667159</c:v>
                </c:pt>
                <c:pt idx="932">
                  <c:v>36848.125000000495</c:v>
                </c:pt>
                <c:pt idx="933">
                  <c:v>36848.145833333831</c:v>
                </c:pt>
                <c:pt idx="934">
                  <c:v>36848.166666667166</c:v>
                </c:pt>
                <c:pt idx="935">
                  <c:v>36848.187500000502</c:v>
                </c:pt>
                <c:pt idx="936">
                  <c:v>36848.208333333838</c:v>
                </c:pt>
                <c:pt idx="937">
                  <c:v>36848.229166667174</c:v>
                </c:pt>
                <c:pt idx="938">
                  <c:v>36848.250000000509</c:v>
                </c:pt>
                <c:pt idx="939">
                  <c:v>36848.270833333845</c:v>
                </c:pt>
                <c:pt idx="940">
                  <c:v>36848.291666667181</c:v>
                </c:pt>
                <c:pt idx="941">
                  <c:v>36848.312500000517</c:v>
                </c:pt>
                <c:pt idx="942">
                  <c:v>36848.333333333852</c:v>
                </c:pt>
                <c:pt idx="943">
                  <c:v>36848.354166667188</c:v>
                </c:pt>
                <c:pt idx="944">
                  <c:v>36848.375000000524</c:v>
                </c:pt>
                <c:pt idx="945">
                  <c:v>36848.39583333386</c:v>
                </c:pt>
                <c:pt idx="946">
                  <c:v>36848.416666667195</c:v>
                </c:pt>
                <c:pt idx="947">
                  <c:v>36848.437500000531</c:v>
                </c:pt>
                <c:pt idx="948">
                  <c:v>36848.458333333867</c:v>
                </c:pt>
                <c:pt idx="949">
                  <c:v>36848.479166667203</c:v>
                </c:pt>
                <c:pt idx="950">
                  <c:v>36848.500000000538</c:v>
                </c:pt>
                <c:pt idx="951">
                  <c:v>36848.520833333874</c:v>
                </c:pt>
                <c:pt idx="952">
                  <c:v>36848.54166666721</c:v>
                </c:pt>
                <c:pt idx="953">
                  <c:v>36848.562500000546</c:v>
                </c:pt>
                <c:pt idx="954">
                  <c:v>36848.583333333881</c:v>
                </c:pt>
                <c:pt idx="955">
                  <c:v>36848.604166667217</c:v>
                </c:pt>
                <c:pt idx="956">
                  <c:v>36848.625000000553</c:v>
                </c:pt>
                <c:pt idx="957">
                  <c:v>36848.645833333889</c:v>
                </c:pt>
                <c:pt idx="958">
                  <c:v>36848.666666667224</c:v>
                </c:pt>
                <c:pt idx="959">
                  <c:v>36848.68750000056</c:v>
                </c:pt>
                <c:pt idx="960">
                  <c:v>36848.708333333896</c:v>
                </c:pt>
                <c:pt idx="961">
                  <c:v>36848.729166667232</c:v>
                </c:pt>
                <c:pt idx="962">
                  <c:v>36848.750000000568</c:v>
                </c:pt>
                <c:pt idx="963">
                  <c:v>36848.770833333903</c:v>
                </c:pt>
                <c:pt idx="964">
                  <c:v>36848.791666667239</c:v>
                </c:pt>
                <c:pt idx="965">
                  <c:v>36848.812500000575</c:v>
                </c:pt>
                <c:pt idx="966">
                  <c:v>36848.833333333911</c:v>
                </c:pt>
                <c:pt idx="967">
                  <c:v>36848.854166667246</c:v>
                </c:pt>
                <c:pt idx="968">
                  <c:v>36848.875000000582</c:v>
                </c:pt>
                <c:pt idx="969">
                  <c:v>36848.895833333918</c:v>
                </c:pt>
                <c:pt idx="970">
                  <c:v>36848.916666667254</c:v>
                </c:pt>
                <c:pt idx="971">
                  <c:v>36848.937500000589</c:v>
                </c:pt>
                <c:pt idx="972">
                  <c:v>36848.958333333925</c:v>
                </c:pt>
                <c:pt idx="973">
                  <c:v>36848.979166667261</c:v>
                </c:pt>
                <c:pt idx="974">
                  <c:v>36849.000000000597</c:v>
                </c:pt>
                <c:pt idx="975">
                  <c:v>36849.020833333932</c:v>
                </c:pt>
                <c:pt idx="976">
                  <c:v>36849.041666667268</c:v>
                </c:pt>
                <c:pt idx="977">
                  <c:v>36849.062500000604</c:v>
                </c:pt>
                <c:pt idx="978">
                  <c:v>36849.08333333394</c:v>
                </c:pt>
                <c:pt idx="979">
                  <c:v>36849.104166667275</c:v>
                </c:pt>
                <c:pt idx="980">
                  <c:v>36849.125000000611</c:v>
                </c:pt>
                <c:pt idx="981">
                  <c:v>36849.145833333947</c:v>
                </c:pt>
                <c:pt idx="982">
                  <c:v>36849.166666667283</c:v>
                </c:pt>
                <c:pt idx="983">
                  <c:v>36849.187500000618</c:v>
                </c:pt>
                <c:pt idx="984">
                  <c:v>36849.208333333954</c:v>
                </c:pt>
                <c:pt idx="985">
                  <c:v>36849.22916666729</c:v>
                </c:pt>
                <c:pt idx="986">
                  <c:v>36849.250000000626</c:v>
                </c:pt>
                <c:pt idx="987">
                  <c:v>36849.270833333961</c:v>
                </c:pt>
                <c:pt idx="988">
                  <c:v>36849.291666667297</c:v>
                </c:pt>
                <c:pt idx="989">
                  <c:v>36849.312500000633</c:v>
                </c:pt>
                <c:pt idx="990">
                  <c:v>36849.333333333969</c:v>
                </c:pt>
                <c:pt idx="991">
                  <c:v>36849.354166667305</c:v>
                </c:pt>
                <c:pt idx="992">
                  <c:v>36849.37500000064</c:v>
                </c:pt>
                <c:pt idx="993">
                  <c:v>36849.395833333976</c:v>
                </c:pt>
                <c:pt idx="994">
                  <c:v>36849.416666667312</c:v>
                </c:pt>
                <c:pt idx="995">
                  <c:v>36849.437500000648</c:v>
                </c:pt>
                <c:pt idx="996">
                  <c:v>36849.458333333983</c:v>
                </c:pt>
                <c:pt idx="997">
                  <c:v>36849.479166667319</c:v>
                </c:pt>
                <c:pt idx="998">
                  <c:v>36849.500000000655</c:v>
                </c:pt>
                <c:pt idx="999">
                  <c:v>36849.520833333991</c:v>
                </c:pt>
                <c:pt idx="1000">
                  <c:v>36849.541666667326</c:v>
                </c:pt>
                <c:pt idx="1001">
                  <c:v>36849.562500000662</c:v>
                </c:pt>
                <c:pt idx="1002">
                  <c:v>36849.583333333998</c:v>
                </c:pt>
                <c:pt idx="1003">
                  <c:v>36849.604166667334</c:v>
                </c:pt>
                <c:pt idx="1004">
                  <c:v>36849.625000000669</c:v>
                </c:pt>
                <c:pt idx="1005">
                  <c:v>36849.645833334005</c:v>
                </c:pt>
                <c:pt idx="1006">
                  <c:v>36849.666666667341</c:v>
                </c:pt>
                <c:pt idx="1007">
                  <c:v>36849.687500000677</c:v>
                </c:pt>
                <c:pt idx="1008">
                  <c:v>36849.708333334012</c:v>
                </c:pt>
                <c:pt idx="1009">
                  <c:v>36849.729166667348</c:v>
                </c:pt>
                <c:pt idx="1010">
                  <c:v>36849.750000000684</c:v>
                </c:pt>
                <c:pt idx="1011">
                  <c:v>36849.77083333402</c:v>
                </c:pt>
                <c:pt idx="1012">
                  <c:v>36849.791666667355</c:v>
                </c:pt>
                <c:pt idx="1013">
                  <c:v>36849.812500000691</c:v>
                </c:pt>
                <c:pt idx="1014">
                  <c:v>36849.833333334027</c:v>
                </c:pt>
                <c:pt idx="1015">
                  <c:v>36849.854166667363</c:v>
                </c:pt>
                <c:pt idx="1016">
                  <c:v>36849.875000000698</c:v>
                </c:pt>
                <c:pt idx="1017">
                  <c:v>36849.895833334034</c:v>
                </c:pt>
                <c:pt idx="1018">
                  <c:v>36849.91666666737</c:v>
                </c:pt>
                <c:pt idx="1019">
                  <c:v>36849.937500000706</c:v>
                </c:pt>
                <c:pt idx="1020">
                  <c:v>36849.958333334042</c:v>
                </c:pt>
                <c:pt idx="1021">
                  <c:v>36849.979166667377</c:v>
                </c:pt>
                <c:pt idx="1022">
                  <c:v>36850.000000000713</c:v>
                </c:pt>
                <c:pt idx="1023">
                  <c:v>36850.020833334049</c:v>
                </c:pt>
                <c:pt idx="1024">
                  <c:v>36850.041666667385</c:v>
                </c:pt>
                <c:pt idx="1025">
                  <c:v>36850.06250000072</c:v>
                </c:pt>
                <c:pt idx="1026">
                  <c:v>36850.083333334056</c:v>
                </c:pt>
                <c:pt idx="1027">
                  <c:v>36850.104166667392</c:v>
                </c:pt>
                <c:pt idx="1028">
                  <c:v>36850.125000000728</c:v>
                </c:pt>
                <c:pt idx="1029">
                  <c:v>36850.145833334063</c:v>
                </c:pt>
                <c:pt idx="1030">
                  <c:v>36850.166666667399</c:v>
                </c:pt>
                <c:pt idx="1031">
                  <c:v>36850.187500000735</c:v>
                </c:pt>
                <c:pt idx="1032">
                  <c:v>36850.208333334071</c:v>
                </c:pt>
                <c:pt idx="1033">
                  <c:v>36850.229166667406</c:v>
                </c:pt>
                <c:pt idx="1034">
                  <c:v>36850.250000000742</c:v>
                </c:pt>
                <c:pt idx="1035">
                  <c:v>36850.270833334078</c:v>
                </c:pt>
                <c:pt idx="1036">
                  <c:v>36850.291666667414</c:v>
                </c:pt>
                <c:pt idx="1037">
                  <c:v>36850.312500000749</c:v>
                </c:pt>
                <c:pt idx="1038">
                  <c:v>36850.333333334085</c:v>
                </c:pt>
                <c:pt idx="1039">
                  <c:v>36850.354166667421</c:v>
                </c:pt>
                <c:pt idx="1040">
                  <c:v>36850.375000000757</c:v>
                </c:pt>
                <c:pt idx="1041">
                  <c:v>36850.395833334092</c:v>
                </c:pt>
                <c:pt idx="1042">
                  <c:v>36850.416666667428</c:v>
                </c:pt>
                <c:pt idx="1043">
                  <c:v>36850.437500000764</c:v>
                </c:pt>
                <c:pt idx="1044">
                  <c:v>36850.4583333341</c:v>
                </c:pt>
                <c:pt idx="1045">
                  <c:v>36850.479166667435</c:v>
                </c:pt>
                <c:pt idx="1046">
                  <c:v>36850.500000000771</c:v>
                </c:pt>
                <c:pt idx="1047">
                  <c:v>36850.520833334107</c:v>
                </c:pt>
                <c:pt idx="1048">
                  <c:v>36850.541666667443</c:v>
                </c:pt>
                <c:pt idx="1049">
                  <c:v>36850.562500000779</c:v>
                </c:pt>
                <c:pt idx="1050">
                  <c:v>36850.583333334114</c:v>
                </c:pt>
                <c:pt idx="1051">
                  <c:v>36850.60416666745</c:v>
                </c:pt>
                <c:pt idx="1052">
                  <c:v>36850.625000000786</c:v>
                </c:pt>
                <c:pt idx="1053">
                  <c:v>36850.645833334122</c:v>
                </c:pt>
                <c:pt idx="1054">
                  <c:v>36850.666666667457</c:v>
                </c:pt>
                <c:pt idx="1055">
                  <c:v>36850.687500000793</c:v>
                </c:pt>
                <c:pt idx="1056">
                  <c:v>36850.708333334129</c:v>
                </c:pt>
                <c:pt idx="1057">
                  <c:v>36850.729166667465</c:v>
                </c:pt>
                <c:pt idx="1058">
                  <c:v>36850.7500000008</c:v>
                </c:pt>
                <c:pt idx="1059">
                  <c:v>36850.770833334136</c:v>
                </c:pt>
                <c:pt idx="1060">
                  <c:v>36850.791666667472</c:v>
                </c:pt>
                <c:pt idx="1061">
                  <c:v>36850.812500000808</c:v>
                </c:pt>
                <c:pt idx="1062">
                  <c:v>36850.833333334143</c:v>
                </c:pt>
                <c:pt idx="1063">
                  <c:v>36850.854166667479</c:v>
                </c:pt>
                <c:pt idx="1064">
                  <c:v>36850.875000000815</c:v>
                </c:pt>
                <c:pt idx="1065">
                  <c:v>36850.895833334151</c:v>
                </c:pt>
                <c:pt idx="1066">
                  <c:v>36850.916666667486</c:v>
                </c:pt>
                <c:pt idx="1067">
                  <c:v>36850.937500000822</c:v>
                </c:pt>
                <c:pt idx="1068">
                  <c:v>36850.958333334158</c:v>
                </c:pt>
                <c:pt idx="1069">
                  <c:v>36850.979166667494</c:v>
                </c:pt>
                <c:pt idx="1070">
                  <c:v>36851.000000000829</c:v>
                </c:pt>
                <c:pt idx="1071">
                  <c:v>36851.020833334165</c:v>
                </c:pt>
                <c:pt idx="1072">
                  <c:v>36851.041666667501</c:v>
                </c:pt>
                <c:pt idx="1073">
                  <c:v>36851.062500000837</c:v>
                </c:pt>
                <c:pt idx="1074">
                  <c:v>36851.083333334172</c:v>
                </c:pt>
                <c:pt idx="1075">
                  <c:v>36851.104166667508</c:v>
                </c:pt>
                <c:pt idx="1076">
                  <c:v>36851.125000000844</c:v>
                </c:pt>
                <c:pt idx="1077">
                  <c:v>36851.14583333418</c:v>
                </c:pt>
                <c:pt idx="1078">
                  <c:v>36851.166666667516</c:v>
                </c:pt>
                <c:pt idx="1079">
                  <c:v>36851.187500000851</c:v>
                </c:pt>
                <c:pt idx="1080">
                  <c:v>36851.208333334187</c:v>
                </c:pt>
                <c:pt idx="1081">
                  <c:v>36851.229166667523</c:v>
                </c:pt>
                <c:pt idx="1082">
                  <c:v>36851.250000000859</c:v>
                </c:pt>
                <c:pt idx="1083">
                  <c:v>36851.270833334194</c:v>
                </c:pt>
                <c:pt idx="1084">
                  <c:v>36851.29166666753</c:v>
                </c:pt>
                <c:pt idx="1085">
                  <c:v>36851.312500000866</c:v>
                </c:pt>
                <c:pt idx="1086">
                  <c:v>36851.333333334202</c:v>
                </c:pt>
                <c:pt idx="1087">
                  <c:v>36851.354166667537</c:v>
                </c:pt>
                <c:pt idx="1088">
                  <c:v>36851.375000000873</c:v>
                </c:pt>
                <c:pt idx="1089">
                  <c:v>36851.395833334209</c:v>
                </c:pt>
                <c:pt idx="1090">
                  <c:v>36851.416666667545</c:v>
                </c:pt>
                <c:pt idx="1091">
                  <c:v>36851.43750000088</c:v>
                </c:pt>
                <c:pt idx="1092">
                  <c:v>36851.458333334216</c:v>
                </c:pt>
                <c:pt idx="1093">
                  <c:v>36851.479166667552</c:v>
                </c:pt>
                <c:pt idx="1094">
                  <c:v>36851.500000000888</c:v>
                </c:pt>
                <c:pt idx="1095">
                  <c:v>36851.520833334223</c:v>
                </c:pt>
                <c:pt idx="1096">
                  <c:v>36851.541666667559</c:v>
                </c:pt>
                <c:pt idx="1097">
                  <c:v>36851.562500000895</c:v>
                </c:pt>
                <c:pt idx="1098">
                  <c:v>36851.583333334231</c:v>
                </c:pt>
                <c:pt idx="1099">
                  <c:v>36851.604166667566</c:v>
                </c:pt>
                <c:pt idx="1100">
                  <c:v>36851.625000000902</c:v>
                </c:pt>
                <c:pt idx="1101">
                  <c:v>36851.645833334238</c:v>
                </c:pt>
                <c:pt idx="1102">
                  <c:v>36851.666666667574</c:v>
                </c:pt>
                <c:pt idx="1103">
                  <c:v>36851.687500000909</c:v>
                </c:pt>
                <c:pt idx="1104">
                  <c:v>36851.708333334245</c:v>
                </c:pt>
                <c:pt idx="1105">
                  <c:v>36851.729166667581</c:v>
                </c:pt>
                <c:pt idx="1106">
                  <c:v>36851.750000000917</c:v>
                </c:pt>
                <c:pt idx="1107">
                  <c:v>36851.770833334253</c:v>
                </c:pt>
                <c:pt idx="1108">
                  <c:v>36851.791666667588</c:v>
                </c:pt>
                <c:pt idx="1109">
                  <c:v>36851.812500000924</c:v>
                </c:pt>
                <c:pt idx="1110">
                  <c:v>36851.83333333426</c:v>
                </c:pt>
                <c:pt idx="1111">
                  <c:v>36851.854166667596</c:v>
                </c:pt>
                <c:pt idx="1112">
                  <c:v>36851.875000000931</c:v>
                </c:pt>
                <c:pt idx="1113">
                  <c:v>36851.895833334267</c:v>
                </c:pt>
                <c:pt idx="1114">
                  <c:v>36851.916666667603</c:v>
                </c:pt>
                <c:pt idx="1115">
                  <c:v>36851.937500000939</c:v>
                </c:pt>
                <c:pt idx="1116">
                  <c:v>36851.958333334274</c:v>
                </c:pt>
                <c:pt idx="1117">
                  <c:v>36851.97916666761</c:v>
                </c:pt>
                <c:pt idx="1118">
                  <c:v>36852.000000000946</c:v>
                </c:pt>
                <c:pt idx="1119">
                  <c:v>36852.020833334282</c:v>
                </c:pt>
                <c:pt idx="1120">
                  <c:v>36852.041666667617</c:v>
                </c:pt>
                <c:pt idx="1121">
                  <c:v>36852.062500000953</c:v>
                </c:pt>
                <c:pt idx="1122">
                  <c:v>36852.083333334289</c:v>
                </c:pt>
                <c:pt idx="1123">
                  <c:v>36852.104166667625</c:v>
                </c:pt>
                <c:pt idx="1124">
                  <c:v>36852.12500000096</c:v>
                </c:pt>
                <c:pt idx="1125">
                  <c:v>36852.145833334296</c:v>
                </c:pt>
                <c:pt idx="1126">
                  <c:v>36852.166666667632</c:v>
                </c:pt>
                <c:pt idx="1127">
                  <c:v>36852.187500000968</c:v>
                </c:pt>
                <c:pt idx="1128">
                  <c:v>36852.208333334303</c:v>
                </c:pt>
                <c:pt idx="1129">
                  <c:v>36852.229166667639</c:v>
                </c:pt>
                <c:pt idx="1130">
                  <c:v>36852.250000000975</c:v>
                </c:pt>
                <c:pt idx="1131">
                  <c:v>36852.270833334311</c:v>
                </c:pt>
                <c:pt idx="1132">
                  <c:v>36852.291666667646</c:v>
                </c:pt>
                <c:pt idx="1133">
                  <c:v>36852.312500000982</c:v>
                </c:pt>
                <c:pt idx="1134">
                  <c:v>36852.333333334318</c:v>
                </c:pt>
                <c:pt idx="1135">
                  <c:v>36852.354166667654</c:v>
                </c:pt>
                <c:pt idx="1136">
                  <c:v>36852.37500000099</c:v>
                </c:pt>
                <c:pt idx="1137">
                  <c:v>36852.395833334325</c:v>
                </c:pt>
                <c:pt idx="1138">
                  <c:v>36852.416666667661</c:v>
                </c:pt>
                <c:pt idx="1139">
                  <c:v>36852.437500000997</c:v>
                </c:pt>
                <c:pt idx="1140">
                  <c:v>36852.458333334333</c:v>
                </c:pt>
                <c:pt idx="1141">
                  <c:v>36852.479166667668</c:v>
                </c:pt>
                <c:pt idx="1142">
                  <c:v>36852.500000001004</c:v>
                </c:pt>
                <c:pt idx="1143">
                  <c:v>36852.52083333434</c:v>
                </c:pt>
                <c:pt idx="1144">
                  <c:v>36852.541666667676</c:v>
                </c:pt>
                <c:pt idx="1145">
                  <c:v>36852.562500001011</c:v>
                </c:pt>
                <c:pt idx="1146">
                  <c:v>36852.583333334347</c:v>
                </c:pt>
                <c:pt idx="1147">
                  <c:v>36852.604166667683</c:v>
                </c:pt>
                <c:pt idx="1148">
                  <c:v>36852.625000001019</c:v>
                </c:pt>
                <c:pt idx="1149">
                  <c:v>36852.645833334354</c:v>
                </c:pt>
                <c:pt idx="1150">
                  <c:v>36852.66666666769</c:v>
                </c:pt>
                <c:pt idx="1151">
                  <c:v>36852.687500001026</c:v>
                </c:pt>
                <c:pt idx="1152">
                  <c:v>36852.708333334362</c:v>
                </c:pt>
                <c:pt idx="1153">
                  <c:v>36852.729166667697</c:v>
                </c:pt>
                <c:pt idx="1154">
                  <c:v>36852.750000001033</c:v>
                </c:pt>
                <c:pt idx="1155">
                  <c:v>36852.770833334369</c:v>
                </c:pt>
                <c:pt idx="1156">
                  <c:v>36852.791666667705</c:v>
                </c:pt>
                <c:pt idx="1157">
                  <c:v>36852.81250000104</c:v>
                </c:pt>
                <c:pt idx="1158">
                  <c:v>36852.833333334376</c:v>
                </c:pt>
                <c:pt idx="1159">
                  <c:v>36852.854166667712</c:v>
                </c:pt>
                <c:pt idx="1160">
                  <c:v>36852.875000001048</c:v>
                </c:pt>
                <c:pt idx="1161">
                  <c:v>36852.895833334383</c:v>
                </c:pt>
                <c:pt idx="1162">
                  <c:v>36852.916666667719</c:v>
                </c:pt>
                <c:pt idx="1163">
                  <c:v>36852.937500001055</c:v>
                </c:pt>
                <c:pt idx="1164">
                  <c:v>36852.958333334391</c:v>
                </c:pt>
                <c:pt idx="1165">
                  <c:v>36852.979166667727</c:v>
                </c:pt>
                <c:pt idx="1166">
                  <c:v>36853.000000001062</c:v>
                </c:pt>
                <c:pt idx="1167">
                  <c:v>36853.020833334398</c:v>
                </c:pt>
                <c:pt idx="1168">
                  <c:v>36853.041666667734</c:v>
                </c:pt>
                <c:pt idx="1169">
                  <c:v>36853.06250000107</c:v>
                </c:pt>
                <c:pt idx="1170">
                  <c:v>36853.083333334405</c:v>
                </c:pt>
                <c:pt idx="1171">
                  <c:v>36853.104166667741</c:v>
                </c:pt>
                <c:pt idx="1172">
                  <c:v>36853.125000001077</c:v>
                </c:pt>
                <c:pt idx="1173">
                  <c:v>36853.145833334413</c:v>
                </c:pt>
                <c:pt idx="1174">
                  <c:v>36853.166666667748</c:v>
                </c:pt>
                <c:pt idx="1175">
                  <c:v>36853.187500001084</c:v>
                </c:pt>
                <c:pt idx="1176">
                  <c:v>36853.20833333442</c:v>
                </c:pt>
                <c:pt idx="1177">
                  <c:v>36853.229166667756</c:v>
                </c:pt>
                <c:pt idx="1178">
                  <c:v>36853.250000001091</c:v>
                </c:pt>
                <c:pt idx="1179">
                  <c:v>36853.270833334427</c:v>
                </c:pt>
                <c:pt idx="1180">
                  <c:v>36853.291666667763</c:v>
                </c:pt>
                <c:pt idx="1181">
                  <c:v>36853.312500001099</c:v>
                </c:pt>
                <c:pt idx="1182">
                  <c:v>36853.333333334434</c:v>
                </c:pt>
                <c:pt idx="1183">
                  <c:v>36853.35416666777</c:v>
                </c:pt>
                <c:pt idx="1184">
                  <c:v>36853.375000001106</c:v>
                </c:pt>
                <c:pt idx="1185">
                  <c:v>36853.395833334442</c:v>
                </c:pt>
                <c:pt idx="1186">
                  <c:v>36853.416666667777</c:v>
                </c:pt>
                <c:pt idx="1187">
                  <c:v>36853.437500001113</c:v>
                </c:pt>
                <c:pt idx="1188">
                  <c:v>36853.458333334449</c:v>
                </c:pt>
                <c:pt idx="1189">
                  <c:v>36853.479166667785</c:v>
                </c:pt>
                <c:pt idx="1190">
                  <c:v>36853.50000000112</c:v>
                </c:pt>
                <c:pt idx="1191">
                  <c:v>36853.520833334456</c:v>
                </c:pt>
                <c:pt idx="1192">
                  <c:v>36853.541666667792</c:v>
                </c:pt>
                <c:pt idx="1193">
                  <c:v>36853.562500001128</c:v>
                </c:pt>
                <c:pt idx="1194">
                  <c:v>36853.583333334464</c:v>
                </c:pt>
                <c:pt idx="1195">
                  <c:v>36853.604166667799</c:v>
                </c:pt>
                <c:pt idx="1196">
                  <c:v>36853.625000001135</c:v>
                </c:pt>
                <c:pt idx="1197">
                  <c:v>36853.645833334471</c:v>
                </c:pt>
                <c:pt idx="1198">
                  <c:v>36853.666666667807</c:v>
                </c:pt>
                <c:pt idx="1199">
                  <c:v>36853.687500001142</c:v>
                </c:pt>
                <c:pt idx="1200">
                  <c:v>36853.708333334478</c:v>
                </c:pt>
                <c:pt idx="1201">
                  <c:v>36853.729166667814</c:v>
                </c:pt>
                <c:pt idx="1202">
                  <c:v>36853.75000000115</c:v>
                </c:pt>
                <c:pt idx="1203">
                  <c:v>36853.770833334485</c:v>
                </c:pt>
                <c:pt idx="1204">
                  <c:v>36853.791666667821</c:v>
                </c:pt>
                <c:pt idx="1205">
                  <c:v>36853.812500001157</c:v>
                </c:pt>
                <c:pt idx="1206">
                  <c:v>36853.833333334493</c:v>
                </c:pt>
                <c:pt idx="1207">
                  <c:v>36853.854166667828</c:v>
                </c:pt>
                <c:pt idx="1208">
                  <c:v>36853.875000001164</c:v>
                </c:pt>
                <c:pt idx="1209">
                  <c:v>36853.8958333345</c:v>
                </c:pt>
                <c:pt idx="1210">
                  <c:v>36853.916666667836</c:v>
                </c:pt>
                <c:pt idx="1211">
                  <c:v>36853.937500001171</c:v>
                </c:pt>
                <c:pt idx="1212">
                  <c:v>36853.958333334507</c:v>
                </c:pt>
                <c:pt idx="1213">
                  <c:v>36853.979166667843</c:v>
                </c:pt>
                <c:pt idx="1214">
                  <c:v>36854.000000001179</c:v>
                </c:pt>
                <c:pt idx="1215">
                  <c:v>36854.020833334514</c:v>
                </c:pt>
                <c:pt idx="1216">
                  <c:v>36854.04166666785</c:v>
                </c:pt>
                <c:pt idx="1217">
                  <c:v>36854.062500001186</c:v>
                </c:pt>
                <c:pt idx="1218">
                  <c:v>36854.083333334522</c:v>
                </c:pt>
                <c:pt idx="1219">
                  <c:v>36854.104166667857</c:v>
                </c:pt>
                <c:pt idx="1220">
                  <c:v>36854.125000001193</c:v>
                </c:pt>
                <c:pt idx="1221">
                  <c:v>36854.145833334529</c:v>
                </c:pt>
                <c:pt idx="1222">
                  <c:v>36854.166666667865</c:v>
                </c:pt>
                <c:pt idx="1223">
                  <c:v>36854.187500001201</c:v>
                </c:pt>
                <c:pt idx="1224">
                  <c:v>36854.208333334536</c:v>
                </c:pt>
                <c:pt idx="1225">
                  <c:v>36854.229166667872</c:v>
                </c:pt>
                <c:pt idx="1226">
                  <c:v>36854.250000001208</c:v>
                </c:pt>
                <c:pt idx="1227">
                  <c:v>36854.270833334544</c:v>
                </c:pt>
                <c:pt idx="1228">
                  <c:v>36854.291666667879</c:v>
                </c:pt>
                <c:pt idx="1229">
                  <c:v>36854.312500001215</c:v>
                </c:pt>
                <c:pt idx="1230">
                  <c:v>36854.333333334551</c:v>
                </c:pt>
                <c:pt idx="1231">
                  <c:v>36854.354166667887</c:v>
                </c:pt>
                <c:pt idx="1232">
                  <c:v>36854.375000001222</c:v>
                </c:pt>
                <c:pt idx="1233">
                  <c:v>36854.395833334558</c:v>
                </c:pt>
                <c:pt idx="1234">
                  <c:v>36854.416666667894</c:v>
                </c:pt>
                <c:pt idx="1235">
                  <c:v>36854.43750000123</c:v>
                </c:pt>
                <c:pt idx="1236">
                  <c:v>36854.458333334565</c:v>
                </c:pt>
                <c:pt idx="1237">
                  <c:v>36854.479166667901</c:v>
                </c:pt>
                <c:pt idx="1238">
                  <c:v>36854.500000001237</c:v>
                </c:pt>
                <c:pt idx="1239">
                  <c:v>36854.520833334573</c:v>
                </c:pt>
                <c:pt idx="1240">
                  <c:v>36854.541666667908</c:v>
                </c:pt>
                <c:pt idx="1241">
                  <c:v>36854.562500001244</c:v>
                </c:pt>
                <c:pt idx="1242">
                  <c:v>36854.58333333458</c:v>
                </c:pt>
                <c:pt idx="1243">
                  <c:v>36854.604166667916</c:v>
                </c:pt>
                <c:pt idx="1244">
                  <c:v>36854.625000001251</c:v>
                </c:pt>
                <c:pt idx="1245">
                  <c:v>36854.645833334587</c:v>
                </c:pt>
                <c:pt idx="1246">
                  <c:v>36854.666666667923</c:v>
                </c:pt>
                <c:pt idx="1247">
                  <c:v>36854.687500001259</c:v>
                </c:pt>
                <c:pt idx="1248">
                  <c:v>36854.708333334594</c:v>
                </c:pt>
                <c:pt idx="1249">
                  <c:v>36854.72916666793</c:v>
                </c:pt>
                <c:pt idx="1250">
                  <c:v>36854.750000001266</c:v>
                </c:pt>
                <c:pt idx="1251">
                  <c:v>36854.770833334602</c:v>
                </c:pt>
                <c:pt idx="1252">
                  <c:v>36854.791666667938</c:v>
                </c:pt>
                <c:pt idx="1253">
                  <c:v>36854.812500001273</c:v>
                </c:pt>
                <c:pt idx="1254">
                  <c:v>36854.833333334609</c:v>
                </c:pt>
                <c:pt idx="1255">
                  <c:v>36854.854166667945</c:v>
                </c:pt>
                <c:pt idx="1256">
                  <c:v>36854.875000001281</c:v>
                </c:pt>
                <c:pt idx="1257">
                  <c:v>36854.895833334616</c:v>
                </c:pt>
                <c:pt idx="1258">
                  <c:v>36854.916666667952</c:v>
                </c:pt>
                <c:pt idx="1259">
                  <c:v>36854.937500001288</c:v>
                </c:pt>
                <c:pt idx="1260">
                  <c:v>36854.958333334624</c:v>
                </c:pt>
                <c:pt idx="1261">
                  <c:v>36854.979166667959</c:v>
                </c:pt>
                <c:pt idx="1262">
                  <c:v>36855.000000001295</c:v>
                </c:pt>
                <c:pt idx="1263">
                  <c:v>36855.020833334631</c:v>
                </c:pt>
                <c:pt idx="1264">
                  <c:v>36855.041666667967</c:v>
                </c:pt>
                <c:pt idx="1265">
                  <c:v>36855.062500001302</c:v>
                </c:pt>
                <c:pt idx="1266">
                  <c:v>36855.083333334638</c:v>
                </c:pt>
                <c:pt idx="1267">
                  <c:v>36855.104166667974</c:v>
                </c:pt>
                <c:pt idx="1268">
                  <c:v>36855.12500000131</c:v>
                </c:pt>
                <c:pt idx="1269">
                  <c:v>36855.145833334645</c:v>
                </c:pt>
                <c:pt idx="1270">
                  <c:v>36855.166666667981</c:v>
                </c:pt>
                <c:pt idx="1271">
                  <c:v>36855.187500001317</c:v>
                </c:pt>
                <c:pt idx="1272">
                  <c:v>36855.208333334653</c:v>
                </c:pt>
                <c:pt idx="1273">
                  <c:v>36855.229166667988</c:v>
                </c:pt>
                <c:pt idx="1274">
                  <c:v>36855.250000001324</c:v>
                </c:pt>
                <c:pt idx="1275">
                  <c:v>36855.27083333466</c:v>
                </c:pt>
                <c:pt idx="1276">
                  <c:v>36855.291666667996</c:v>
                </c:pt>
                <c:pt idx="1277">
                  <c:v>36855.312500001332</c:v>
                </c:pt>
                <c:pt idx="1278">
                  <c:v>36855.333333334667</c:v>
                </c:pt>
                <c:pt idx="1279">
                  <c:v>36855.354166668003</c:v>
                </c:pt>
                <c:pt idx="1280">
                  <c:v>36855.375000001339</c:v>
                </c:pt>
                <c:pt idx="1281">
                  <c:v>36855.395833334675</c:v>
                </c:pt>
                <c:pt idx="1282">
                  <c:v>36855.41666666801</c:v>
                </c:pt>
                <c:pt idx="1283">
                  <c:v>36855.437500001346</c:v>
                </c:pt>
                <c:pt idx="1284">
                  <c:v>36855.458333334682</c:v>
                </c:pt>
                <c:pt idx="1285">
                  <c:v>36855.479166668018</c:v>
                </c:pt>
                <c:pt idx="1286">
                  <c:v>36855.500000001353</c:v>
                </c:pt>
                <c:pt idx="1287">
                  <c:v>36855.520833334689</c:v>
                </c:pt>
                <c:pt idx="1288">
                  <c:v>36855.541666668025</c:v>
                </c:pt>
                <c:pt idx="1289">
                  <c:v>36855.562500001361</c:v>
                </c:pt>
              </c:numCache>
            </c:numRef>
          </c:xVal>
          <c:yVal>
            <c:numRef>
              <c:f>AADATA!$K$3:$K$1303</c:f>
              <c:numCache>
                <c:formatCode>General</c:formatCode>
                <c:ptCount val="1301"/>
                <c:pt idx="1">
                  <c:v>20.7468</c:v>
                </c:pt>
                <c:pt idx="2">
                  <c:v>29.229399999999998</c:v>
                </c:pt>
                <c:pt idx="3">
                  <c:v>5.3146000000000004</c:v>
                </c:pt>
                <c:pt idx="4">
                  <c:v>92.286799999999999</c:v>
                </c:pt>
                <c:pt idx="5">
                  <c:v>92.593400000000003</c:v>
                </c:pt>
                <c:pt idx="6">
                  <c:v>11.5488</c:v>
                </c:pt>
                <c:pt idx="7">
                  <c:v>56.721199999999996</c:v>
                </c:pt>
                <c:pt idx="8">
                  <c:v>60.9114</c:v>
                </c:pt>
                <c:pt idx="9">
                  <c:v>56.107999999999997</c:v>
                </c:pt>
                <c:pt idx="10">
                  <c:v>53.655200000000001</c:v>
                </c:pt>
                <c:pt idx="11">
                  <c:v>53.348599999999998</c:v>
                </c:pt>
                <c:pt idx="12">
                  <c:v>56.619</c:v>
                </c:pt>
                <c:pt idx="13">
                  <c:v>61.1158</c:v>
                </c:pt>
                <c:pt idx="14">
                  <c:v>59.276199999999996</c:v>
                </c:pt>
                <c:pt idx="15">
                  <c:v>47.318799999999996</c:v>
                </c:pt>
                <c:pt idx="16">
                  <c:v>55.188200000000002</c:v>
                </c:pt>
                <c:pt idx="17">
                  <c:v>68.474199999999996</c:v>
                </c:pt>
                <c:pt idx="18">
                  <c:v>36.894399999999997</c:v>
                </c:pt>
                <c:pt idx="19">
                  <c:v>25.5502</c:v>
                </c:pt>
                <c:pt idx="20">
                  <c:v>16.0456</c:v>
                </c:pt>
                <c:pt idx="21">
                  <c:v>31.273400000000002</c:v>
                </c:pt>
                <c:pt idx="22">
                  <c:v>70.518199999999993</c:v>
                </c:pt>
                <c:pt idx="23">
                  <c:v>60.707000000000001</c:v>
                </c:pt>
                <c:pt idx="24">
                  <c:v>32.295400000000001</c:v>
                </c:pt>
                <c:pt idx="25">
                  <c:v>78.694199999999995</c:v>
                </c:pt>
                <c:pt idx="26">
                  <c:v>32.4998</c:v>
                </c:pt>
                <c:pt idx="27">
                  <c:v>29.127199999999998</c:v>
                </c:pt>
                <c:pt idx="28">
                  <c:v>99.747399999999999</c:v>
                </c:pt>
                <c:pt idx="29">
                  <c:v>73.379800000000003</c:v>
                </c:pt>
                <c:pt idx="30">
                  <c:v>86.563599999999994</c:v>
                </c:pt>
                <c:pt idx="31">
                  <c:v>67.656599999999997</c:v>
                </c:pt>
                <c:pt idx="32">
                  <c:v>68.780799999999999</c:v>
                </c:pt>
                <c:pt idx="33">
                  <c:v>75.4238</c:v>
                </c:pt>
                <c:pt idx="34">
                  <c:v>60.298200000000001</c:v>
                </c:pt>
                <c:pt idx="35">
                  <c:v>27.594200000000001</c:v>
                </c:pt>
                <c:pt idx="36">
                  <c:v>7.0520000000000005</c:v>
                </c:pt>
                <c:pt idx="37">
                  <c:v>29.535999999999998</c:v>
                </c:pt>
                <c:pt idx="38">
                  <c:v>44.968199999999996</c:v>
                </c:pt>
                <c:pt idx="39">
                  <c:v>19.520399999999999</c:v>
                </c:pt>
                <c:pt idx="40">
                  <c:v>37.201000000000001</c:v>
                </c:pt>
                <c:pt idx="41">
                  <c:v>37.201000000000001</c:v>
                </c:pt>
                <c:pt idx="42">
                  <c:v>76.241399999999999</c:v>
                </c:pt>
                <c:pt idx="43">
                  <c:v>85.541600000000003</c:v>
                </c:pt>
                <c:pt idx="44">
                  <c:v>50.487000000000002</c:v>
                </c:pt>
                <c:pt idx="45">
                  <c:v>50.384799999999998</c:v>
                </c:pt>
                <c:pt idx="46">
                  <c:v>51.406799999999997</c:v>
                </c:pt>
                <c:pt idx="47">
                  <c:v>54.779399999999995</c:v>
                </c:pt>
                <c:pt idx="48">
                  <c:v>50.487000000000002</c:v>
                </c:pt>
                <c:pt idx="49">
                  <c:v>45.376999999999995</c:v>
                </c:pt>
                <c:pt idx="50">
                  <c:v>44.252800000000001</c:v>
                </c:pt>
                <c:pt idx="51">
                  <c:v>52.939799999999998</c:v>
                </c:pt>
                <c:pt idx="52">
                  <c:v>52.019999999999996</c:v>
                </c:pt>
                <c:pt idx="53">
                  <c:v>44.559399999999997</c:v>
                </c:pt>
                <c:pt idx="54">
                  <c:v>40.471399999999996</c:v>
                </c:pt>
                <c:pt idx="55">
                  <c:v>49.3628</c:v>
                </c:pt>
                <c:pt idx="56">
                  <c:v>53.552999999999997</c:v>
                </c:pt>
                <c:pt idx="57">
                  <c:v>48.442999999999998</c:v>
                </c:pt>
                <c:pt idx="58">
                  <c:v>54.166199999999996</c:v>
                </c:pt>
                <c:pt idx="59">
                  <c:v>61.5246</c:v>
                </c:pt>
                <c:pt idx="60">
                  <c:v>62.546599999999998</c:v>
                </c:pt>
                <c:pt idx="61">
                  <c:v>75.4238</c:v>
                </c:pt>
                <c:pt idx="62">
                  <c:v>86.563599999999994</c:v>
                </c:pt>
                <c:pt idx="63">
                  <c:v>70.926999999999992</c:v>
                </c:pt>
                <c:pt idx="64">
                  <c:v>84.8262</c:v>
                </c:pt>
                <c:pt idx="65">
                  <c:v>72.051199999999994</c:v>
                </c:pt>
                <c:pt idx="66">
                  <c:v>89.118600000000001</c:v>
                </c:pt>
                <c:pt idx="67">
                  <c:v>87.1768</c:v>
                </c:pt>
                <c:pt idx="68">
                  <c:v>71.642399999999995</c:v>
                </c:pt>
                <c:pt idx="69">
                  <c:v>38.427399999999999</c:v>
                </c:pt>
                <c:pt idx="70">
                  <c:v>1.9999999999997797E-4</c:v>
                </c:pt>
                <c:pt idx="71">
                  <c:v>30.251399999999997</c:v>
                </c:pt>
                <c:pt idx="72">
                  <c:v>12.877400000000002</c:v>
                </c:pt>
                <c:pt idx="73">
                  <c:v>47.0122</c:v>
                </c:pt>
                <c:pt idx="74">
                  <c:v>93.308800000000005</c:v>
                </c:pt>
                <c:pt idx="75">
                  <c:v>60.400399999999998</c:v>
                </c:pt>
                <c:pt idx="76">
                  <c:v>44.968199999999996</c:v>
                </c:pt>
                <c:pt idx="77">
                  <c:v>62.751000000000005</c:v>
                </c:pt>
                <c:pt idx="78">
                  <c:v>63.364199999999997</c:v>
                </c:pt>
                <c:pt idx="79">
                  <c:v>56.516799999999996</c:v>
                </c:pt>
                <c:pt idx="80">
                  <c:v>67.656599999999997</c:v>
                </c:pt>
                <c:pt idx="81">
                  <c:v>57.743200000000002</c:v>
                </c:pt>
                <c:pt idx="82">
                  <c:v>11.037800000000001</c:v>
                </c:pt>
                <c:pt idx="83">
                  <c:v>60.502600000000001</c:v>
                </c:pt>
                <c:pt idx="84">
                  <c:v>67.656599999999997</c:v>
                </c:pt>
                <c:pt idx="85">
                  <c:v>63.6708</c:v>
                </c:pt>
                <c:pt idx="86">
                  <c:v>18.7028</c:v>
                </c:pt>
                <c:pt idx="87">
                  <c:v>61.933399999999992</c:v>
                </c:pt>
                <c:pt idx="88">
                  <c:v>63.262</c:v>
                </c:pt>
                <c:pt idx="89">
                  <c:v>-2.1459999999999999</c:v>
                </c:pt>
                <c:pt idx="90">
                  <c:v>18.7028</c:v>
                </c:pt>
                <c:pt idx="91">
                  <c:v>-0.20419999999999994</c:v>
                </c:pt>
                <c:pt idx="92">
                  <c:v>27.185399999999998</c:v>
                </c:pt>
                <c:pt idx="93">
                  <c:v>45.070399999999999</c:v>
                </c:pt>
                <c:pt idx="94">
                  <c:v>45.376999999999995</c:v>
                </c:pt>
                <c:pt idx="95">
                  <c:v>64.897199999999998</c:v>
                </c:pt>
                <c:pt idx="96">
                  <c:v>55.290399999999998</c:v>
                </c:pt>
                <c:pt idx="97">
                  <c:v>100.565</c:v>
                </c:pt>
                <c:pt idx="98">
                  <c:v>-1.4305999999999999</c:v>
                </c:pt>
                <c:pt idx="99">
                  <c:v>24.834799999999998</c:v>
                </c:pt>
                <c:pt idx="100">
                  <c:v>88.709800000000001</c:v>
                </c:pt>
                <c:pt idx="101">
                  <c:v>69.496200000000002</c:v>
                </c:pt>
                <c:pt idx="102">
                  <c:v>98.827600000000004</c:v>
                </c:pt>
                <c:pt idx="103">
                  <c:v>59.378399999999999</c:v>
                </c:pt>
                <c:pt idx="104">
                  <c:v>-1.0217999999999998</c:v>
                </c:pt>
                <c:pt idx="105">
                  <c:v>28.003</c:v>
                </c:pt>
                <c:pt idx="106">
                  <c:v>77.058999999999997</c:v>
                </c:pt>
                <c:pt idx="107">
                  <c:v>18.9072</c:v>
                </c:pt>
                <c:pt idx="108">
                  <c:v>77.978799999999993</c:v>
                </c:pt>
                <c:pt idx="109">
                  <c:v>93.411000000000001</c:v>
                </c:pt>
                <c:pt idx="110">
                  <c:v>71.131399999999999</c:v>
                </c:pt>
                <c:pt idx="111">
                  <c:v>9.6069999999999993</c:v>
                </c:pt>
                <c:pt idx="112">
                  <c:v>68.882999999999996</c:v>
                </c:pt>
                <c:pt idx="113">
                  <c:v>15.330199999999998</c:v>
                </c:pt>
                <c:pt idx="114">
                  <c:v>76.139200000000002</c:v>
                </c:pt>
                <c:pt idx="115">
                  <c:v>8.2784000000000013</c:v>
                </c:pt>
                <c:pt idx="116">
                  <c:v>75.730400000000003</c:v>
                </c:pt>
                <c:pt idx="117">
                  <c:v>13.388400000000001</c:v>
                </c:pt>
                <c:pt idx="118">
                  <c:v>76.548000000000002</c:v>
                </c:pt>
                <c:pt idx="119">
                  <c:v>54.677199999999999</c:v>
                </c:pt>
                <c:pt idx="120">
                  <c:v>88.403199999999998</c:v>
                </c:pt>
                <c:pt idx="121">
                  <c:v>83.804199999999994</c:v>
                </c:pt>
                <c:pt idx="122">
                  <c:v>34.237200000000001</c:v>
                </c:pt>
                <c:pt idx="123">
                  <c:v>74.810599999999994</c:v>
                </c:pt>
                <c:pt idx="124">
                  <c:v>83.599800000000002</c:v>
                </c:pt>
                <c:pt idx="125">
                  <c:v>102.4046</c:v>
                </c:pt>
                <c:pt idx="126">
                  <c:v>73.277599999999993</c:v>
                </c:pt>
                <c:pt idx="127">
                  <c:v>73.277599999999993</c:v>
                </c:pt>
                <c:pt idx="128">
                  <c:v>73.584199999999996</c:v>
                </c:pt>
                <c:pt idx="129">
                  <c:v>46.91</c:v>
                </c:pt>
                <c:pt idx="130">
                  <c:v>89.629599999999996</c:v>
                </c:pt>
                <c:pt idx="131">
                  <c:v>29.229399999999998</c:v>
                </c:pt>
                <c:pt idx="132">
                  <c:v>85.541600000000003</c:v>
                </c:pt>
                <c:pt idx="133">
                  <c:v>34.237200000000001</c:v>
                </c:pt>
                <c:pt idx="134">
                  <c:v>94.330799999999996</c:v>
                </c:pt>
                <c:pt idx="135">
                  <c:v>92.695599999999999</c:v>
                </c:pt>
                <c:pt idx="136">
                  <c:v>1.7376</c:v>
                </c:pt>
                <c:pt idx="137">
                  <c:v>75.219399999999993</c:v>
                </c:pt>
                <c:pt idx="138">
                  <c:v>70.109399999999994</c:v>
                </c:pt>
                <c:pt idx="139">
                  <c:v>66.328000000000003</c:v>
                </c:pt>
                <c:pt idx="140">
                  <c:v>64.590599999999995</c:v>
                </c:pt>
                <c:pt idx="141">
                  <c:v>60.9114</c:v>
                </c:pt>
                <c:pt idx="142">
                  <c:v>61.728999999999999</c:v>
                </c:pt>
                <c:pt idx="143">
                  <c:v>60.604799999999997</c:v>
                </c:pt>
                <c:pt idx="144">
                  <c:v>70.211600000000004</c:v>
                </c:pt>
                <c:pt idx="145">
                  <c:v>89.322999999999993</c:v>
                </c:pt>
                <c:pt idx="146">
                  <c:v>17.782999999999998</c:v>
                </c:pt>
                <c:pt idx="147">
                  <c:v>85.745999999999995</c:v>
                </c:pt>
                <c:pt idx="148">
                  <c:v>11.4466</c:v>
                </c:pt>
                <c:pt idx="149">
                  <c:v>4.7014000000000005</c:v>
                </c:pt>
                <c:pt idx="150">
                  <c:v>21.462199999999999</c:v>
                </c:pt>
                <c:pt idx="151">
                  <c:v>16.1478</c:v>
                </c:pt>
                <c:pt idx="152">
                  <c:v>11.7532</c:v>
                </c:pt>
                <c:pt idx="153">
                  <c:v>1.431</c:v>
                </c:pt>
                <c:pt idx="154">
                  <c:v>36.281199999999998</c:v>
                </c:pt>
                <c:pt idx="155">
                  <c:v>43.537399999999998</c:v>
                </c:pt>
                <c:pt idx="156">
                  <c:v>39.9604</c:v>
                </c:pt>
                <c:pt idx="157">
                  <c:v>25.8568</c:v>
                </c:pt>
                <c:pt idx="158">
                  <c:v>20.9512</c:v>
                </c:pt>
                <c:pt idx="159">
                  <c:v>29.842599999999997</c:v>
                </c:pt>
                <c:pt idx="160">
                  <c:v>47.932000000000002</c:v>
                </c:pt>
                <c:pt idx="161">
                  <c:v>45.887999999999998</c:v>
                </c:pt>
                <c:pt idx="162">
                  <c:v>39.551600000000001</c:v>
                </c:pt>
                <c:pt idx="163">
                  <c:v>57.436599999999999</c:v>
                </c:pt>
                <c:pt idx="164">
                  <c:v>85.030599999999993</c:v>
                </c:pt>
                <c:pt idx="165">
                  <c:v>45.581400000000002</c:v>
                </c:pt>
                <c:pt idx="166">
                  <c:v>42.719799999999999</c:v>
                </c:pt>
                <c:pt idx="167">
                  <c:v>47.829799999999999</c:v>
                </c:pt>
                <c:pt idx="168">
                  <c:v>50.895800000000001</c:v>
                </c:pt>
                <c:pt idx="169">
                  <c:v>46.705599999999997</c:v>
                </c:pt>
                <c:pt idx="170">
                  <c:v>44.559399999999997</c:v>
                </c:pt>
                <c:pt idx="171">
                  <c:v>36.996600000000001</c:v>
                </c:pt>
                <c:pt idx="172">
                  <c:v>15.841200000000001</c:v>
                </c:pt>
                <c:pt idx="173">
                  <c:v>20.7468</c:v>
                </c:pt>
                <c:pt idx="174">
                  <c:v>69.189599999999999</c:v>
                </c:pt>
                <c:pt idx="175">
                  <c:v>39.040599999999998</c:v>
                </c:pt>
                <c:pt idx="176">
                  <c:v>63.466399999999993</c:v>
                </c:pt>
                <c:pt idx="177">
                  <c:v>29.229399999999998</c:v>
                </c:pt>
                <c:pt idx="178">
                  <c:v>1.1244000000000001</c:v>
                </c:pt>
                <c:pt idx="179">
                  <c:v>51.202399999999997</c:v>
                </c:pt>
                <c:pt idx="180">
                  <c:v>31.171199999999999</c:v>
                </c:pt>
                <c:pt idx="181">
                  <c:v>28.922799999999999</c:v>
                </c:pt>
                <c:pt idx="182">
                  <c:v>42.5154</c:v>
                </c:pt>
                <c:pt idx="183">
                  <c:v>39.551600000000001</c:v>
                </c:pt>
                <c:pt idx="184">
                  <c:v>42.821999999999996</c:v>
                </c:pt>
                <c:pt idx="185">
                  <c:v>38.120799999999996</c:v>
                </c:pt>
                <c:pt idx="186">
                  <c:v>5.4168000000000003</c:v>
                </c:pt>
                <c:pt idx="187">
                  <c:v>-0.61299999999999999</c:v>
                </c:pt>
                <c:pt idx="188">
                  <c:v>22.075399999999998</c:v>
                </c:pt>
                <c:pt idx="189">
                  <c:v>25.5502</c:v>
                </c:pt>
                <c:pt idx="190">
                  <c:v>100.25839999999999</c:v>
                </c:pt>
                <c:pt idx="191">
                  <c:v>7.3586</c:v>
                </c:pt>
                <c:pt idx="192">
                  <c:v>14.716999999999999</c:v>
                </c:pt>
                <c:pt idx="193">
                  <c:v>15.432399999999998</c:v>
                </c:pt>
                <c:pt idx="194">
                  <c:v>13.8994</c:v>
                </c:pt>
                <c:pt idx="195">
                  <c:v>15.432399999999998</c:v>
                </c:pt>
                <c:pt idx="196">
                  <c:v>99.440799999999996</c:v>
                </c:pt>
                <c:pt idx="197">
                  <c:v>49.464999999999996</c:v>
                </c:pt>
                <c:pt idx="198">
                  <c:v>93.921999999999997</c:v>
                </c:pt>
                <c:pt idx="199">
                  <c:v>16.1478</c:v>
                </c:pt>
                <c:pt idx="200">
                  <c:v>53.042000000000002</c:v>
                </c:pt>
                <c:pt idx="201">
                  <c:v>58.254199999999997</c:v>
                </c:pt>
                <c:pt idx="202">
                  <c:v>47.625399999999999</c:v>
                </c:pt>
                <c:pt idx="203">
                  <c:v>46.91</c:v>
                </c:pt>
                <c:pt idx="204">
                  <c:v>55.392600000000002</c:v>
                </c:pt>
                <c:pt idx="205">
                  <c:v>60.809199999999997</c:v>
                </c:pt>
                <c:pt idx="206">
                  <c:v>44.354999999999997</c:v>
                </c:pt>
                <c:pt idx="207">
                  <c:v>55.597000000000001</c:v>
                </c:pt>
                <c:pt idx="208">
                  <c:v>65.919200000000004</c:v>
                </c:pt>
                <c:pt idx="209">
                  <c:v>54.677199999999999</c:v>
                </c:pt>
                <c:pt idx="210">
                  <c:v>38.734000000000002</c:v>
                </c:pt>
                <c:pt idx="211">
                  <c:v>73.788600000000002</c:v>
                </c:pt>
                <c:pt idx="212">
                  <c:v>94.2286</c:v>
                </c:pt>
                <c:pt idx="213">
                  <c:v>57.334400000000002</c:v>
                </c:pt>
                <c:pt idx="214">
                  <c:v>59.684999999999995</c:v>
                </c:pt>
                <c:pt idx="215">
                  <c:v>42.719799999999999</c:v>
                </c:pt>
                <c:pt idx="216">
                  <c:v>53.552999999999997</c:v>
                </c:pt>
                <c:pt idx="217">
                  <c:v>72.459999999999994</c:v>
                </c:pt>
                <c:pt idx="218">
                  <c:v>57.845399999999998</c:v>
                </c:pt>
                <c:pt idx="219">
                  <c:v>98.521000000000001</c:v>
                </c:pt>
                <c:pt idx="220">
                  <c:v>36.383400000000002</c:v>
                </c:pt>
                <c:pt idx="221">
                  <c:v>64.488399999999999</c:v>
                </c:pt>
                <c:pt idx="222">
                  <c:v>10.117999999999999</c:v>
                </c:pt>
                <c:pt idx="223">
                  <c:v>92.286799999999999</c:v>
                </c:pt>
                <c:pt idx="224">
                  <c:v>24.732599999999998</c:v>
                </c:pt>
                <c:pt idx="225">
                  <c:v>83.497600000000006</c:v>
                </c:pt>
                <c:pt idx="226">
                  <c:v>87.994399999999999</c:v>
                </c:pt>
                <c:pt idx="227">
                  <c:v>55.188200000000002</c:v>
                </c:pt>
                <c:pt idx="228">
                  <c:v>80.227199999999996</c:v>
                </c:pt>
                <c:pt idx="229">
                  <c:v>39.244999999999997</c:v>
                </c:pt>
                <c:pt idx="230">
                  <c:v>56.312399999999997</c:v>
                </c:pt>
                <c:pt idx="231">
                  <c:v>85.030599999999993</c:v>
                </c:pt>
                <c:pt idx="232">
                  <c:v>71.029200000000003</c:v>
                </c:pt>
                <c:pt idx="233">
                  <c:v>66.736800000000002</c:v>
                </c:pt>
                <c:pt idx="234">
                  <c:v>62.955399999999997</c:v>
                </c:pt>
                <c:pt idx="235">
                  <c:v>51.815599999999996</c:v>
                </c:pt>
                <c:pt idx="236">
                  <c:v>67.349999999999994</c:v>
                </c:pt>
                <c:pt idx="237">
                  <c:v>72.357799999999997</c:v>
                </c:pt>
                <c:pt idx="238">
                  <c:v>72.562200000000004</c:v>
                </c:pt>
                <c:pt idx="239">
                  <c:v>41.186799999999998</c:v>
                </c:pt>
                <c:pt idx="240">
                  <c:v>61.217999999999996</c:v>
                </c:pt>
                <c:pt idx="241">
                  <c:v>65.408199999999994</c:v>
                </c:pt>
                <c:pt idx="242">
                  <c:v>72.459999999999994</c:v>
                </c:pt>
                <c:pt idx="243">
                  <c:v>62.137799999999999</c:v>
                </c:pt>
                <c:pt idx="244">
                  <c:v>53.348599999999998</c:v>
                </c:pt>
                <c:pt idx="245">
                  <c:v>87.994399999999999</c:v>
                </c:pt>
                <c:pt idx="246">
                  <c:v>64.590599999999995</c:v>
                </c:pt>
                <c:pt idx="247">
                  <c:v>67.145600000000002</c:v>
                </c:pt>
                <c:pt idx="248">
                  <c:v>59.173999999999999</c:v>
                </c:pt>
                <c:pt idx="249">
                  <c:v>61.831199999999995</c:v>
                </c:pt>
                <c:pt idx="250">
                  <c:v>69.291799999999995</c:v>
                </c:pt>
                <c:pt idx="253">
                  <c:v>67.247799999999998</c:v>
                </c:pt>
                <c:pt idx="254">
                  <c:v>69.802800000000005</c:v>
                </c:pt>
                <c:pt idx="255">
                  <c:v>71.131399999999999</c:v>
                </c:pt>
                <c:pt idx="256">
                  <c:v>72.153400000000005</c:v>
                </c:pt>
                <c:pt idx="257">
                  <c:v>71.131399999999999</c:v>
                </c:pt>
                <c:pt idx="258">
                  <c:v>73.175399999999996</c:v>
                </c:pt>
                <c:pt idx="259">
                  <c:v>75.117199999999997</c:v>
                </c:pt>
                <c:pt idx="260">
                  <c:v>78.489800000000002</c:v>
                </c:pt>
                <c:pt idx="261">
                  <c:v>80.942599999999999</c:v>
                </c:pt>
                <c:pt idx="262">
                  <c:v>58.254199999999997</c:v>
                </c:pt>
                <c:pt idx="263">
                  <c:v>85.030599999999993</c:v>
                </c:pt>
                <c:pt idx="264">
                  <c:v>76.548000000000002</c:v>
                </c:pt>
                <c:pt idx="265">
                  <c:v>23.812799999999999</c:v>
                </c:pt>
                <c:pt idx="266">
                  <c:v>89.425200000000004</c:v>
                </c:pt>
                <c:pt idx="267">
                  <c:v>51.202399999999997</c:v>
                </c:pt>
                <c:pt idx="268">
                  <c:v>53.757399999999997</c:v>
                </c:pt>
                <c:pt idx="269">
                  <c:v>82.986599999999996</c:v>
                </c:pt>
                <c:pt idx="270">
                  <c:v>98.112200000000001</c:v>
                </c:pt>
                <c:pt idx="271">
                  <c:v>11.855399999999999</c:v>
                </c:pt>
                <c:pt idx="272">
                  <c:v>62.137799999999999</c:v>
                </c:pt>
                <c:pt idx="273">
                  <c:v>47.727599999999995</c:v>
                </c:pt>
                <c:pt idx="274">
                  <c:v>39.858199999999997</c:v>
                </c:pt>
                <c:pt idx="275">
                  <c:v>36.281199999999998</c:v>
                </c:pt>
                <c:pt idx="276">
                  <c:v>51.509</c:v>
                </c:pt>
                <c:pt idx="277">
                  <c:v>71.131399999999999</c:v>
                </c:pt>
                <c:pt idx="278">
                  <c:v>77.467799999999997</c:v>
                </c:pt>
                <c:pt idx="279">
                  <c:v>78.285399999999996</c:v>
                </c:pt>
                <c:pt idx="280">
                  <c:v>81.249200000000002</c:v>
                </c:pt>
                <c:pt idx="281">
                  <c:v>81.453599999999994</c:v>
                </c:pt>
                <c:pt idx="282">
                  <c:v>85.132800000000003</c:v>
                </c:pt>
                <c:pt idx="283">
                  <c:v>78.796400000000006</c:v>
                </c:pt>
                <c:pt idx="284">
                  <c:v>87.483400000000003</c:v>
                </c:pt>
                <c:pt idx="285">
                  <c:v>81.249200000000002</c:v>
                </c:pt>
                <c:pt idx="286">
                  <c:v>93.104399999999998</c:v>
                </c:pt>
                <c:pt idx="287">
                  <c:v>59.378399999999999</c:v>
                </c:pt>
                <c:pt idx="288">
                  <c:v>71.029200000000003</c:v>
                </c:pt>
                <c:pt idx="289">
                  <c:v>57.640999999999998</c:v>
                </c:pt>
                <c:pt idx="290">
                  <c:v>52.530999999999999</c:v>
                </c:pt>
                <c:pt idx="291">
                  <c:v>57.947600000000001</c:v>
                </c:pt>
                <c:pt idx="292">
                  <c:v>63.977400000000003</c:v>
                </c:pt>
                <c:pt idx="293">
                  <c:v>90.242800000000003</c:v>
                </c:pt>
                <c:pt idx="294">
                  <c:v>21.36</c:v>
                </c:pt>
                <c:pt idx="295">
                  <c:v>47.523199999999996</c:v>
                </c:pt>
                <c:pt idx="296">
                  <c:v>44.354999999999997</c:v>
                </c:pt>
                <c:pt idx="297">
                  <c:v>13.286200000000001</c:v>
                </c:pt>
                <c:pt idx="298">
                  <c:v>54.779399999999995</c:v>
                </c:pt>
                <c:pt idx="299">
                  <c:v>12.979600000000001</c:v>
                </c:pt>
                <c:pt idx="300">
                  <c:v>0.5112000000000001</c:v>
                </c:pt>
                <c:pt idx="301">
                  <c:v>60.400399999999998</c:v>
                </c:pt>
                <c:pt idx="302">
                  <c:v>5.1101999999999999</c:v>
                </c:pt>
                <c:pt idx="303">
                  <c:v>56.925599999999996</c:v>
                </c:pt>
                <c:pt idx="304">
                  <c:v>40.880200000000002</c:v>
                </c:pt>
                <c:pt idx="305">
                  <c:v>11.3444</c:v>
                </c:pt>
                <c:pt idx="306">
                  <c:v>43.741799999999998</c:v>
                </c:pt>
                <c:pt idx="307">
                  <c:v>0.91999999999999993</c:v>
                </c:pt>
                <c:pt idx="308">
                  <c:v>56.721199999999996</c:v>
                </c:pt>
                <c:pt idx="309">
                  <c:v>52.837600000000002</c:v>
                </c:pt>
                <c:pt idx="310">
                  <c:v>46.501199999999997</c:v>
                </c:pt>
                <c:pt idx="311">
                  <c:v>73.686399999999992</c:v>
                </c:pt>
                <c:pt idx="312">
                  <c:v>64.488399999999999</c:v>
                </c:pt>
                <c:pt idx="313">
                  <c:v>54.2684</c:v>
                </c:pt>
                <c:pt idx="314">
                  <c:v>91.060400000000001</c:v>
                </c:pt>
                <c:pt idx="315">
                  <c:v>47.932000000000002</c:v>
                </c:pt>
                <c:pt idx="316">
                  <c:v>58.356400000000001</c:v>
                </c:pt>
                <c:pt idx="317">
                  <c:v>67.452200000000005</c:v>
                </c:pt>
                <c:pt idx="318">
                  <c:v>59.173999999999999</c:v>
                </c:pt>
                <c:pt idx="319">
                  <c:v>57.947600000000001</c:v>
                </c:pt>
                <c:pt idx="320">
                  <c:v>59.276199999999996</c:v>
                </c:pt>
                <c:pt idx="321">
                  <c:v>72.051199999999994</c:v>
                </c:pt>
                <c:pt idx="322">
                  <c:v>57.232199999999999</c:v>
                </c:pt>
                <c:pt idx="323">
                  <c:v>63.977400000000003</c:v>
                </c:pt>
                <c:pt idx="324">
                  <c:v>68.474199999999996</c:v>
                </c:pt>
                <c:pt idx="325">
                  <c:v>62.546599999999998</c:v>
                </c:pt>
                <c:pt idx="326">
                  <c:v>60.502600000000001</c:v>
                </c:pt>
                <c:pt idx="327">
                  <c:v>60.9114</c:v>
                </c:pt>
                <c:pt idx="328">
                  <c:v>54.779399999999995</c:v>
                </c:pt>
                <c:pt idx="329">
                  <c:v>66.532399999999996</c:v>
                </c:pt>
                <c:pt idx="330">
                  <c:v>56.925599999999996</c:v>
                </c:pt>
                <c:pt idx="331">
                  <c:v>52.633200000000002</c:v>
                </c:pt>
                <c:pt idx="332">
                  <c:v>59.173999999999999</c:v>
                </c:pt>
                <c:pt idx="333">
                  <c:v>61.422399999999996</c:v>
                </c:pt>
                <c:pt idx="334">
                  <c:v>62.648799999999994</c:v>
                </c:pt>
                <c:pt idx="335">
                  <c:v>62.853200000000001</c:v>
                </c:pt>
                <c:pt idx="336">
                  <c:v>63.6708</c:v>
                </c:pt>
                <c:pt idx="337">
                  <c:v>62.546599999999998</c:v>
                </c:pt>
                <c:pt idx="338">
                  <c:v>69.598399999999998</c:v>
                </c:pt>
                <c:pt idx="339">
                  <c:v>76.139200000000002</c:v>
                </c:pt>
                <c:pt idx="340">
                  <c:v>70.7226</c:v>
                </c:pt>
                <c:pt idx="341">
                  <c:v>85.643799999999999</c:v>
                </c:pt>
                <c:pt idx="342">
                  <c:v>77.263400000000004</c:v>
                </c:pt>
                <c:pt idx="343">
                  <c:v>63.057599999999994</c:v>
                </c:pt>
                <c:pt idx="344">
                  <c:v>83.906400000000005</c:v>
                </c:pt>
                <c:pt idx="345">
                  <c:v>54.2684</c:v>
                </c:pt>
                <c:pt idx="346">
                  <c:v>91.060400000000001</c:v>
                </c:pt>
                <c:pt idx="347">
                  <c:v>83.088799999999992</c:v>
                </c:pt>
                <c:pt idx="348">
                  <c:v>7.5629999999999997</c:v>
                </c:pt>
                <c:pt idx="349">
                  <c:v>80.125</c:v>
                </c:pt>
                <c:pt idx="350">
                  <c:v>83.191000000000003</c:v>
                </c:pt>
                <c:pt idx="351">
                  <c:v>33.828400000000002</c:v>
                </c:pt>
                <c:pt idx="352">
                  <c:v>83.293199999999999</c:v>
                </c:pt>
                <c:pt idx="353">
                  <c:v>101.587</c:v>
                </c:pt>
                <c:pt idx="354">
                  <c:v>42.924199999999999</c:v>
                </c:pt>
                <c:pt idx="355">
                  <c:v>81.453599999999994</c:v>
                </c:pt>
                <c:pt idx="356">
                  <c:v>84.315200000000004</c:v>
                </c:pt>
                <c:pt idx="357">
                  <c:v>47.625399999999999</c:v>
                </c:pt>
                <c:pt idx="358">
                  <c:v>43.844000000000001</c:v>
                </c:pt>
                <c:pt idx="359">
                  <c:v>84.417400000000001</c:v>
                </c:pt>
                <c:pt idx="360">
                  <c:v>87.1768</c:v>
                </c:pt>
                <c:pt idx="361">
                  <c:v>52.735399999999998</c:v>
                </c:pt>
                <c:pt idx="362">
                  <c:v>50.793599999999998</c:v>
                </c:pt>
                <c:pt idx="363">
                  <c:v>10.935600000000001</c:v>
                </c:pt>
                <c:pt idx="364">
                  <c:v>87.1768</c:v>
                </c:pt>
                <c:pt idx="365">
                  <c:v>36.485599999999998</c:v>
                </c:pt>
                <c:pt idx="366">
                  <c:v>55.903599999999997</c:v>
                </c:pt>
                <c:pt idx="367">
                  <c:v>44.4572</c:v>
                </c:pt>
                <c:pt idx="368">
                  <c:v>71.642399999999995</c:v>
                </c:pt>
                <c:pt idx="369">
                  <c:v>62.342200000000005</c:v>
                </c:pt>
                <c:pt idx="370">
                  <c:v>86.052599999999998</c:v>
                </c:pt>
                <c:pt idx="371">
                  <c:v>84.519599999999997</c:v>
                </c:pt>
                <c:pt idx="372">
                  <c:v>91.775800000000004</c:v>
                </c:pt>
                <c:pt idx="373">
                  <c:v>96.988</c:v>
                </c:pt>
                <c:pt idx="374">
                  <c:v>74.912800000000004</c:v>
                </c:pt>
                <c:pt idx="375">
                  <c:v>55.188200000000002</c:v>
                </c:pt>
                <c:pt idx="376">
                  <c:v>55.494799999999998</c:v>
                </c:pt>
                <c:pt idx="377">
                  <c:v>41.902200000000001</c:v>
                </c:pt>
                <c:pt idx="378">
                  <c:v>45.990200000000002</c:v>
                </c:pt>
                <c:pt idx="379">
                  <c:v>29.331599999999998</c:v>
                </c:pt>
                <c:pt idx="380">
                  <c:v>66.838999999999999</c:v>
                </c:pt>
                <c:pt idx="381">
                  <c:v>96.374799999999993</c:v>
                </c:pt>
                <c:pt idx="382">
                  <c:v>78.183199999999999</c:v>
                </c:pt>
                <c:pt idx="383">
                  <c:v>91.264799999999994</c:v>
                </c:pt>
                <c:pt idx="384">
                  <c:v>93.206599999999995</c:v>
                </c:pt>
                <c:pt idx="385">
                  <c:v>90.140599999999992</c:v>
                </c:pt>
                <c:pt idx="386">
                  <c:v>91.367000000000004</c:v>
                </c:pt>
                <c:pt idx="387">
                  <c:v>100.36060000000001</c:v>
                </c:pt>
                <c:pt idx="388">
                  <c:v>91.469200000000001</c:v>
                </c:pt>
                <c:pt idx="389">
                  <c:v>90.140599999999992</c:v>
                </c:pt>
                <c:pt idx="390">
                  <c:v>87.074600000000004</c:v>
                </c:pt>
                <c:pt idx="391">
                  <c:v>84.315200000000004</c:v>
                </c:pt>
                <c:pt idx="392">
                  <c:v>80.942599999999999</c:v>
                </c:pt>
                <c:pt idx="393">
                  <c:v>45.070399999999999</c:v>
                </c:pt>
                <c:pt idx="394">
                  <c:v>24.528199999999998</c:v>
                </c:pt>
                <c:pt idx="395">
                  <c:v>4.2926000000000002</c:v>
                </c:pt>
                <c:pt idx="396">
                  <c:v>92.899999999999991</c:v>
                </c:pt>
                <c:pt idx="397">
                  <c:v>26.980999999999998</c:v>
                </c:pt>
                <c:pt idx="398">
                  <c:v>43.332999999999998</c:v>
                </c:pt>
                <c:pt idx="399">
                  <c:v>49.464999999999996</c:v>
                </c:pt>
                <c:pt idx="400">
                  <c:v>52.224399999999996</c:v>
                </c:pt>
                <c:pt idx="401">
                  <c:v>53.552999999999997</c:v>
                </c:pt>
                <c:pt idx="402">
                  <c:v>53.8596</c:v>
                </c:pt>
                <c:pt idx="403">
                  <c:v>52.019999999999996</c:v>
                </c:pt>
                <c:pt idx="404">
                  <c:v>37.8142</c:v>
                </c:pt>
                <c:pt idx="405">
                  <c:v>41.186799999999998</c:v>
                </c:pt>
                <c:pt idx="406">
                  <c:v>55.903599999999997</c:v>
                </c:pt>
                <c:pt idx="407">
                  <c:v>54.574999999999996</c:v>
                </c:pt>
                <c:pt idx="408">
                  <c:v>35.361399999999996</c:v>
                </c:pt>
                <c:pt idx="409">
                  <c:v>34.134999999999998</c:v>
                </c:pt>
                <c:pt idx="410">
                  <c:v>22.688599999999997</c:v>
                </c:pt>
                <c:pt idx="411">
                  <c:v>91.367000000000004</c:v>
                </c:pt>
                <c:pt idx="412">
                  <c:v>31.068999999999996</c:v>
                </c:pt>
                <c:pt idx="413">
                  <c:v>19.213799999999999</c:v>
                </c:pt>
                <c:pt idx="414">
                  <c:v>95.250599999999991</c:v>
                </c:pt>
                <c:pt idx="415">
                  <c:v>96.477000000000004</c:v>
                </c:pt>
                <c:pt idx="416">
                  <c:v>85.234999999999999</c:v>
                </c:pt>
                <c:pt idx="417">
                  <c:v>74.912800000000004</c:v>
                </c:pt>
                <c:pt idx="418">
                  <c:v>81.658000000000001</c:v>
                </c:pt>
                <c:pt idx="419">
                  <c:v>96.170400000000001</c:v>
                </c:pt>
                <c:pt idx="420">
                  <c:v>90.855999999999995</c:v>
                </c:pt>
                <c:pt idx="421">
                  <c:v>31.477800000000002</c:v>
                </c:pt>
                <c:pt idx="422">
                  <c:v>32.7042</c:v>
                </c:pt>
                <c:pt idx="423">
                  <c:v>59.480599999999995</c:v>
                </c:pt>
                <c:pt idx="424">
                  <c:v>78.081000000000003</c:v>
                </c:pt>
                <c:pt idx="425">
                  <c:v>93.411000000000001</c:v>
                </c:pt>
                <c:pt idx="426">
                  <c:v>2.3508000000000004</c:v>
                </c:pt>
                <c:pt idx="427">
                  <c:v>32.091000000000001</c:v>
                </c:pt>
                <c:pt idx="428">
                  <c:v>6.2343999999999999</c:v>
                </c:pt>
                <c:pt idx="429">
                  <c:v>27.7986</c:v>
                </c:pt>
                <c:pt idx="430">
                  <c:v>21.973199999999999</c:v>
                </c:pt>
                <c:pt idx="431">
                  <c:v>20.644600000000001</c:v>
                </c:pt>
                <c:pt idx="432">
                  <c:v>33.419599999999996</c:v>
                </c:pt>
                <c:pt idx="433">
                  <c:v>99.951799999999992</c:v>
                </c:pt>
                <c:pt idx="434">
                  <c:v>53.757399999999997</c:v>
                </c:pt>
                <c:pt idx="435">
                  <c:v>37.507599999999996</c:v>
                </c:pt>
                <c:pt idx="436">
                  <c:v>31.886600000000001</c:v>
                </c:pt>
                <c:pt idx="437">
                  <c:v>53.246400000000001</c:v>
                </c:pt>
                <c:pt idx="438">
                  <c:v>86.257000000000005</c:v>
                </c:pt>
                <c:pt idx="439">
                  <c:v>33.419599999999996</c:v>
                </c:pt>
                <c:pt idx="440">
                  <c:v>85.337199999999996</c:v>
                </c:pt>
                <c:pt idx="441">
                  <c:v>41.391199999999998</c:v>
                </c:pt>
                <c:pt idx="442">
                  <c:v>41.391199999999998</c:v>
                </c:pt>
                <c:pt idx="443">
                  <c:v>79.920599999999993</c:v>
                </c:pt>
                <c:pt idx="444">
                  <c:v>69.905000000000001</c:v>
                </c:pt>
                <c:pt idx="445">
                  <c:v>36.076799999999999</c:v>
                </c:pt>
                <c:pt idx="446">
                  <c:v>29.842599999999997</c:v>
                </c:pt>
                <c:pt idx="447">
                  <c:v>38.836199999999998</c:v>
                </c:pt>
                <c:pt idx="448">
                  <c:v>18.9072</c:v>
                </c:pt>
                <c:pt idx="449">
                  <c:v>63.364199999999997</c:v>
                </c:pt>
                <c:pt idx="450">
                  <c:v>68.474199999999996</c:v>
                </c:pt>
                <c:pt idx="451">
                  <c:v>68.678600000000003</c:v>
                </c:pt>
                <c:pt idx="452">
                  <c:v>78.183199999999999</c:v>
                </c:pt>
                <c:pt idx="453">
                  <c:v>81.249200000000002</c:v>
                </c:pt>
                <c:pt idx="454">
                  <c:v>73.175399999999996</c:v>
                </c:pt>
                <c:pt idx="455">
                  <c:v>72.459999999999994</c:v>
                </c:pt>
                <c:pt idx="456">
                  <c:v>77.876599999999996</c:v>
                </c:pt>
                <c:pt idx="457">
                  <c:v>85.643799999999999</c:v>
                </c:pt>
                <c:pt idx="458">
                  <c:v>77.569999999999993</c:v>
                </c:pt>
                <c:pt idx="459">
                  <c:v>89.425200000000004</c:v>
                </c:pt>
                <c:pt idx="460">
                  <c:v>92.082399999999993</c:v>
                </c:pt>
                <c:pt idx="461">
                  <c:v>81.658000000000001</c:v>
                </c:pt>
                <c:pt idx="462">
                  <c:v>86.257000000000005</c:v>
                </c:pt>
                <c:pt idx="463">
                  <c:v>90.038399999999996</c:v>
                </c:pt>
                <c:pt idx="464">
                  <c:v>93.513199999999998</c:v>
                </c:pt>
                <c:pt idx="465">
                  <c:v>86.972399999999993</c:v>
                </c:pt>
                <c:pt idx="466">
                  <c:v>82.986599999999996</c:v>
                </c:pt>
                <c:pt idx="467">
                  <c:v>79.000799999999998</c:v>
                </c:pt>
                <c:pt idx="468">
                  <c:v>81.453599999999994</c:v>
                </c:pt>
                <c:pt idx="469">
                  <c:v>72.664400000000001</c:v>
                </c:pt>
                <c:pt idx="470">
                  <c:v>80.431600000000003</c:v>
                </c:pt>
                <c:pt idx="471">
                  <c:v>67.349999999999994</c:v>
                </c:pt>
                <c:pt idx="472">
                  <c:v>74.708399999999997</c:v>
                </c:pt>
                <c:pt idx="473">
                  <c:v>68.882999999999996</c:v>
                </c:pt>
                <c:pt idx="474">
                  <c:v>82.066800000000001</c:v>
                </c:pt>
                <c:pt idx="475">
                  <c:v>76.343599999999995</c:v>
                </c:pt>
                <c:pt idx="476">
                  <c:v>77.058999999999997</c:v>
                </c:pt>
                <c:pt idx="477">
                  <c:v>70.007199999999997</c:v>
                </c:pt>
                <c:pt idx="478">
                  <c:v>78.183199999999999</c:v>
                </c:pt>
                <c:pt idx="479">
                  <c:v>71.335799999999992</c:v>
                </c:pt>
                <c:pt idx="480">
                  <c:v>80.022800000000004</c:v>
                </c:pt>
                <c:pt idx="481">
                  <c:v>68.576399999999992</c:v>
                </c:pt>
                <c:pt idx="482">
                  <c:v>82.066800000000001</c:v>
                </c:pt>
                <c:pt idx="487">
                  <c:v>70.211600000000004</c:v>
                </c:pt>
                <c:pt idx="488">
                  <c:v>73.379800000000003</c:v>
                </c:pt>
                <c:pt idx="489">
                  <c:v>71.131399999999999</c:v>
                </c:pt>
                <c:pt idx="490">
                  <c:v>0.40900000000000025</c:v>
                </c:pt>
                <c:pt idx="491">
                  <c:v>81.658000000000001</c:v>
                </c:pt>
                <c:pt idx="492">
                  <c:v>34.748199999999997</c:v>
                </c:pt>
                <c:pt idx="493">
                  <c:v>35.872399999999999</c:v>
                </c:pt>
                <c:pt idx="494">
                  <c:v>54.064</c:v>
                </c:pt>
                <c:pt idx="495">
                  <c:v>46.501199999999997</c:v>
                </c:pt>
                <c:pt idx="496">
                  <c:v>25.959</c:v>
                </c:pt>
                <c:pt idx="497">
                  <c:v>52.633200000000002</c:v>
                </c:pt>
                <c:pt idx="498">
                  <c:v>46.194600000000001</c:v>
                </c:pt>
                <c:pt idx="499">
                  <c:v>43.844000000000001</c:v>
                </c:pt>
                <c:pt idx="500">
                  <c:v>41.697800000000001</c:v>
                </c:pt>
                <c:pt idx="501">
                  <c:v>19.622599999999998</c:v>
                </c:pt>
                <c:pt idx="502">
                  <c:v>61.217999999999996</c:v>
                </c:pt>
                <c:pt idx="503">
                  <c:v>5.5190000000000001</c:v>
                </c:pt>
                <c:pt idx="504">
                  <c:v>59.991599999999998</c:v>
                </c:pt>
                <c:pt idx="505">
                  <c:v>43.741799999999998</c:v>
                </c:pt>
                <c:pt idx="506">
                  <c:v>3.4749999999999996</c:v>
                </c:pt>
                <c:pt idx="507">
                  <c:v>53.348599999999998</c:v>
                </c:pt>
                <c:pt idx="508">
                  <c:v>48.034199999999998</c:v>
                </c:pt>
                <c:pt idx="509">
                  <c:v>98.521000000000001</c:v>
                </c:pt>
                <c:pt idx="510">
                  <c:v>59.173999999999999</c:v>
                </c:pt>
                <c:pt idx="511">
                  <c:v>56.721199999999996</c:v>
                </c:pt>
                <c:pt idx="512">
                  <c:v>51.7134</c:v>
                </c:pt>
                <c:pt idx="513">
                  <c:v>27.287599999999998</c:v>
                </c:pt>
                <c:pt idx="514">
                  <c:v>39.244999999999997</c:v>
                </c:pt>
                <c:pt idx="515">
                  <c:v>45.581400000000002</c:v>
                </c:pt>
                <c:pt idx="516">
                  <c:v>17.885199999999998</c:v>
                </c:pt>
                <c:pt idx="517">
                  <c:v>13.388400000000001</c:v>
                </c:pt>
                <c:pt idx="518">
                  <c:v>21.768799999999999</c:v>
                </c:pt>
                <c:pt idx="519">
                  <c:v>36.383400000000002</c:v>
                </c:pt>
                <c:pt idx="520">
                  <c:v>13.695</c:v>
                </c:pt>
                <c:pt idx="521">
                  <c:v>17.987399999999997</c:v>
                </c:pt>
                <c:pt idx="522">
                  <c:v>43.026399999999995</c:v>
                </c:pt>
                <c:pt idx="523">
                  <c:v>42.1066</c:v>
                </c:pt>
                <c:pt idx="524">
                  <c:v>18.9072</c:v>
                </c:pt>
                <c:pt idx="525">
                  <c:v>4.8036000000000003</c:v>
                </c:pt>
                <c:pt idx="526">
                  <c:v>36.485599999999998</c:v>
                </c:pt>
                <c:pt idx="527">
                  <c:v>42.311</c:v>
                </c:pt>
                <c:pt idx="528">
                  <c:v>36.076799999999999</c:v>
                </c:pt>
                <c:pt idx="529">
                  <c:v>25.141399999999997</c:v>
                </c:pt>
                <c:pt idx="530">
                  <c:v>29.127199999999998</c:v>
                </c:pt>
                <c:pt idx="531">
                  <c:v>29.535999999999998</c:v>
                </c:pt>
                <c:pt idx="532">
                  <c:v>5.008</c:v>
                </c:pt>
                <c:pt idx="533">
                  <c:v>38.631799999999998</c:v>
                </c:pt>
                <c:pt idx="534">
                  <c:v>19.315999999999999</c:v>
                </c:pt>
                <c:pt idx="535">
                  <c:v>-0.91959999999999997</c:v>
                </c:pt>
                <c:pt idx="536">
                  <c:v>8.3806000000000012</c:v>
                </c:pt>
                <c:pt idx="537">
                  <c:v>74.401799999999994</c:v>
                </c:pt>
                <c:pt idx="538">
                  <c:v>38.427399999999999</c:v>
                </c:pt>
                <c:pt idx="539">
                  <c:v>1.9420000000000002</c:v>
                </c:pt>
                <c:pt idx="540">
                  <c:v>64.590599999999995</c:v>
                </c:pt>
                <c:pt idx="541">
                  <c:v>74.401799999999994</c:v>
                </c:pt>
                <c:pt idx="542">
                  <c:v>20.440199999999997</c:v>
                </c:pt>
                <c:pt idx="543">
                  <c:v>8.6872000000000007</c:v>
                </c:pt>
                <c:pt idx="544">
                  <c:v>54.677199999999999</c:v>
                </c:pt>
                <c:pt idx="545">
                  <c:v>35.565799999999996</c:v>
                </c:pt>
                <c:pt idx="546">
                  <c:v>14.614799999999999</c:v>
                </c:pt>
                <c:pt idx="547">
                  <c:v>22.484199999999998</c:v>
                </c:pt>
                <c:pt idx="548">
                  <c:v>21.973199999999999</c:v>
                </c:pt>
                <c:pt idx="549">
                  <c:v>26.572199999999999</c:v>
                </c:pt>
                <c:pt idx="550">
                  <c:v>26.47</c:v>
                </c:pt>
                <c:pt idx="551">
                  <c:v>24.528199999999998</c:v>
                </c:pt>
                <c:pt idx="552">
                  <c:v>20.031399999999998</c:v>
                </c:pt>
                <c:pt idx="553">
                  <c:v>12.366399999999999</c:v>
                </c:pt>
                <c:pt idx="554">
                  <c:v>18.294</c:v>
                </c:pt>
                <c:pt idx="555">
                  <c:v>57.436599999999999</c:v>
                </c:pt>
                <c:pt idx="556">
                  <c:v>10.117999999999999</c:v>
                </c:pt>
                <c:pt idx="557">
                  <c:v>1.5331999999999999</c:v>
                </c:pt>
                <c:pt idx="558">
                  <c:v>6.3365999999999998</c:v>
                </c:pt>
                <c:pt idx="559">
                  <c:v>2.5552000000000001</c:v>
                </c:pt>
                <c:pt idx="560">
                  <c:v>25.448</c:v>
                </c:pt>
                <c:pt idx="561">
                  <c:v>32.193199999999997</c:v>
                </c:pt>
                <c:pt idx="562">
                  <c:v>77.467799999999997</c:v>
                </c:pt>
                <c:pt idx="563">
                  <c:v>6.8476000000000008</c:v>
                </c:pt>
                <c:pt idx="564">
                  <c:v>67.452200000000005</c:v>
                </c:pt>
                <c:pt idx="565">
                  <c:v>14.819199999999999</c:v>
                </c:pt>
                <c:pt idx="566">
                  <c:v>1.431</c:v>
                </c:pt>
                <c:pt idx="567">
                  <c:v>17.271999999999998</c:v>
                </c:pt>
                <c:pt idx="568">
                  <c:v>102.4046</c:v>
                </c:pt>
                <c:pt idx="569">
                  <c:v>33.010799999999996</c:v>
                </c:pt>
                <c:pt idx="570">
                  <c:v>24.017199999999999</c:v>
                </c:pt>
                <c:pt idx="571">
                  <c:v>20.542400000000001</c:v>
                </c:pt>
                <c:pt idx="572">
                  <c:v>15.023599999999998</c:v>
                </c:pt>
                <c:pt idx="573">
                  <c:v>30.7624</c:v>
                </c:pt>
                <c:pt idx="574">
                  <c:v>25.5502</c:v>
                </c:pt>
                <c:pt idx="575">
                  <c:v>20.235799999999998</c:v>
                </c:pt>
                <c:pt idx="584">
                  <c:v>2.6574</c:v>
                </c:pt>
                <c:pt idx="585">
                  <c:v>14.716999999999999</c:v>
                </c:pt>
                <c:pt idx="586">
                  <c:v>37.201000000000001</c:v>
                </c:pt>
                <c:pt idx="587">
                  <c:v>18.294</c:v>
                </c:pt>
                <c:pt idx="588">
                  <c:v>-0.51079999999999992</c:v>
                </c:pt>
                <c:pt idx="589">
                  <c:v>39.756</c:v>
                </c:pt>
                <c:pt idx="590">
                  <c:v>18.3962</c:v>
                </c:pt>
                <c:pt idx="591">
                  <c:v>13.184000000000001</c:v>
                </c:pt>
                <c:pt idx="592">
                  <c:v>28.411799999999999</c:v>
                </c:pt>
                <c:pt idx="593">
                  <c:v>4.3948</c:v>
                </c:pt>
                <c:pt idx="594">
                  <c:v>19.213799999999999</c:v>
                </c:pt>
                <c:pt idx="595">
                  <c:v>43.332999999999998</c:v>
                </c:pt>
                <c:pt idx="596">
                  <c:v>28.003</c:v>
                </c:pt>
                <c:pt idx="597">
                  <c:v>12.775200000000002</c:v>
                </c:pt>
                <c:pt idx="598">
                  <c:v>65.101600000000005</c:v>
                </c:pt>
                <c:pt idx="599">
                  <c:v>27.7986</c:v>
                </c:pt>
                <c:pt idx="600">
                  <c:v>31.068999999999996</c:v>
                </c:pt>
                <c:pt idx="601">
                  <c:v>94.432999999999993</c:v>
                </c:pt>
                <c:pt idx="602">
                  <c:v>63.875199999999992</c:v>
                </c:pt>
                <c:pt idx="603">
                  <c:v>23.5062</c:v>
                </c:pt>
                <c:pt idx="604">
                  <c:v>86.563599999999994</c:v>
                </c:pt>
                <c:pt idx="605">
                  <c:v>18.191800000000001</c:v>
                </c:pt>
                <c:pt idx="606">
                  <c:v>101.7914</c:v>
                </c:pt>
                <c:pt idx="607">
                  <c:v>26.061199999999999</c:v>
                </c:pt>
                <c:pt idx="608">
                  <c:v>15.227999999999998</c:v>
                </c:pt>
                <c:pt idx="609">
                  <c:v>20.031399999999998</c:v>
                </c:pt>
                <c:pt idx="610">
                  <c:v>-0.61299999999999999</c:v>
                </c:pt>
                <c:pt idx="611">
                  <c:v>96.5792</c:v>
                </c:pt>
                <c:pt idx="612">
                  <c:v>94.944000000000003</c:v>
                </c:pt>
                <c:pt idx="613">
                  <c:v>87.687799999999996</c:v>
                </c:pt>
                <c:pt idx="614">
                  <c:v>92.286799999999999</c:v>
                </c:pt>
                <c:pt idx="615">
                  <c:v>1.5331999999999999</c:v>
                </c:pt>
                <c:pt idx="616">
                  <c:v>89.118600000000001</c:v>
                </c:pt>
                <c:pt idx="617">
                  <c:v>62.955399999999997</c:v>
                </c:pt>
                <c:pt idx="618">
                  <c:v>57.640999999999998</c:v>
                </c:pt>
                <c:pt idx="619">
                  <c:v>62.239999999999995</c:v>
                </c:pt>
                <c:pt idx="620">
                  <c:v>59.173999999999999</c:v>
                </c:pt>
                <c:pt idx="621">
                  <c:v>69.802800000000005</c:v>
                </c:pt>
                <c:pt idx="622">
                  <c:v>64.488399999999999</c:v>
                </c:pt>
                <c:pt idx="623">
                  <c:v>71.438000000000002</c:v>
                </c:pt>
                <c:pt idx="624">
                  <c:v>67.145600000000002</c:v>
                </c:pt>
                <c:pt idx="625">
                  <c:v>64.079599999999999</c:v>
                </c:pt>
                <c:pt idx="626">
                  <c:v>88.096599999999995</c:v>
                </c:pt>
                <c:pt idx="627">
                  <c:v>85.337199999999996</c:v>
                </c:pt>
                <c:pt idx="628">
                  <c:v>77.569999999999993</c:v>
                </c:pt>
                <c:pt idx="629">
                  <c:v>94.330799999999996</c:v>
                </c:pt>
                <c:pt idx="630">
                  <c:v>15.330199999999998</c:v>
                </c:pt>
                <c:pt idx="631">
                  <c:v>75.117199999999997</c:v>
                </c:pt>
                <c:pt idx="632">
                  <c:v>89.629599999999996</c:v>
                </c:pt>
                <c:pt idx="633">
                  <c:v>74.708399999999997</c:v>
                </c:pt>
                <c:pt idx="634">
                  <c:v>75.321600000000004</c:v>
                </c:pt>
                <c:pt idx="635">
                  <c:v>76.036999999999992</c:v>
                </c:pt>
                <c:pt idx="636">
                  <c:v>74.401799999999994</c:v>
                </c:pt>
                <c:pt idx="637">
                  <c:v>74.197400000000002</c:v>
                </c:pt>
                <c:pt idx="638">
                  <c:v>72.459999999999994</c:v>
                </c:pt>
                <c:pt idx="639">
                  <c:v>94.432999999999993</c:v>
                </c:pt>
                <c:pt idx="640">
                  <c:v>80.125</c:v>
                </c:pt>
                <c:pt idx="641">
                  <c:v>36.179000000000002</c:v>
                </c:pt>
                <c:pt idx="642">
                  <c:v>88.607600000000005</c:v>
                </c:pt>
                <c:pt idx="643">
                  <c:v>52.633200000000002</c:v>
                </c:pt>
                <c:pt idx="644">
                  <c:v>5.5190000000000001</c:v>
                </c:pt>
                <c:pt idx="645">
                  <c:v>88.403199999999998</c:v>
                </c:pt>
                <c:pt idx="646">
                  <c:v>20.133599999999998</c:v>
                </c:pt>
                <c:pt idx="647">
                  <c:v>78.081000000000003</c:v>
                </c:pt>
                <c:pt idx="648">
                  <c:v>22.995200000000001</c:v>
                </c:pt>
                <c:pt idx="649">
                  <c:v>77.876599999999996</c:v>
                </c:pt>
                <c:pt idx="650">
                  <c:v>21.768799999999999</c:v>
                </c:pt>
                <c:pt idx="651">
                  <c:v>71.540199999999999</c:v>
                </c:pt>
                <c:pt idx="652">
                  <c:v>34.441600000000001</c:v>
                </c:pt>
                <c:pt idx="653">
                  <c:v>79.614000000000004</c:v>
                </c:pt>
                <c:pt idx="654">
                  <c:v>88.096599999999995</c:v>
                </c:pt>
                <c:pt idx="655">
                  <c:v>3.2706</c:v>
                </c:pt>
                <c:pt idx="656">
                  <c:v>95.557199999999995</c:v>
                </c:pt>
                <c:pt idx="657">
                  <c:v>4.7014000000000005</c:v>
                </c:pt>
                <c:pt idx="658">
                  <c:v>1.2265999999999999</c:v>
                </c:pt>
                <c:pt idx="659">
                  <c:v>18.6006</c:v>
                </c:pt>
                <c:pt idx="660">
                  <c:v>41.289000000000001</c:v>
                </c:pt>
                <c:pt idx="661">
                  <c:v>15.432399999999998</c:v>
                </c:pt>
                <c:pt idx="662">
                  <c:v>30.455799999999996</c:v>
                </c:pt>
                <c:pt idx="663">
                  <c:v>56.005800000000001</c:v>
                </c:pt>
                <c:pt idx="664">
                  <c:v>49.873799999999996</c:v>
                </c:pt>
                <c:pt idx="665">
                  <c:v>35.667999999999999</c:v>
                </c:pt>
                <c:pt idx="666">
                  <c:v>52.837600000000002</c:v>
                </c:pt>
                <c:pt idx="667">
                  <c:v>16.4544</c:v>
                </c:pt>
                <c:pt idx="668">
                  <c:v>34.032800000000002</c:v>
                </c:pt>
                <c:pt idx="669">
                  <c:v>9.9135999999999989</c:v>
                </c:pt>
                <c:pt idx="670">
                  <c:v>35.156999999999996</c:v>
                </c:pt>
                <c:pt idx="671">
                  <c:v>35.361399999999996</c:v>
                </c:pt>
                <c:pt idx="672">
                  <c:v>7.3586</c:v>
                </c:pt>
                <c:pt idx="673">
                  <c:v>37.303199999999997</c:v>
                </c:pt>
                <c:pt idx="674">
                  <c:v>45.070399999999999</c:v>
                </c:pt>
                <c:pt idx="675">
                  <c:v>17.885199999999998</c:v>
                </c:pt>
                <c:pt idx="676">
                  <c:v>25.448</c:v>
                </c:pt>
                <c:pt idx="677">
                  <c:v>41.902200000000001</c:v>
                </c:pt>
                <c:pt idx="678">
                  <c:v>33.726199999999999</c:v>
                </c:pt>
                <c:pt idx="679">
                  <c:v>5.008</c:v>
                </c:pt>
                <c:pt idx="680">
                  <c:v>19.826999999999998</c:v>
                </c:pt>
                <c:pt idx="681">
                  <c:v>49.669399999999996</c:v>
                </c:pt>
                <c:pt idx="682">
                  <c:v>96.068200000000004</c:v>
                </c:pt>
                <c:pt idx="683">
                  <c:v>-0.10199999999999987</c:v>
                </c:pt>
                <c:pt idx="684">
                  <c:v>37.916399999999996</c:v>
                </c:pt>
                <c:pt idx="685">
                  <c:v>48.034199999999998</c:v>
                </c:pt>
                <c:pt idx="686">
                  <c:v>7.6651999999999996</c:v>
                </c:pt>
                <c:pt idx="687">
                  <c:v>80.022800000000004</c:v>
                </c:pt>
                <c:pt idx="688">
                  <c:v>30.966799999999999</c:v>
                </c:pt>
                <c:pt idx="689">
                  <c:v>56.721199999999996</c:v>
                </c:pt>
                <c:pt idx="690">
                  <c:v>84.519599999999997</c:v>
                </c:pt>
                <c:pt idx="691">
                  <c:v>81.964600000000004</c:v>
                </c:pt>
                <c:pt idx="692">
                  <c:v>79.716200000000001</c:v>
                </c:pt>
                <c:pt idx="693">
                  <c:v>17.271999999999998</c:v>
                </c:pt>
                <c:pt idx="694">
                  <c:v>14.921399999999998</c:v>
                </c:pt>
                <c:pt idx="695">
                  <c:v>95.863799999999998</c:v>
                </c:pt>
                <c:pt idx="696">
                  <c:v>49.771599999999999</c:v>
                </c:pt>
                <c:pt idx="697">
                  <c:v>95.761600000000001</c:v>
                </c:pt>
                <c:pt idx="698">
                  <c:v>30.3536</c:v>
                </c:pt>
                <c:pt idx="699">
                  <c:v>81.760199999999998</c:v>
                </c:pt>
                <c:pt idx="700">
                  <c:v>60.809199999999997</c:v>
                </c:pt>
                <c:pt idx="701">
                  <c:v>89.016400000000004</c:v>
                </c:pt>
                <c:pt idx="702">
                  <c:v>89.629599999999996</c:v>
                </c:pt>
                <c:pt idx="703">
                  <c:v>86.359200000000001</c:v>
                </c:pt>
                <c:pt idx="704">
                  <c:v>81.453599999999994</c:v>
                </c:pt>
                <c:pt idx="705">
                  <c:v>95.761600000000001</c:v>
                </c:pt>
                <c:pt idx="706">
                  <c:v>99.3386</c:v>
                </c:pt>
                <c:pt idx="707">
                  <c:v>76.956800000000001</c:v>
                </c:pt>
                <c:pt idx="708">
                  <c:v>68.780799999999999</c:v>
                </c:pt>
                <c:pt idx="709">
                  <c:v>67.656599999999997</c:v>
                </c:pt>
                <c:pt idx="710">
                  <c:v>63.568600000000004</c:v>
                </c:pt>
                <c:pt idx="711">
                  <c:v>65.101600000000005</c:v>
                </c:pt>
                <c:pt idx="712">
                  <c:v>82.066800000000001</c:v>
                </c:pt>
                <c:pt idx="713">
                  <c:v>60.195999999999998</c:v>
                </c:pt>
                <c:pt idx="714">
                  <c:v>50.384799999999998</c:v>
                </c:pt>
                <c:pt idx="715">
                  <c:v>64.897199999999998</c:v>
                </c:pt>
                <c:pt idx="716">
                  <c:v>83.906400000000005</c:v>
                </c:pt>
                <c:pt idx="717">
                  <c:v>79.307400000000001</c:v>
                </c:pt>
                <c:pt idx="718">
                  <c:v>39.449399999999997</c:v>
                </c:pt>
                <c:pt idx="719">
                  <c:v>73.379800000000003</c:v>
                </c:pt>
                <c:pt idx="720">
                  <c:v>19.213799999999999</c:v>
                </c:pt>
                <c:pt idx="723">
                  <c:v>83.293199999999999</c:v>
                </c:pt>
                <c:pt idx="724">
                  <c:v>9.5047999999999995</c:v>
                </c:pt>
                <c:pt idx="725">
                  <c:v>78.183199999999999</c:v>
                </c:pt>
                <c:pt idx="726">
                  <c:v>88.096599999999995</c:v>
                </c:pt>
                <c:pt idx="727">
                  <c:v>92.899999999999991</c:v>
                </c:pt>
                <c:pt idx="728">
                  <c:v>53.348599999999998</c:v>
                </c:pt>
                <c:pt idx="729">
                  <c:v>41.697800000000001</c:v>
                </c:pt>
                <c:pt idx="730">
                  <c:v>101.1782</c:v>
                </c:pt>
                <c:pt idx="731">
                  <c:v>81.147000000000006</c:v>
                </c:pt>
                <c:pt idx="732">
                  <c:v>91.367000000000004</c:v>
                </c:pt>
                <c:pt idx="733">
                  <c:v>97.805599999999998</c:v>
                </c:pt>
                <c:pt idx="734">
                  <c:v>100.7694</c:v>
                </c:pt>
                <c:pt idx="735">
                  <c:v>6.6431999999999993</c:v>
                </c:pt>
                <c:pt idx="736">
                  <c:v>-0.71519999999999984</c:v>
                </c:pt>
                <c:pt idx="737">
                  <c:v>94.6374</c:v>
                </c:pt>
                <c:pt idx="738">
                  <c:v>92.388999999999996</c:v>
                </c:pt>
                <c:pt idx="739">
                  <c:v>92.184600000000003</c:v>
                </c:pt>
                <c:pt idx="740">
                  <c:v>88.301000000000002</c:v>
                </c:pt>
                <c:pt idx="741">
                  <c:v>89.425200000000004</c:v>
                </c:pt>
                <c:pt idx="742">
                  <c:v>92.286799999999999</c:v>
                </c:pt>
                <c:pt idx="743">
                  <c:v>93.411000000000001</c:v>
                </c:pt>
                <c:pt idx="744">
                  <c:v>100.66719999999999</c:v>
                </c:pt>
                <c:pt idx="745">
                  <c:v>98.01</c:v>
                </c:pt>
                <c:pt idx="746">
                  <c:v>93.308800000000005</c:v>
                </c:pt>
                <c:pt idx="747">
                  <c:v>95.352800000000002</c:v>
                </c:pt>
                <c:pt idx="748">
                  <c:v>92.899999999999991</c:v>
                </c:pt>
                <c:pt idx="749">
                  <c:v>97.396799999999999</c:v>
                </c:pt>
                <c:pt idx="750">
                  <c:v>96.374799999999993</c:v>
                </c:pt>
                <c:pt idx="751">
                  <c:v>94.739599999999996</c:v>
                </c:pt>
                <c:pt idx="752">
                  <c:v>92.593400000000003</c:v>
                </c:pt>
                <c:pt idx="753">
                  <c:v>101.7914</c:v>
                </c:pt>
                <c:pt idx="754">
                  <c:v>97.192399999999992</c:v>
                </c:pt>
                <c:pt idx="755">
                  <c:v>94.739599999999996</c:v>
                </c:pt>
                <c:pt idx="756">
                  <c:v>98.725399999999993</c:v>
                </c:pt>
                <c:pt idx="757">
                  <c:v>95.659400000000005</c:v>
                </c:pt>
                <c:pt idx="758">
                  <c:v>91.980199999999996</c:v>
                </c:pt>
                <c:pt idx="759">
                  <c:v>90.855999999999995</c:v>
                </c:pt>
                <c:pt idx="760">
                  <c:v>92.286799999999999</c:v>
                </c:pt>
                <c:pt idx="761">
                  <c:v>94.2286</c:v>
                </c:pt>
                <c:pt idx="762">
                  <c:v>93.819800000000001</c:v>
                </c:pt>
                <c:pt idx="763">
                  <c:v>89.5274</c:v>
                </c:pt>
                <c:pt idx="764">
                  <c:v>93.717600000000004</c:v>
                </c:pt>
                <c:pt idx="765">
                  <c:v>85.030599999999993</c:v>
                </c:pt>
                <c:pt idx="766">
                  <c:v>91.367000000000004</c:v>
                </c:pt>
                <c:pt idx="767">
                  <c:v>90.651600000000002</c:v>
                </c:pt>
                <c:pt idx="768">
                  <c:v>90.140599999999992</c:v>
                </c:pt>
                <c:pt idx="769">
                  <c:v>91.980199999999996</c:v>
                </c:pt>
                <c:pt idx="770">
                  <c:v>90.549399999999991</c:v>
                </c:pt>
                <c:pt idx="771">
                  <c:v>91.264799999999994</c:v>
                </c:pt>
                <c:pt idx="772">
                  <c:v>91.571399999999997</c:v>
                </c:pt>
                <c:pt idx="773">
                  <c:v>93.921999999999997</c:v>
                </c:pt>
                <c:pt idx="774">
                  <c:v>94.330799999999996</c:v>
                </c:pt>
                <c:pt idx="775">
                  <c:v>92.388999999999996</c:v>
                </c:pt>
                <c:pt idx="776">
                  <c:v>97.805599999999998</c:v>
                </c:pt>
                <c:pt idx="777">
                  <c:v>97.907799999999995</c:v>
                </c:pt>
                <c:pt idx="778">
                  <c:v>91.775800000000004</c:v>
                </c:pt>
                <c:pt idx="779">
                  <c:v>97.703400000000002</c:v>
                </c:pt>
                <c:pt idx="780">
                  <c:v>95.659400000000005</c:v>
                </c:pt>
                <c:pt idx="781">
                  <c:v>96.374799999999993</c:v>
                </c:pt>
                <c:pt idx="782">
                  <c:v>93.921999999999997</c:v>
                </c:pt>
                <c:pt idx="784">
                  <c:v>95.352800000000002</c:v>
                </c:pt>
                <c:pt idx="785">
                  <c:v>95.250599999999991</c:v>
                </c:pt>
                <c:pt idx="786">
                  <c:v>94.535200000000003</c:v>
                </c:pt>
                <c:pt idx="787">
                  <c:v>94.024199999999993</c:v>
                </c:pt>
                <c:pt idx="788">
                  <c:v>54.472799999999999</c:v>
                </c:pt>
                <c:pt idx="789">
                  <c:v>51.7134</c:v>
                </c:pt>
                <c:pt idx="790">
                  <c:v>55.801400000000001</c:v>
                </c:pt>
                <c:pt idx="791">
                  <c:v>52.837600000000002</c:v>
                </c:pt>
                <c:pt idx="792">
                  <c:v>53.8596</c:v>
                </c:pt>
                <c:pt idx="793">
                  <c:v>50.282600000000002</c:v>
                </c:pt>
                <c:pt idx="794">
                  <c:v>45.479199999999999</c:v>
                </c:pt>
                <c:pt idx="795">
                  <c:v>51.406799999999997</c:v>
                </c:pt>
                <c:pt idx="796">
                  <c:v>55.494799999999998</c:v>
                </c:pt>
                <c:pt idx="797">
                  <c:v>51.509</c:v>
                </c:pt>
                <c:pt idx="798">
                  <c:v>55.290399999999998</c:v>
                </c:pt>
                <c:pt idx="799">
                  <c:v>54.779399999999995</c:v>
                </c:pt>
                <c:pt idx="800">
                  <c:v>72.153400000000005</c:v>
                </c:pt>
                <c:pt idx="801">
                  <c:v>83.395399999999995</c:v>
                </c:pt>
                <c:pt idx="802">
                  <c:v>83.293199999999999</c:v>
                </c:pt>
                <c:pt idx="803">
                  <c:v>81.964600000000004</c:v>
                </c:pt>
                <c:pt idx="804">
                  <c:v>57.436599999999999</c:v>
                </c:pt>
                <c:pt idx="805">
                  <c:v>52.735399999999998</c:v>
                </c:pt>
                <c:pt idx="806">
                  <c:v>50.384799999999998</c:v>
                </c:pt>
                <c:pt idx="807">
                  <c:v>52.326599999999999</c:v>
                </c:pt>
                <c:pt idx="808">
                  <c:v>49.669399999999996</c:v>
                </c:pt>
                <c:pt idx="809">
                  <c:v>51.9178</c:v>
                </c:pt>
                <c:pt idx="810">
                  <c:v>48.851799999999997</c:v>
                </c:pt>
                <c:pt idx="811">
                  <c:v>51.509</c:v>
                </c:pt>
                <c:pt idx="812">
                  <c:v>52.326599999999999</c:v>
                </c:pt>
                <c:pt idx="813">
                  <c:v>51.406799999999997</c:v>
                </c:pt>
                <c:pt idx="814">
                  <c:v>53.450800000000001</c:v>
                </c:pt>
                <c:pt idx="815">
                  <c:v>53.450800000000001</c:v>
                </c:pt>
                <c:pt idx="816">
                  <c:v>53.8596</c:v>
                </c:pt>
                <c:pt idx="817">
                  <c:v>53.8596</c:v>
                </c:pt>
                <c:pt idx="818">
                  <c:v>53.961799999999997</c:v>
                </c:pt>
                <c:pt idx="819">
                  <c:v>51.815599999999996</c:v>
                </c:pt>
                <c:pt idx="820">
                  <c:v>53.348599999999998</c:v>
                </c:pt>
                <c:pt idx="821">
                  <c:v>50.895800000000001</c:v>
                </c:pt>
                <c:pt idx="822">
                  <c:v>50.487000000000002</c:v>
                </c:pt>
                <c:pt idx="823">
                  <c:v>48.851799999999997</c:v>
                </c:pt>
                <c:pt idx="824">
                  <c:v>48.545200000000001</c:v>
                </c:pt>
                <c:pt idx="825">
                  <c:v>53.246400000000001</c:v>
                </c:pt>
                <c:pt idx="826">
                  <c:v>51.100200000000001</c:v>
                </c:pt>
                <c:pt idx="827">
                  <c:v>53.655200000000001</c:v>
                </c:pt>
                <c:pt idx="828">
                  <c:v>52.939799999999998</c:v>
                </c:pt>
                <c:pt idx="829">
                  <c:v>55.597000000000001</c:v>
                </c:pt>
                <c:pt idx="830">
                  <c:v>76.241399999999999</c:v>
                </c:pt>
                <c:pt idx="831">
                  <c:v>76.241399999999999</c:v>
                </c:pt>
                <c:pt idx="832">
                  <c:v>76.241399999999999</c:v>
                </c:pt>
                <c:pt idx="833">
                  <c:v>76.343599999999995</c:v>
                </c:pt>
                <c:pt idx="834">
                  <c:v>76.343599999999995</c:v>
                </c:pt>
                <c:pt idx="835">
                  <c:v>76.445800000000006</c:v>
                </c:pt>
                <c:pt idx="836">
                  <c:v>76.445800000000006</c:v>
                </c:pt>
                <c:pt idx="837">
                  <c:v>76.445800000000006</c:v>
                </c:pt>
                <c:pt idx="838">
                  <c:v>76.548000000000002</c:v>
                </c:pt>
                <c:pt idx="839">
                  <c:v>76.548000000000002</c:v>
                </c:pt>
                <c:pt idx="840">
                  <c:v>76.548000000000002</c:v>
                </c:pt>
                <c:pt idx="841">
                  <c:v>94.024199999999993</c:v>
                </c:pt>
                <c:pt idx="842">
                  <c:v>90.242800000000003</c:v>
                </c:pt>
                <c:pt idx="843">
                  <c:v>95.557199999999995</c:v>
                </c:pt>
                <c:pt idx="844">
                  <c:v>89.220799999999997</c:v>
                </c:pt>
                <c:pt idx="845">
                  <c:v>90.651600000000002</c:v>
                </c:pt>
                <c:pt idx="846">
                  <c:v>97.498999999999995</c:v>
                </c:pt>
                <c:pt idx="847">
                  <c:v>94.2286</c:v>
                </c:pt>
                <c:pt idx="848">
                  <c:v>94.841799999999992</c:v>
                </c:pt>
                <c:pt idx="849">
                  <c:v>95.352800000000002</c:v>
                </c:pt>
                <c:pt idx="850">
                  <c:v>95.046199999999999</c:v>
                </c:pt>
                <c:pt idx="851">
                  <c:v>93.002200000000002</c:v>
                </c:pt>
                <c:pt idx="852">
                  <c:v>93.921999999999997</c:v>
                </c:pt>
                <c:pt idx="853">
                  <c:v>91.673599999999993</c:v>
                </c:pt>
                <c:pt idx="854">
                  <c:v>91.775800000000004</c:v>
                </c:pt>
                <c:pt idx="855">
                  <c:v>90.753799999999998</c:v>
                </c:pt>
                <c:pt idx="856">
                  <c:v>92.695599999999999</c:v>
                </c:pt>
                <c:pt idx="857">
                  <c:v>89.731799999999993</c:v>
                </c:pt>
                <c:pt idx="858">
                  <c:v>91.673599999999993</c:v>
                </c:pt>
                <c:pt idx="859">
                  <c:v>94.841799999999992</c:v>
                </c:pt>
                <c:pt idx="860">
                  <c:v>95.250599999999991</c:v>
                </c:pt>
                <c:pt idx="861">
                  <c:v>95.454999999999998</c:v>
                </c:pt>
                <c:pt idx="862">
                  <c:v>89.834000000000003</c:v>
                </c:pt>
                <c:pt idx="863">
                  <c:v>90.140599999999992</c:v>
                </c:pt>
                <c:pt idx="864">
                  <c:v>92.695599999999999</c:v>
                </c:pt>
                <c:pt idx="865">
                  <c:v>96.068200000000004</c:v>
                </c:pt>
                <c:pt idx="866">
                  <c:v>97.294600000000003</c:v>
                </c:pt>
                <c:pt idx="867">
                  <c:v>89.425200000000004</c:v>
                </c:pt>
                <c:pt idx="868">
                  <c:v>87.278999999999996</c:v>
                </c:pt>
                <c:pt idx="869">
                  <c:v>95.557199999999995</c:v>
                </c:pt>
                <c:pt idx="870">
                  <c:v>43.128599999999999</c:v>
                </c:pt>
                <c:pt idx="871">
                  <c:v>40.880200000000002</c:v>
                </c:pt>
                <c:pt idx="872">
                  <c:v>55.290399999999998</c:v>
                </c:pt>
                <c:pt idx="873">
                  <c:v>50.997999999999998</c:v>
                </c:pt>
                <c:pt idx="874">
                  <c:v>43.230800000000002</c:v>
                </c:pt>
                <c:pt idx="875">
                  <c:v>40.1648</c:v>
                </c:pt>
                <c:pt idx="876">
                  <c:v>40.1648</c:v>
                </c:pt>
                <c:pt idx="877">
                  <c:v>61.422399999999996</c:v>
                </c:pt>
                <c:pt idx="878">
                  <c:v>60.093800000000002</c:v>
                </c:pt>
                <c:pt idx="879">
                  <c:v>42.208799999999997</c:v>
                </c:pt>
                <c:pt idx="880">
                  <c:v>41.391199999999998</c:v>
                </c:pt>
                <c:pt idx="881">
                  <c:v>41.493400000000001</c:v>
                </c:pt>
                <c:pt idx="882">
                  <c:v>41.493400000000001</c:v>
                </c:pt>
                <c:pt idx="883">
                  <c:v>41.289000000000001</c:v>
                </c:pt>
                <c:pt idx="884">
                  <c:v>41.186799999999998</c:v>
                </c:pt>
                <c:pt idx="885">
                  <c:v>73.0732</c:v>
                </c:pt>
                <c:pt idx="886">
                  <c:v>73.379800000000003</c:v>
                </c:pt>
                <c:pt idx="887">
                  <c:v>71.948999999999998</c:v>
                </c:pt>
                <c:pt idx="888">
                  <c:v>71.948999999999998</c:v>
                </c:pt>
                <c:pt idx="889">
                  <c:v>71.948999999999998</c:v>
                </c:pt>
                <c:pt idx="890">
                  <c:v>71.948999999999998</c:v>
                </c:pt>
                <c:pt idx="891">
                  <c:v>71.948999999999998</c:v>
                </c:pt>
                <c:pt idx="892">
                  <c:v>48.749600000000001</c:v>
                </c:pt>
                <c:pt idx="893">
                  <c:v>53.757399999999997</c:v>
                </c:pt>
                <c:pt idx="894">
                  <c:v>54.166199999999996</c:v>
                </c:pt>
                <c:pt idx="895">
                  <c:v>52.530999999999999</c:v>
                </c:pt>
                <c:pt idx="896">
                  <c:v>61.3202</c:v>
                </c:pt>
                <c:pt idx="897">
                  <c:v>90.958200000000005</c:v>
                </c:pt>
                <c:pt idx="898">
                  <c:v>90.958200000000005</c:v>
                </c:pt>
                <c:pt idx="899">
                  <c:v>94.126400000000004</c:v>
                </c:pt>
                <c:pt idx="900">
                  <c:v>91.878</c:v>
                </c:pt>
                <c:pt idx="901">
                  <c:v>99.951799999999992</c:v>
                </c:pt>
                <c:pt idx="902">
                  <c:v>16.658799999999999</c:v>
                </c:pt>
                <c:pt idx="903">
                  <c:v>0.5112000000000001</c:v>
                </c:pt>
                <c:pt idx="904">
                  <c:v>102.4046</c:v>
                </c:pt>
                <c:pt idx="905">
                  <c:v>10.220199999999998</c:v>
                </c:pt>
                <c:pt idx="906">
                  <c:v>26.776599999999998</c:v>
                </c:pt>
                <c:pt idx="907">
                  <c:v>22.075399999999998</c:v>
                </c:pt>
                <c:pt idx="908">
                  <c:v>35.770199999999996</c:v>
                </c:pt>
                <c:pt idx="909">
                  <c:v>41.493400000000001</c:v>
                </c:pt>
                <c:pt idx="910">
                  <c:v>16.965399999999999</c:v>
                </c:pt>
                <c:pt idx="911">
                  <c:v>20.440199999999997</c:v>
                </c:pt>
                <c:pt idx="912">
                  <c:v>20.9512</c:v>
                </c:pt>
                <c:pt idx="913">
                  <c:v>40.880200000000002</c:v>
                </c:pt>
                <c:pt idx="914">
                  <c:v>34.237200000000001</c:v>
                </c:pt>
                <c:pt idx="915">
                  <c:v>45.785800000000002</c:v>
                </c:pt>
                <c:pt idx="916">
                  <c:v>43.844000000000001</c:v>
                </c:pt>
                <c:pt idx="917">
                  <c:v>43.946199999999997</c:v>
                </c:pt>
                <c:pt idx="918">
                  <c:v>43.946199999999997</c:v>
                </c:pt>
                <c:pt idx="919">
                  <c:v>43.844000000000001</c:v>
                </c:pt>
                <c:pt idx="920">
                  <c:v>43.844000000000001</c:v>
                </c:pt>
                <c:pt idx="921">
                  <c:v>43.844000000000001</c:v>
                </c:pt>
                <c:pt idx="922">
                  <c:v>43.844000000000001</c:v>
                </c:pt>
                <c:pt idx="923">
                  <c:v>43.844000000000001</c:v>
                </c:pt>
                <c:pt idx="924">
                  <c:v>43.844000000000001</c:v>
                </c:pt>
                <c:pt idx="925">
                  <c:v>43.946199999999997</c:v>
                </c:pt>
                <c:pt idx="926">
                  <c:v>43.946199999999997</c:v>
                </c:pt>
                <c:pt idx="927">
                  <c:v>43.946199999999997</c:v>
                </c:pt>
                <c:pt idx="928">
                  <c:v>43.844000000000001</c:v>
                </c:pt>
                <c:pt idx="929">
                  <c:v>43.844000000000001</c:v>
                </c:pt>
                <c:pt idx="930">
                  <c:v>43.844000000000001</c:v>
                </c:pt>
                <c:pt idx="931">
                  <c:v>43.946199999999997</c:v>
                </c:pt>
                <c:pt idx="932">
                  <c:v>43.946199999999997</c:v>
                </c:pt>
                <c:pt idx="933">
                  <c:v>43.946199999999997</c:v>
                </c:pt>
                <c:pt idx="934">
                  <c:v>43.946199999999997</c:v>
                </c:pt>
                <c:pt idx="935">
                  <c:v>43.946199999999997</c:v>
                </c:pt>
                <c:pt idx="936">
                  <c:v>43.946199999999997</c:v>
                </c:pt>
                <c:pt idx="937">
                  <c:v>57.845399999999998</c:v>
                </c:pt>
                <c:pt idx="938">
                  <c:v>52.019999999999996</c:v>
                </c:pt>
                <c:pt idx="939">
                  <c:v>67.554400000000001</c:v>
                </c:pt>
                <c:pt idx="940">
                  <c:v>55.085999999999999</c:v>
                </c:pt>
                <c:pt idx="941">
                  <c:v>56.721199999999996</c:v>
                </c:pt>
                <c:pt idx="942">
                  <c:v>54.064</c:v>
                </c:pt>
                <c:pt idx="943">
                  <c:v>54.472799999999999</c:v>
                </c:pt>
                <c:pt idx="944">
                  <c:v>53.246400000000001</c:v>
                </c:pt>
                <c:pt idx="945">
                  <c:v>56.721199999999996</c:v>
                </c:pt>
                <c:pt idx="946">
                  <c:v>53.8596</c:v>
                </c:pt>
                <c:pt idx="947">
                  <c:v>54.881599999999999</c:v>
                </c:pt>
                <c:pt idx="948">
                  <c:v>54.677199999999999</c:v>
                </c:pt>
                <c:pt idx="949">
                  <c:v>50.997999999999998</c:v>
                </c:pt>
                <c:pt idx="950">
                  <c:v>66.123599999999996</c:v>
                </c:pt>
                <c:pt idx="951">
                  <c:v>55.801400000000001</c:v>
                </c:pt>
                <c:pt idx="952">
                  <c:v>34.952599999999997</c:v>
                </c:pt>
                <c:pt idx="953">
                  <c:v>92.899999999999991</c:v>
                </c:pt>
                <c:pt idx="954">
                  <c:v>0.40900000000000025</c:v>
                </c:pt>
                <c:pt idx="955">
                  <c:v>91.673599999999993</c:v>
                </c:pt>
                <c:pt idx="956">
                  <c:v>27.594200000000001</c:v>
                </c:pt>
                <c:pt idx="957">
                  <c:v>31.477800000000002</c:v>
                </c:pt>
                <c:pt idx="958">
                  <c:v>12.468599999999999</c:v>
                </c:pt>
                <c:pt idx="959">
                  <c:v>71.642399999999995</c:v>
                </c:pt>
                <c:pt idx="960">
                  <c:v>90.855999999999995</c:v>
                </c:pt>
                <c:pt idx="961">
                  <c:v>93.513199999999998</c:v>
                </c:pt>
                <c:pt idx="962">
                  <c:v>93.411000000000001</c:v>
                </c:pt>
                <c:pt idx="963">
                  <c:v>4.3948</c:v>
                </c:pt>
                <c:pt idx="964">
                  <c:v>97.396799999999999</c:v>
                </c:pt>
                <c:pt idx="965">
                  <c:v>92.184600000000003</c:v>
                </c:pt>
                <c:pt idx="975">
                  <c:v>92.593400000000003</c:v>
                </c:pt>
                <c:pt idx="976">
                  <c:v>92.491199999999992</c:v>
                </c:pt>
                <c:pt idx="977">
                  <c:v>92.491199999999992</c:v>
                </c:pt>
                <c:pt idx="978">
                  <c:v>92.491199999999992</c:v>
                </c:pt>
                <c:pt idx="979">
                  <c:v>92.491199999999992</c:v>
                </c:pt>
                <c:pt idx="980">
                  <c:v>92.491199999999992</c:v>
                </c:pt>
                <c:pt idx="981">
                  <c:v>92.593400000000003</c:v>
                </c:pt>
                <c:pt idx="982">
                  <c:v>92.593400000000003</c:v>
                </c:pt>
                <c:pt idx="983">
                  <c:v>92.491199999999992</c:v>
                </c:pt>
                <c:pt idx="984">
                  <c:v>92.593400000000003</c:v>
                </c:pt>
                <c:pt idx="985">
                  <c:v>92.491199999999992</c:v>
                </c:pt>
                <c:pt idx="986">
                  <c:v>92.491199999999992</c:v>
                </c:pt>
                <c:pt idx="987">
                  <c:v>92.593400000000003</c:v>
                </c:pt>
                <c:pt idx="988">
                  <c:v>92.491199999999992</c:v>
                </c:pt>
                <c:pt idx="989">
                  <c:v>92.491199999999992</c:v>
                </c:pt>
                <c:pt idx="990">
                  <c:v>92.491199999999992</c:v>
                </c:pt>
                <c:pt idx="991">
                  <c:v>92.593400000000003</c:v>
                </c:pt>
                <c:pt idx="992">
                  <c:v>92.491199999999992</c:v>
                </c:pt>
                <c:pt idx="993">
                  <c:v>89.5274</c:v>
                </c:pt>
                <c:pt idx="994">
                  <c:v>2.0442</c:v>
                </c:pt>
                <c:pt idx="995">
                  <c:v>1.2265999999999999</c:v>
                </c:pt>
                <c:pt idx="996">
                  <c:v>12.468599999999999</c:v>
                </c:pt>
                <c:pt idx="997">
                  <c:v>26.878799999999998</c:v>
                </c:pt>
                <c:pt idx="998">
                  <c:v>49.464999999999996</c:v>
                </c:pt>
                <c:pt idx="999">
                  <c:v>41.8</c:v>
                </c:pt>
                <c:pt idx="1000">
                  <c:v>46.399000000000001</c:v>
                </c:pt>
                <c:pt idx="1001">
                  <c:v>50.282600000000002</c:v>
                </c:pt>
                <c:pt idx="1002">
                  <c:v>15.023599999999998</c:v>
                </c:pt>
                <c:pt idx="1003">
                  <c:v>45.990200000000002</c:v>
                </c:pt>
                <c:pt idx="1004">
                  <c:v>54.2684</c:v>
                </c:pt>
                <c:pt idx="1005">
                  <c:v>56.005800000000001</c:v>
                </c:pt>
                <c:pt idx="1006">
                  <c:v>42.5154</c:v>
                </c:pt>
                <c:pt idx="1007">
                  <c:v>25.8568</c:v>
                </c:pt>
                <c:pt idx="1008">
                  <c:v>43.741799999999998</c:v>
                </c:pt>
                <c:pt idx="1009">
                  <c:v>44.866</c:v>
                </c:pt>
                <c:pt idx="1010">
                  <c:v>45.479199999999999</c:v>
                </c:pt>
                <c:pt idx="1011">
                  <c:v>49.873799999999996</c:v>
                </c:pt>
                <c:pt idx="1012">
                  <c:v>49.873799999999996</c:v>
                </c:pt>
                <c:pt idx="1013">
                  <c:v>49.975999999999999</c:v>
                </c:pt>
                <c:pt idx="1014">
                  <c:v>49.975999999999999</c:v>
                </c:pt>
                <c:pt idx="1015">
                  <c:v>49.975999999999999</c:v>
                </c:pt>
                <c:pt idx="1016">
                  <c:v>49.975999999999999</c:v>
                </c:pt>
                <c:pt idx="1017">
                  <c:v>49.975999999999999</c:v>
                </c:pt>
                <c:pt idx="1018">
                  <c:v>49.975999999999999</c:v>
                </c:pt>
                <c:pt idx="1019">
                  <c:v>50.078199999999995</c:v>
                </c:pt>
                <c:pt idx="1020">
                  <c:v>50.078199999999995</c:v>
                </c:pt>
                <c:pt idx="1021">
                  <c:v>49.975999999999999</c:v>
                </c:pt>
                <c:pt idx="1022">
                  <c:v>85.643799999999999</c:v>
                </c:pt>
                <c:pt idx="1023">
                  <c:v>98.112200000000001</c:v>
                </c:pt>
                <c:pt idx="1024">
                  <c:v>92.184600000000003</c:v>
                </c:pt>
                <c:pt idx="1025">
                  <c:v>91.469200000000001</c:v>
                </c:pt>
                <c:pt idx="1026">
                  <c:v>91.060400000000001</c:v>
                </c:pt>
                <c:pt idx="1027">
                  <c:v>91.469200000000001</c:v>
                </c:pt>
                <c:pt idx="1028">
                  <c:v>92.184600000000003</c:v>
                </c:pt>
                <c:pt idx="1029">
                  <c:v>91.469200000000001</c:v>
                </c:pt>
                <c:pt idx="1030">
                  <c:v>84.724000000000004</c:v>
                </c:pt>
                <c:pt idx="1031">
                  <c:v>85.541600000000003</c:v>
                </c:pt>
                <c:pt idx="1032">
                  <c:v>87.585599999999999</c:v>
                </c:pt>
                <c:pt idx="1033">
                  <c:v>79.920599999999993</c:v>
                </c:pt>
                <c:pt idx="1034">
                  <c:v>61.728999999999999</c:v>
                </c:pt>
                <c:pt idx="1035">
                  <c:v>61.422399999999996</c:v>
                </c:pt>
                <c:pt idx="1036">
                  <c:v>44.559399999999997</c:v>
                </c:pt>
                <c:pt idx="1037">
                  <c:v>34.441600000000001</c:v>
                </c:pt>
                <c:pt idx="1038">
                  <c:v>57.947600000000001</c:v>
                </c:pt>
                <c:pt idx="1039">
                  <c:v>50.589199999999998</c:v>
                </c:pt>
                <c:pt idx="1040">
                  <c:v>20.7468</c:v>
                </c:pt>
                <c:pt idx="1041">
                  <c:v>48.442999999999998</c:v>
                </c:pt>
                <c:pt idx="1042">
                  <c:v>34.237200000000001</c:v>
                </c:pt>
                <c:pt idx="1043">
                  <c:v>49.771599999999999</c:v>
                </c:pt>
                <c:pt idx="1044">
                  <c:v>53.042000000000002</c:v>
                </c:pt>
                <c:pt idx="1045">
                  <c:v>28.1052</c:v>
                </c:pt>
                <c:pt idx="1046">
                  <c:v>57.947600000000001</c:v>
                </c:pt>
                <c:pt idx="1047">
                  <c:v>53.246400000000001</c:v>
                </c:pt>
                <c:pt idx="1048">
                  <c:v>12.877400000000002</c:v>
                </c:pt>
                <c:pt idx="1049">
                  <c:v>60.707000000000001</c:v>
                </c:pt>
                <c:pt idx="1050">
                  <c:v>55.801400000000001</c:v>
                </c:pt>
                <c:pt idx="1051">
                  <c:v>93.104399999999998</c:v>
                </c:pt>
                <c:pt idx="1052">
                  <c:v>23.6084</c:v>
                </c:pt>
                <c:pt idx="1053">
                  <c:v>50.589199999999998</c:v>
                </c:pt>
                <c:pt idx="1054">
                  <c:v>48.340800000000002</c:v>
                </c:pt>
                <c:pt idx="1055">
                  <c:v>19.213799999999999</c:v>
                </c:pt>
                <c:pt idx="1056">
                  <c:v>72.153400000000005</c:v>
                </c:pt>
                <c:pt idx="1057">
                  <c:v>98.112200000000001</c:v>
                </c:pt>
                <c:pt idx="1058">
                  <c:v>84.519599999999997</c:v>
                </c:pt>
                <c:pt idx="1059">
                  <c:v>79.614000000000004</c:v>
                </c:pt>
                <c:pt idx="1060">
                  <c:v>90.855999999999995</c:v>
                </c:pt>
                <c:pt idx="1061">
                  <c:v>92.593400000000003</c:v>
                </c:pt>
                <c:pt idx="1062">
                  <c:v>90.038399999999996</c:v>
                </c:pt>
                <c:pt idx="1063">
                  <c:v>89.731799999999993</c:v>
                </c:pt>
                <c:pt idx="1064">
                  <c:v>88.198799999999991</c:v>
                </c:pt>
                <c:pt idx="1065">
                  <c:v>89.425200000000004</c:v>
                </c:pt>
                <c:pt idx="1066">
                  <c:v>50.997999999999998</c:v>
                </c:pt>
                <c:pt idx="1067">
                  <c:v>40.471399999999996</c:v>
                </c:pt>
                <c:pt idx="1068">
                  <c:v>45.274799999999999</c:v>
                </c:pt>
                <c:pt idx="1069">
                  <c:v>63.875199999999992</c:v>
                </c:pt>
                <c:pt idx="1070">
                  <c:v>45.990200000000002</c:v>
                </c:pt>
                <c:pt idx="1071">
                  <c:v>57.436599999999999</c:v>
                </c:pt>
                <c:pt idx="1072">
                  <c:v>41.391199999999998</c:v>
                </c:pt>
                <c:pt idx="1073">
                  <c:v>43.741799999999998</c:v>
                </c:pt>
                <c:pt idx="1074">
                  <c:v>35.4636</c:v>
                </c:pt>
                <c:pt idx="1075">
                  <c:v>56.2102</c:v>
                </c:pt>
                <c:pt idx="1076">
                  <c:v>26.878799999999998</c:v>
                </c:pt>
                <c:pt idx="1077">
                  <c:v>54.064</c:v>
                </c:pt>
                <c:pt idx="1078">
                  <c:v>53.348599999999998</c:v>
                </c:pt>
                <c:pt idx="1079">
                  <c:v>57.538800000000002</c:v>
                </c:pt>
                <c:pt idx="1080">
                  <c:v>65.408199999999994</c:v>
                </c:pt>
                <c:pt idx="1081">
                  <c:v>18.089600000000001</c:v>
                </c:pt>
                <c:pt idx="1082">
                  <c:v>55.392600000000002</c:v>
                </c:pt>
                <c:pt idx="1083">
                  <c:v>55.188200000000002</c:v>
                </c:pt>
                <c:pt idx="1084">
                  <c:v>15.739000000000001</c:v>
                </c:pt>
                <c:pt idx="1085">
                  <c:v>50.691400000000002</c:v>
                </c:pt>
                <c:pt idx="1086">
                  <c:v>8.482800000000001</c:v>
                </c:pt>
                <c:pt idx="1087">
                  <c:v>52.939799999999998</c:v>
                </c:pt>
                <c:pt idx="1088">
                  <c:v>10.220199999999998</c:v>
                </c:pt>
                <c:pt idx="1089">
                  <c:v>101.587</c:v>
                </c:pt>
                <c:pt idx="1090">
                  <c:v>49.975999999999999</c:v>
                </c:pt>
                <c:pt idx="1091">
                  <c:v>74.606200000000001</c:v>
                </c:pt>
                <c:pt idx="1092">
                  <c:v>8.3806000000000012</c:v>
                </c:pt>
                <c:pt idx="1093">
                  <c:v>57.743200000000002</c:v>
                </c:pt>
                <c:pt idx="1094">
                  <c:v>73.175399999999996</c:v>
                </c:pt>
                <c:pt idx="1095">
                  <c:v>53.144199999999998</c:v>
                </c:pt>
                <c:pt idx="1096">
                  <c:v>54.677199999999999</c:v>
                </c:pt>
                <c:pt idx="1097">
                  <c:v>55.290399999999998</c:v>
                </c:pt>
                <c:pt idx="1098">
                  <c:v>55.699199999999998</c:v>
                </c:pt>
                <c:pt idx="1099">
                  <c:v>52.326599999999999</c:v>
                </c:pt>
                <c:pt idx="1100">
                  <c:v>57.027799999999999</c:v>
                </c:pt>
                <c:pt idx="1101">
                  <c:v>58.152000000000001</c:v>
                </c:pt>
                <c:pt idx="1102">
                  <c:v>60.809199999999997</c:v>
                </c:pt>
                <c:pt idx="1103">
                  <c:v>55.188200000000002</c:v>
                </c:pt>
                <c:pt idx="1104">
                  <c:v>86.768000000000001</c:v>
                </c:pt>
                <c:pt idx="1105">
                  <c:v>46.194600000000001</c:v>
                </c:pt>
                <c:pt idx="1106">
                  <c:v>92.388999999999996</c:v>
                </c:pt>
                <c:pt idx="1107">
                  <c:v>-1.2262</c:v>
                </c:pt>
                <c:pt idx="1108">
                  <c:v>6.9498000000000006</c:v>
                </c:pt>
                <c:pt idx="1109">
                  <c:v>6.8476000000000008</c:v>
                </c:pt>
                <c:pt idx="1110">
                  <c:v>80.125</c:v>
                </c:pt>
                <c:pt idx="1111">
                  <c:v>100.4628</c:v>
                </c:pt>
                <c:pt idx="1112">
                  <c:v>73.584199999999996</c:v>
                </c:pt>
                <c:pt idx="1113">
                  <c:v>82.373400000000004</c:v>
                </c:pt>
                <c:pt idx="1114">
                  <c:v>93.104399999999998</c:v>
                </c:pt>
                <c:pt idx="1115">
                  <c:v>80.942599999999999</c:v>
                </c:pt>
                <c:pt idx="1116">
                  <c:v>95.454999999999998</c:v>
                </c:pt>
                <c:pt idx="1117">
                  <c:v>76.650199999999998</c:v>
                </c:pt>
                <c:pt idx="1118">
                  <c:v>77.058999999999997</c:v>
                </c:pt>
                <c:pt idx="1119">
                  <c:v>78.183199999999999</c:v>
                </c:pt>
                <c:pt idx="1120">
                  <c:v>93.104399999999998</c:v>
                </c:pt>
                <c:pt idx="1121">
                  <c:v>87.278999999999996</c:v>
                </c:pt>
                <c:pt idx="1122">
                  <c:v>63.262</c:v>
                </c:pt>
                <c:pt idx="1123">
                  <c:v>92.899999999999991</c:v>
                </c:pt>
                <c:pt idx="1124">
                  <c:v>68.985199999999992</c:v>
                </c:pt>
                <c:pt idx="1125">
                  <c:v>76.854600000000005</c:v>
                </c:pt>
                <c:pt idx="1126">
                  <c:v>68.576399999999992</c:v>
                </c:pt>
                <c:pt idx="1127">
                  <c:v>80.125</c:v>
                </c:pt>
                <c:pt idx="1128">
                  <c:v>79.511799999999994</c:v>
                </c:pt>
                <c:pt idx="1129">
                  <c:v>7.1542000000000003</c:v>
                </c:pt>
                <c:pt idx="1130">
                  <c:v>72.459999999999994</c:v>
                </c:pt>
                <c:pt idx="1131">
                  <c:v>91.264799999999994</c:v>
                </c:pt>
                <c:pt idx="1132">
                  <c:v>65.919200000000004</c:v>
                </c:pt>
                <c:pt idx="1133">
                  <c:v>87.687799999999996</c:v>
                </c:pt>
                <c:pt idx="1134">
                  <c:v>34.237200000000001</c:v>
                </c:pt>
                <c:pt idx="1135">
                  <c:v>91.060400000000001</c:v>
                </c:pt>
                <c:pt idx="1136">
                  <c:v>87.585599999999999</c:v>
                </c:pt>
                <c:pt idx="1137">
                  <c:v>65.305999999999997</c:v>
                </c:pt>
                <c:pt idx="1138">
                  <c:v>99.645200000000003</c:v>
                </c:pt>
                <c:pt idx="1139">
                  <c:v>22.279799999999998</c:v>
                </c:pt>
                <c:pt idx="1140">
                  <c:v>31.784399999999998</c:v>
                </c:pt>
                <c:pt idx="1141">
                  <c:v>10.424600000000002</c:v>
                </c:pt>
                <c:pt idx="1142">
                  <c:v>99.031999999999996</c:v>
                </c:pt>
                <c:pt idx="1143">
                  <c:v>49.669399999999996</c:v>
                </c:pt>
                <c:pt idx="1144">
                  <c:v>37.8142</c:v>
                </c:pt>
                <c:pt idx="1145">
                  <c:v>2.2485999999999997</c:v>
                </c:pt>
                <c:pt idx="1146">
                  <c:v>8.3806000000000012</c:v>
                </c:pt>
                <c:pt idx="1147">
                  <c:v>38.325200000000002</c:v>
                </c:pt>
                <c:pt idx="1148">
                  <c:v>43.844000000000001</c:v>
                </c:pt>
                <c:pt idx="1149">
                  <c:v>1.431</c:v>
                </c:pt>
                <c:pt idx="1150">
                  <c:v>93.513199999999998</c:v>
                </c:pt>
                <c:pt idx="1151">
                  <c:v>61.013599999999997</c:v>
                </c:pt>
                <c:pt idx="1152">
                  <c:v>55.597000000000001</c:v>
                </c:pt>
                <c:pt idx="1153">
                  <c:v>48.238599999999998</c:v>
                </c:pt>
                <c:pt idx="1154">
                  <c:v>6.03</c:v>
                </c:pt>
                <c:pt idx="1155">
                  <c:v>17.476399999999998</c:v>
                </c:pt>
                <c:pt idx="1156">
                  <c:v>16.0456</c:v>
                </c:pt>
                <c:pt idx="1157">
                  <c:v>39.858199999999997</c:v>
                </c:pt>
                <c:pt idx="1158">
                  <c:v>10.424600000000002</c:v>
                </c:pt>
                <c:pt idx="1159">
                  <c:v>5.5190000000000001</c:v>
                </c:pt>
                <c:pt idx="1160">
                  <c:v>3.8837999999999999</c:v>
                </c:pt>
                <c:pt idx="1161">
                  <c:v>92.286799999999999</c:v>
                </c:pt>
                <c:pt idx="1162">
                  <c:v>89.220799999999997</c:v>
                </c:pt>
                <c:pt idx="1163">
                  <c:v>94.535200000000003</c:v>
                </c:pt>
                <c:pt idx="1164">
                  <c:v>91.162599999999998</c:v>
                </c:pt>
                <c:pt idx="1165">
                  <c:v>91.775800000000004</c:v>
                </c:pt>
                <c:pt idx="1166">
                  <c:v>91.673599999999993</c:v>
                </c:pt>
                <c:pt idx="1167">
                  <c:v>99.951799999999992</c:v>
                </c:pt>
                <c:pt idx="1168">
                  <c:v>89.834000000000003</c:v>
                </c:pt>
                <c:pt idx="1169">
                  <c:v>96.477000000000004</c:v>
                </c:pt>
                <c:pt idx="1170">
                  <c:v>96.885800000000003</c:v>
                </c:pt>
                <c:pt idx="1171">
                  <c:v>93.921999999999997</c:v>
                </c:pt>
                <c:pt idx="1172">
                  <c:v>91.162599999999998</c:v>
                </c:pt>
                <c:pt idx="1173">
                  <c:v>93.717600000000004</c:v>
                </c:pt>
                <c:pt idx="1174">
                  <c:v>94.535200000000003</c:v>
                </c:pt>
                <c:pt idx="1175">
                  <c:v>98.521000000000001</c:v>
                </c:pt>
                <c:pt idx="1176">
                  <c:v>78.694199999999995</c:v>
                </c:pt>
                <c:pt idx="1177">
                  <c:v>49.669399999999996</c:v>
                </c:pt>
                <c:pt idx="1178">
                  <c:v>50.589199999999998</c:v>
                </c:pt>
                <c:pt idx="1179">
                  <c:v>34.237200000000001</c:v>
                </c:pt>
                <c:pt idx="1180">
                  <c:v>84.621799999999993</c:v>
                </c:pt>
                <c:pt idx="1181">
                  <c:v>24.732599999999998</c:v>
                </c:pt>
                <c:pt idx="1182">
                  <c:v>89.5274</c:v>
                </c:pt>
                <c:pt idx="1183">
                  <c:v>27.389799999999997</c:v>
                </c:pt>
                <c:pt idx="1184">
                  <c:v>83.906400000000005</c:v>
                </c:pt>
                <c:pt idx="1185">
                  <c:v>52.735399999999998</c:v>
                </c:pt>
                <c:pt idx="1186">
                  <c:v>85.643799999999999</c:v>
                </c:pt>
                <c:pt idx="1187">
                  <c:v>43.230800000000002</c:v>
                </c:pt>
                <c:pt idx="1188">
                  <c:v>10.322399999999998</c:v>
                </c:pt>
                <c:pt idx="1189">
                  <c:v>12.366399999999999</c:v>
                </c:pt>
                <c:pt idx="1190">
                  <c:v>51.611199999999997</c:v>
                </c:pt>
                <c:pt idx="1191">
                  <c:v>21.666599999999999</c:v>
                </c:pt>
                <c:pt idx="1192">
                  <c:v>45.683599999999998</c:v>
                </c:pt>
                <c:pt idx="1193">
                  <c:v>39.347200000000001</c:v>
                </c:pt>
                <c:pt idx="1194">
                  <c:v>41.902200000000001</c:v>
                </c:pt>
                <c:pt idx="1195">
                  <c:v>45.785800000000002</c:v>
                </c:pt>
                <c:pt idx="1196">
                  <c:v>26.980999999999998</c:v>
                </c:pt>
                <c:pt idx="1197">
                  <c:v>39.756</c:v>
                </c:pt>
                <c:pt idx="1198">
                  <c:v>19.009399999999999</c:v>
                </c:pt>
                <c:pt idx="1199">
                  <c:v>55.597000000000001</c:v>
                </c:pt>
                <c:pt idx="1200">
                  <c:v>32.7042</c:v>
                </c:pt>
                <c:pt idx="1201">
                  <c:v>20.9512</c:v>
                </c:pt>
                <c:pt idx="1202">
                  <c:v>30.1492</c:v>
                </c:pt>
                <c:pt idx="1203">
                  <c:v>30.1492</c:v>
                </c:pt>
                <c:pt idx="1204">
                  <c:v>30.7624</c:v>
                </c:pt>
                <c:pt idx="1205">
                  <c:v>40.573599999999999</c:v>
                </c:pt>
                <c:pt idx="1206">
                  <c:v>31.171199999999999</c:v>
                </c:pt>
                <c:pt idx="1207">
                  <c:v>43.332999999999998</c:v>
                </c:pt>
                <c:pt idx="1208">
                  <c:v>34.646000000000001</c:v>
                </c:pt>
                <c:pt idx="1209">
                  <c:v>47.727599999999995</c:v>
                </c:pt>
                <c:pt idx="1210">
                  <c:v>32.7042</c:v>
                </c:pt>
                <c:pt idx="1211">
                  <c:v>31.477800000000002</c:v>
                </c:pt>
                <c:pt idx="1212">
                  <c:v>68.065399999999997</c:v>
                </c:pt>
                <c:pt idx="1213">
                  <c:v>72.459999999999994</c:v>
                </c:pt>
                <c:pt idx="1214">
                  <c:v>80.942599999999999</c:v>
                </c:pt>
                <c:pt idx="1215">
                  <c:v>65.305999999999997</c:v>
                </c:pt>
                <c:pt idx="1216">
                  <c:v>65.816999999999993</c:v>
                </c:pt>
                <c:pt idx="1217">
                  <c:v>82.884399999999999</c:v>
                </c:pt>
                <c:pt idx="1218">
                  <c:v>65.510400000000004</c:v>
                </c:pt>
                <c:pt idx="1219">
                  <c:v>14.410399999999999</c:v>
                </c:pt>
                <c:pt idx="1220">
                  <c:v>71.335799999999992</c:v>
                </c:pt>
                <c:pt idx="1221">
                  <c:v>42.208799999999997</c:v>
                </c:pt>
                <c:pt idx="1222">
                  <c:v>35.156999999999996</c:v>
                </c:pt>
                <c:pt idx="1223">
                  <c:v>36.894399999999997</c:v>
                </c:pt>
                <c:pt idx="1224">
                  <c:v>18.7028</c:v>
                </c:pt>
                <c:pt idx="1225">
                  <c:v>27.083199999999998</c:v>
                </c:pt>
                <c:pt idx="1226">
                  <c:v>77.263400000000004</c:v>
                </c:pt>
                <c:pt idx="1227">
                  <c:v>9.1981999999999999</c:v>
                </c:pt>
                <c:pt idx="1228">
                  <c:v>84.519599999999997</c:v>
                </c:pt>
                <c:pt idx="1229">
                  <c:v>21.870999999999999</c:v>
                </c:pt>
                <c:pt idx="1230">
                  <c:v>71.131399999999999</c:v>
                </c:pt>
                <c:pt idx="1231">
                  <c:v>74.912800000000004</c:v>
                </c:pt>
                <c:pt idx="1232">
                  <c:v>27.185399999999998</c:v>
                </c:pt>
                <c:pt idx="1233">
                  <c:v>74.401799999999994</c:v>
                </c:pt>
                <c:pt idx="1234">
                  <c:v>33.215199999999996</c:v>
                </c:pt>
                <c:pt idx="1235">
                  <c:v>77.876599999999996</c:v>
                </c:pt>
                <c:pt idx="1236">
                  <c:v>88.709800000000001</c:v>
                </c:pt>
                <c:pt idx="1237">
                  <c:v>98.521000000000001</c:v>
                </c:pt>
                <c:pt idx="1238">
                  <c:v>83.804199999999994</c:v>
                </c:pt>
                <c:pt idx="1239">
                  <c:v>97.498999999999995</c:v>
                </c:pt>
                <c:pt idx="1240">
                  <c:v>82.4756</c:v>
                </c:pt>
                <c:pt idx="1241">
                  <c:v>90.447199999999995</c:v>
                </c:pt>
                <c:pt idx="1242">
                  <c:v>13.5928</c:v>
                </c:pt>
                <c:pt idx="1243">
                  <c:v>90.344999999999999</c:v>
                </c:pt>
                <c:pt idx="1244">
                  <c:v>11.957599999999999</c:v>
                </c:pt>
                <c:pt idx="1245">
                  <c:v>78.694199999999995</c:v>
                </c:pt>
                <c:pt idx="1246">
                  <c:v>17.782999999999998</c:v>
                </c:pt>
                <c:pt idx="1247">
                  <c:v>83.906400000000005</c:v>
                </c:pt>
                <c:pt idx="1248">
                  <c:v>96.272599999999997</c:v>
                </c:pt>
                <c:pt idx="1249">
                  <c:v>84.110799999999998</c:v>
                </c:pt>
                <c:pt idx="1250">
                  <c:v>88.403199999999998</c:v>
                </c:pt>
                <c:pt idx="1251">
                  <c:v>26.776599999999998</c:v>
                </c:pt>
                <c:pt idx="1252">
                  <c:v>87.892200000000003</c:v>
                </c:pt>
                <c:pt idx="1253">
                  <c:v>28.718399999999999</c:v>
                </c:pt>
                <c:pt idx="1254">
                  <c:v>87.278999999999996</c:v>
                </c:pt>
                <c:pt idx="1255">
                  <c:v>90.447199999999995</c:v>
                </c:pt>
                <c:pt idx="1256">
                  <c:v>50.895800000000001</c:v>
                </c:pt>
                <c:pt idx="1257">
                  <c:v>87.687799999999996</c:v>
                </c:pt>
                <c:pt idx="1258">
                  <c:v>95.148399999999995</c:v>
                </c:pt>
                <c:pt idx="1259">
                  <c:v>47.523199999999996</c:v>
                </c:pt>
                <c:pt idx="1260">
                  <c:v>22.075399999999998</c:v>
                </c:pt>
                <c:pt idx="1261">
                  <c:v>90.753799999999998</c:v>
                </c:pt>
                <c:pt idx="1262">
                  <c:v>48.238599999999998</c:v>
                </c:pt>
                <c:pt idx="1263">
                  <c:v>50.282600000000002</c:v>
                </c:pt>
                <c:pt idx="1264">
                  <c:v>93.921999999999997</c:v>
                </c:pt>
                <c:pt idx="1265">
                  <c:v>93.819800000000001</c:v>
                </c:pt>
                <c:pt idx="1266">
                  <c:v>48.136400000000002</c:v>
                </c:pt>
                <c:pt idx="1267">
                  <c:v>50.384799999999998</c:v>
                </c:pt>
                <c:pt idx="1268">
                  <c:v>87.278999999999996</c:v>
                </c:pt>
                <c:pt idx="1269">
                  <c:v>29.740399999999998</c:v>
                </c:pt>
                <c:pt idx="1270">
                  <c:v>49.669399999999996</c:v>
                </c:pt>
                <c:pt idx="1271">
                  <c:v>33.726199999999999</c:v>
                </c:pt>
                <c:pt idx="1272">
                  <c:v>46.603400000000001</c:v>
                </c:pt>
                <c:pt idx="1273">
                  <c:v>41.902200000000001</c:v>
                </c:pt>
                <c:pt idx="1274">
                  <c:v>53.655200000000001</c:v>
                </c:pt>
                <c:pt idx="1275">
                  <c:v>65.203800000000001</c:v>
                </c:pt>
                <c:pt idx="1276">
                  <c:v>52.224399999999996</c:v>
                </c:pt>
                <c:pt idx="1277">
                  <c:v>44.252800000000001</c:v>
                </c:pt>
                <c:pt idx="1278">
                  <c:v>40.062599999999996</c:v>
                </c:pt>
                <c:pt idx="1279">
                  <c:v>40.777999999999999</c:v>
                </c:pt>
                <c:pt idx="1280">
                  <c:v>76.139200000000002</c:v>
                </c:pt>
                <c:pt idx="1281">
                  <c:v>61.013599999999997</c:v>
                </c:pt>
                <c:pt idx="1282">
                  <c:v>63.772999999999996</c:v>
                </c:pt>
                <c:pt idx="1283">
                  <c:v>59.889400000000002</c:v>
                </c:pt>
                <c:pt idx="1284">
                  <c:v>62.751000000000005</c:v>
                </c:pt>
                <c:pt idx="1285">
                  <c:v>70.518199999999993</c:v>
                </c:pt>
                <c:pt idx="1286">
                  <c:v>63.568600000000004</c:v>
                </c:pt>
                <c:pt idx="1287">
                  <c:v>70.824799999999996</c:v>
                </c:pt>
                <c:pt idx="1288">
                  <c:v>63.875199999999992</c:v>
                </c:pt>
                <c:pt idx="1289">
                  <c:v>72.357799999999997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B3-4436-9C60-3DCB821D4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254680"/>
        <c:axId val="1"/>
      </c:scatterChart>
      <c:valAx>
        <c:axId val="701254680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125468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52282157676357"/>
          <c:y val="0.52114597544338337"/>
          <c:w val="8.2157676348547717E-2"/>
          <c:h val="3.274215552523874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493775933609957E-2"/>
          <c:y val="3.1377899045020467E-2"/>
          <c:w val="0.84813278008298765"/>
          <c:h val="0.9372442019099590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AADATA!$H:$H</c:f>
              <c:numCache>
                <c:formatCode>General</c:formatCode>
                <c:ptCount val="65536"/>
                <c:pt idx="2" formatCode="m/d/yyyy\ h:mm">
                  <c:v>36828.708333333336</c:v>
                </c:pt>
                <c:pt idx="3" formatCode="m/d/yyyy\ h:mm">
                  <c:v>36828.729166666672</c:v>
                </c:pt>
                <c:pt idx="4" formatCode="m/d/yyyy\ h:mm">
                  <c:v>36828.750000000007</c:v>
                </c:pt>
                <c:pt idx="5" formatCode="m/d/yyyy\ h:mm">
                  <c:v>36828.770833333343</c:v>
                </c:pt>
                <c:pt idx="6" formatCode="m/d/yyyy\ h:mm">
                  <c:v>36828.791666666679</c:v>
                </c:pt>
                <c:pt idx="7" formatCode="m/d/yyyy\ h:mm">
                  <c:v>36828.812500000015</c:v>
                </c:pt>
                <c:pt idx="8" formatCode="m/d/yyyy\ h:mm">
                  <c:v>36828.83333333335</c:v>
                </c:pt>
                <c:pt idx="9" formatCode="m/d/yyyy\ h:mm">
                  <c:v>36828.854166666686</c:v>
                </c:pt>
                <c:pt idx="10" formatCode="m/d/yyyy\ h:mm">
                  <c:v>36828.875000000022</c:v>
                </c:pt>
                <c:pt idx="11" formatCode="m/d/yyyy\ h:mm">
                  <c:v>36828.895833333358</c:v>
                </c:pt>
                <c:pt idx="12" formatCode="m/d/yyyy\ h:mm">
                  <c:v>36828.916666666693</c:v>
                </c:pt>
                <c:pt idx="13" formatCode="m/d/yyyy\ h:mm">
                  <c:v>36828.937500000029</c:v>
                </c:pt>
                <c:pt idx="14" formatCode="m/d/yyyy\ h:mm">
                  <c:v>36828.958333333365</c:v>
                </c:pt>
                <c:pt idx="15" formatCode="m/d/yyyy\ h:mm">
                  <c:v>36828.979166666701</c:v>
                </c:pt>
                <c:pt idx="16" formatCode="m/d/yyyy\ h:mm">
                  <c:v>36829.000000000036</c:v>
                </c:pt>
                <c:pt idx="17" formatCode="m/d/yyyy\ h:mm">
                  <c:v>36829.020833333372</c:v>
                </c:pt>
                <c:pt idx="18" formatCode="m/d/yyyy\ h:mm">
                  <c:v>36829.041666666708</c:v>
                </c:pt>
                <c:pt idx="19" formatCode="m/d/yyyy\ h:mm">
                  <c:v>36829.062500000044</c:v>
                </c:pt>
                <c:pt idx="20" formatCode="m/d/yyyy\ h:mm">
                  <c:v>36829.083333333379</c:v>
                </c:pt>
                <c:pt idx="21" formatCode="m/d/yyyy\ h:mm">
                  <c:v>36829.104166666715</c:v>
                </c:pt>
                <c:pt idx="22" formatCode="m/d/yyyy\ h:mm">
                  <c:v>36829.125000000051</c:v>
                </c:pt>
                <c:pt idx="23" formatCode="m/d/yyyy\ h:mm">
                  <c:v>36829.145833333387</c:v>
                </c:pt>
                <c:pt idx="24" formatCode="m/d/yyyy\ h:mm">
                  <c:v>36829.166666666722</c:v>
                </c:pt>
                <c:pt idx="25" formatCode="m/d/yyyy\ h:mm">
                  <c:v>36829.187500000058</c:v>
                </c:pt>
                <c:pt idx="26" formatCode="m/d/yyyy\ h:mm">
                  <c:v>36829.208333333394</c:v>
                </c:pt>
                <c:pt idx="27" formatCode="m/d/yyyy\ h:mm">
                  <c:v>36829.22916666673</c:v>
                </c:pt>
                <c:pt idx="28" formatCode="m/d/yyyy\ h:mm">
                  <c:v>36829.250000000065</c:v>
                </c:pt>
                <c:pt idx="29" formatCode="m/d/yyyy\ h:mm">
                  <c:v>36829.270833333401</c:v>
                </c:pt>
                <c:pt idx="30" formatCode="m/d/yyyy\ h:mm">
                  <c:v>36829.291666666737</c:v>
                </c:pt>
                <c:pt idx="31" formatCode="m/d/yyyy\ h:mm">
                  <c:v>36829.312500000073</c:v>
                </c:pt>
                <c:pt idx="32" formatCode="m/d/yyyy\ h:mm">
                  <c:v>36829.333333333409</c:v>
                </c:pt>
                <c:pt idx="33" formatCode="m/d/yyyy\ h:mm">
                  <c:v>36829.354166666744</c:v>
                </c:pt>
                <c:pt idx="34" formatCode="m/d/yyyy\ h:mm">
                  <c:v>36829.37500000008</c:v>
                </c:pt>
                <c:pt idx="35" formatCode="m/d/yyyy\ h:mm">
                  <c:v>36829.395833333416</c:v>
                </c:pt>
                <c:pt idx="36" formatCode="m/d/yyyy\ h:mm">
                  <c:v>36829.416666666752</c:v>
                </c:pt>
                <c:pt idx="37" formatCode="m/d/yyyy\ h:mm">
                  <c:v>36829.437500000087</c:v>
                </c:pt>
                <c:pt idx="38" formatCode="m/d/yyyy\ h:mm">
                  <c:v>36829.458333333423</c:v>
                </c:pt>
                <c:pt idx="39" formatCode="m/d/yyyy\ h:mm">
                  <c:v>36829.479166666759</c:v>
                </c:pt>
                <c:pt idx="40" formatCode="m/d/yyyy\ h:mm">
                  <c:v>36829.500000000095</c:v>
                </c:pt>
                <c:pt idx="41" formatCode="m/d/yyyy\ h:mm">
                  <c:v>36829.52083333343</c:v>
                </c:pt>
                <c:pt idx="42" formatCode="m/d/yyyy\ h:mm">
                  <c:v>36829.541666666766</c:v>
                </c:pt>
                <c:pt idx="43" formatCode="m/d/yyyy\ h:mm">
                  <c:v>36829.562500000102</c:v>
                </c:pt>
                <c:pt idx="44" formatCode="m/d/yyyy\ h:mm">
                  <c:v>36829.583333333438</c:v>
                </c:pt>
                <c:pt idx="45" formatCode="m/d/yyyy\ h:mm">
                  <c:v>36829.604166666773</c:v>
                </c:pt>
                <c:pt idx="46" formatCode="m/d/yyyy\ h:mm">
                  <c:v>36829.625000000109</c:v>
                </c:pt>
                <c:pt idx="47" formatCode="m/d/yyyy\ h:mm">
                  <c:v>36829.645833333445</c:v>
                </c:pt>
                <c:pt idx="48" formatCode="m/d/yyyy\ h:mm">
                  <c:v>36829.666666666781</c:v>
                </c:pt>
                <c:pt idx="49" formatCode="m/d/yyyy\ h:mm">
                  <c:v>36829.687500000116</c:v>
                </c:pt>
                <c:pt idx="50" formatCode="m/d/yyyy\ h:mm">
                  <c:v>36829.708333333452</c:v>
                </c:pt>
                <c:pt idx="51" formatCode="m/d/yyyy\ h:mm">
                  <c:v>36829.729166666788</c:v>
                </c:pt>
                <c:pt idx="52" formatCode="m/d/yyyy\ h:mm">
                  <c:v>36829.750000000124</c:v>
                </c:pt>
                <c:pt idx="53" formatCode="m/d/yyyy\ h:mm">
                  <c:v>36829.770833333459</c:v>
                </c:pt>
                <c:pt idx="54" formatCode="m/d/yyyy\ h:mm">
                  <c:v>36829.791666666795</c:v>
                </c:pt>
                <c:pt idx="55" formatCode="m/d/yyyy\ h:mm">
                  <c:v>36829.812500000131</c:v>
                </c:pt>
                <c:pt idx="56" formatCode="m/d/yyyy\ h:mm">
                  <c:v>36829.833333333467</c:v>
                </c:pt>
                <c:pt idx="57" formatCode="m/d/yyyy\ h:mm">
                  <c:v>36829.854166666802</c:v>
                </c:pt>
                <c:pt idx="58" formatCode="m/d/yyyy\ h:mm">
                  <c:v>36829.875000000138</c:v>
                </c:pt>
                <c:pt idx="59" formatCode="m/d/yyyy\ h:mm">
                  <c:v>36829.895833333474</c:v>
                </c:pt>
                <c:pt idx="60" formatCode="m/d/yyyy\ h:mm">
                  <c:v>36829.91666666681</c:v>
                </c:pt>
                <c:pt idx="61" formatCode="m/d/yyyy\ h:mm">
                  <c:v>36829.937500000146</c:v>
                </c:pt>
                <c:pt idx="62" formatCode="m/d/yyyy\ h:mm">
                  <c:v>36829.958333333481</c:v>
                </c:pt>
                <c:pt idx="63" formatCode="m/d/yyyy\ h:mm">
                  <c:v>36829.979166666817</c:v>
                </c:pt>
                <c:pt idx="64" formatCode="m/d/yyyy\ h:mm">
                  <c:v>36830.000000000153</c:v>
                </c:pt>
                <c:pt idx="65" formatCode="m/d/yyyy\ h:mm">
                  <c:v>36830.020833333489</c:v>
                </c:pt>
                <c:pt idx="66" formatCode="m/d/yyyy\ h:mm">
                  <c:v>36830.041666666824</c:v>
                </c:pt>
                <c:pt idx="67" formatCode="m/d/yyyy\ h:mm">
                  <c:v>36830.06250000016</c:v>
                </c:pt>
                <c:pt idx="68" formatCode="m/d/yyyy\ h:mm">
                  <c:v>36830.083333333496</c:v>
                </c:pt>
                <c:pt idx="69" formatCode="m/d/yyyy\ h:mm">
                  <c:v>36830.104166666832</c:v>
                </c:pt>
                <c:pt idx="70" formatCode="m/d/yyyy\ h:mm">
                  <c:v>36830.125000000167</c:v>
                </c:pt>
                <c:pt idx="71" formatCode="m/d/yyyy\ h:mm">
                  <c:v>36830.145833333503</c:v>
                </c:pt>
                <c:pt idx="72" formatCode="m/d/yyyy\ h:mm">
                  <c:v>36830.166666666839</c:v>
                </c:pt>
                <c:pt idx="73" formatCode="m/d/yyyy\ h:mm">
                  <c:v>36830.187500000175</c:v>
                </c:pt>
                <c:pt idx="74" formatCode="m/d/yyyy\ h:mm">
                  <c:v>36830.20833333351</c:v>
                </c:pt>
                <c:pt idx="75" formatCode="m/d/yyyy\ h:mm">
                  <c:v>36830.229166666846</c:v>
                </c:pt>
                <c:pt idx="76" formatCode="m/d/yyyy\ h:mm">
                  <c:v>36830.250000000182</c:v>
                </c:pt>
                <c:pt idx="77" formatCode="m/d/yyyy\ h:mm">
                  <c:v>36830.270833333518</c:v>
                </c:pt>
                <c:pt idx="78" formatCode="m/d/yyyy\ h:mm">
                  <c:v>36830.291666666853</c:v>
                </c:pt>
                <c:pt idx="79" formatCode="m/d/yyyy\ h:mm">
                  <c:v>36830.312500000189</c:v>
                </c:pt>
                <c:pt idx="80" formatCode="m/d/yyyy\ h:mm">
                  <c:v>36830.333333333525</c:v>
                </c:pt>
                <c:pt idx="81" formatCode="m/d/yyyy\ h:mm">
                  <c:v>36830.354166666861</c:v>
                </c:pt>
                <c:pt idx="82" formatCode="m/d/yyyy\ h:mm">
                  <c:v>36830.375000000196</c:v>
                </c:pt>
                <c:pt idx="83" formatCode="m/d/yyyy\ h:mm">
                  <c:v>36830.395833333532</c:v>
                </c:pt>
                <c:pt idx="84" formatCode="m/d/yyyy\ h:mm">
                  <c:v>36830.416666666868</c:v>
                </c:pt>
                <c:pt idx="85" formatCode="m/d/yyyy\ h:mm">
                  <c:v>36830.437500000204</c:v>
                </c:pt>
                <c:pt idx="86" formatCode="m/d/yyyy\ h:mm">
                  <c:v>36830.458333333539</c:v>
                </c:pt>
                <c:pt idx="87" formatCode="m/d/yyyy\ h:mm">
                  <c:v>36830.479166666875</c:v>
                </c:pt>
                <c:pt idx="88" formatCode="m/d/yyyy\ h:mm">
                  <c:v>36830.500000000211</c:v>
                </c:pt>
                <c:pt idx="89" formatCode="m/d/yyyy\ h:mm">
                  <c:v>36830.520833333547</c:v>
                </c:pt>
                <c:pt idx="90" formatCode="m/d/yyyy\ h:mm">
                  <c:v>36830.541666666883</c:v>
                </c:pt>
                <c:pt idx="91" formatCode="m/d/yyyy\ h:mm">
                  <c:v>36830.562500000218</c:v>
                </c:pt>
                <c:pt idx="92" formatCode="m/d/yyyy\ h:mm">
                  <c:v>36830.583333333554</c:v>
                </c:pt>
                <c:pt idx="93" formatCode="m/d/yyyy\ h:mm">
                  <c:v>36830.60416666689</c:v>
                </c:pt>
                <c:pt idx="94" formatCode="m/d/yyyy\ h:mm">
                  <c:v>36830.625000000226</c:v>
                </c:pt>
                <c:pt idx="95" formatCode="m/d/yyyy\ h:mm">
                  <c:v>36830.645833333561</c:v>
                </c:pt>
                <c:pt idx="96" formatCode="m/d/yyyy\ h:mm">
                  <c:v>36830.666666666897</c:v>
                </c:pt>
                <c:pt idx="97" formatCode="m/d/yyyy\ h:mm">
                  <c:v>36830.687500000233</c:v>
                </c:pt>
                <c:pt idx="98" formatCode="m/d/yyyy\ h:mm">
                  <c:v>36830.708333333569</c:v>
                </c:pt>
                <c:pt idx="99" formatCode="m/d/yyyy\ h:mm">
                  <c:v>36830.729166666904</c:v>
                </c:pt>
                <c:pt idx="100" formatCode="m/d/yyyy\ h:mm">
                  <c:v>36830.75000000024</c:v>
                </c:pt>
                <c:pt idx="101" formatCode="m/d/yyyy\ h:mm">
                  <c:v>36830.770833333576</c:v>
                </c:pt>
                <c:pt idx="102" formatCode="m/d/yyyy\ h:mm">
                  <c:v>36830.791666666912</c:v>
                </c:pt>
                <c:pt idx="103" formatCode="m/d/yyyy\ h:mm">
                  <c:v>36830.812500000247</c:v>
                </c:pt>
                <c:pt idx="104" formatCode="m/d/yyyy\ h:mm">
                  <c:v>36830.833333333583</c:v>
                </c:pt>
                <c:pt idx="105" formatCode="m/d/yyyy\ h:mm">
                  <c:v>36830.854166666919</c:v>
                </c:pt>
                <c:pt idx="106" formatCode="m/d/yyyy\ h:mm">
                  <c:v>36830.875000000255</c:v>
                </c:pt>
                <c:pt idx="107" formatCode="m/d/yyyy\ h:mm">
                  <c:v>36830.89583333359</c:v>
                </c:pt>
                <c:pt idx="108" formatCode="m/d/yyyy\ h:mm">
                  <c:v>36830.916666666926</c:v>
                </c:pt>
                <c:pt idx="109" formatCode="m/d/yyyy\ h:mm">
                  <c:v>36830.937500000262</c:v>
                </c:pt>
                <c:pt idx="110" formatCode="m/d/yyyy\ h:mm">
                  <c:v>36830.958333333598</c:v>
                </c:pt>
                <c:pt idx="111" formatCode="m/d/yyyy\ h:mm">
                  <c:v>36830.979166666933</c:v>
                </c:pt>
                <c:pt idx="112" formatCode="m/d/yyyy\ h:mm">
                  <c:v>36831.000000000269</c:v>
                </c:pt>
                <c:pt idx="113" formatCode="m/d/yyyy\ h:mm">
                  <c:v>36831.020833333605</c:v>
                </c:pt>
                <c:pt idx="114" formatCode="m/d/yyyy\ h:mm">
                  <c:v>36831.041666666941</c:v>
                </c:pt>
                <c:pt idx="115" formatCode="m/d/yyyy\ h:mm">
                  <c:v>36831.062500000276</c:v>
                </c:pt>
                <c:pt idx="116" formatCode="m/d/yyyy\ h:mm">
                  <c:v>36831.083333333612</c:v>
                </c:pt>
                <c:pt idx="117" formatCode="m/d/yyyy\ h:mm">
                  <c:v>36831.104166666948</c:v>
                </c:pt>
                <c:pt idx="118" formatCode="m/d/yyyy\ h:mm">
                  <c:v>36831.125000000284</c:v>
                </c:pt>
                <c:pt idx="119" formatCode="m/d/yyyy\ h:mm">
                  <c:v>36831.14583333362</c:v>
                </c:pt>
                <c:pt idx="120" formatCode="m/d/yyyy\ h:mm">
                  <c:v>36831.166666666955</c:v>
                </c:pt>
                <c:pt idx="121" formatCode="m/d/yyyy\ h:mm">
                  <c:v>36831.187500000291</c:v>
                </c:pt>
                <c:pt idx="122" formatCode="m/d/yyyy\ h:mm">
                  <c:v>36831.208333333627</c:v>
                </c:pt>
                <c:pt idx="123" formatCode="m/d/yyyy\ h:mm">
                  <c:v>36831.229166666963</c:v>
                </c:pt>
                <c:pt idx="124" formatCode="m/d/yyyy\ h:mm">
                  <c:v>36831.250000000298</c:v>
                </c:pt>
                <c:pt idx="125" formatCode="m/d/yyyy\ h:mm">
                  <c:v>36831.270833333634</c:v>
                </c:pt>
                <c:pt idx="126" formatCode="m/d/yyyy\ h:mm">
                  <c:v>36831.29166666697</c:v>
                </c:pt>
                <c:pt idx="127" formatCode="m/d/yyyy\ h:mm">
                  <c:v>36831.312500000306</c:v>
                </c:pt>
                <c:pt idx="128" formatCode="m/d/yyyy\ h:mm">
                  <c:v>36831.333333333641</c:v>
                </c:pt>
                <c:pt idx="129" formatCode="m/d/yyyy\ h:mm">
                  <c:v>36831.354166666977</c:v>
                </c:pt>
                <c:pt idx="130" formatCode="m/d/yyyy\ h:mm">
                  <c:v>36831.375000000313</c:v>
                </c:pt>
                <c:pt idx="131" formatCode="m/d/yyyy\ h:mm">
                  <c:v>36831.395833333649</c:v>
                </c:pt>
                <c:pt idx="132" formatCode="m/d/yyyy\ h:mm">
                  <c:v>36831.416666666984</c:v>
                </c:pt>
                <c:pt idx="133" formatCode="m/d/yyyy\ h:mm">
                  <c:v>36831.43750000032</c:v>
                </c:pt>
                <c:pt idx="134" formatCode="m/d/yyyy\ h:mm">
                  <c:v>36831.458333333656</c:v>
                </c:pt>
                <c:pt idx="135" formatCode="m/d/yyyy\ h:mm">
                  <c:v>36831.479166666992</c:v>
                </c:pt>
                <c:pt idx="136" formatCode="m/d/yyyy\ h:mm">
                  <c:v>36831.500000000327</c:v>
                </c:pt>
                <c:pt idx="137" formatCode="m/d/yyyy\ h:mm">
                  <c:v>36831.520833333663</c:v>
                </c:pt>
                <c:pt idx="138" formatCode="m/d/yyyy\ h:mm">
                  <c:v>36831.541666666999</c:v>
                </c:pt>
                <c:pt idx="139" formatCode="m/d/yyyy\ h:mm">
                  <c:v>36831.562500000335</c:v>
                </c:pt>
                <c:pt idx="140" formatCode="m/d/yyyy\ h:mm">
                  <c:v>36831.58333333367</c:v>
                </c:pt>
                <c:pt idx="141" formatCode="m/d/yyyy\ h:mm">
                  <c:v>36831.604166667006</c:v>
                </c:pt>
                <c:pt idx="142" formatCode="m/d/yyyy\ h:mm">
                  <c:v>36831.625000000342</c:v>
                </c:pt>
                <c:pt idx="143" formatCode="m/d/yyyy\ h:mm">
                  <c:v>36831.645833333678</c:v>
                </c:pt>
                <c:pt idx="144" formatCode="m/d/yyyy\ h:mm">
                  <c:v>36831.666666667013</c:v>
                </c:pt>
                <c:pt idx="145" formatCode="m/d/yyyy\ h:mm">
                  <c:v>36831.687500000349</c:v>
                </c:pt>
                <c:pt idx="146" formatCode="m/d/yyyy\ h:mm">
                  <c:v>36831.708333333685</c:v>
                </c:pt>
                <c:pt idx="147" formatCode="m/d/yyyy\ h:mm">
                  <c:v>36831.729166667021</c:v>
                </c:pt>
                <c:pt idx="148" formatCode="m/d/yyyy\ h:mm">
                  <c:v>36831.750000000357</c:v>
                </c:pt>
                <c:pt idx="149" formatCode="m/d/yyyy\ h:mm">
                  <c:v>36831.770833333692</c:v>
                </c:pt>
                <c:pt idx="150" formatCode="m/d/yyyy\ h:mm">
                  <c:v>36831.791666667028</c:v>
                </c:pt>
                <c:pt idx="151" formatCode="m/d/yyyy\ h:mm">
                  <c:v>36831.812500000364</c:v>
                </c:pt>
                <c:pt idx="152" formatCode="m/d/yyyy\ h:mm">
                  <c:v>36831.8333333337</c:v>
                </c:pt>
                <c:pt idx="153" formatCode="m/d/yyyy\ h:mm">
                  <c:v>36831.854166667035</c:v>
                </c:pt>
                <c:pt idx="154" formatCode="m/d/yyyy\ h:mm">
                  <c:v>36831.875000000371</c:v>
                </c:pt>
                <c:pt idx="155" formatCode="m/d/yyyy\ h:mm">
                  <c:v>36831.895833333707</c:v>
                </c:pt>
                <c:pt idx="156" formatCode="m/d/yyyy\ h:mm">
                  <c:v>36831.916666667043</c:v>
                </c:pt>
                <c:pt idx="157" formatCode="m/d/yyyy\ h:mm">
                  <c:v>36831.937500000378</c:v>
                </c:pt>
                <c:pt idx="158" formatCode="m/d/yyyy\ h:mm">
                  <c:v>36831.958333333714</c:v>
                </c:pt>
                <c:pt idx="159" formatCode="m/d/yyyy\ h:mm">
                  <c:v>36831.97916666705</c:v>
                </c:pt>
                <c:pt idx="160" formatCode="m/d/yyyy\ h:mm">
                  <c:v>36832.000000000386</c:v>
                </c:pt>
                <c:pt idx="161" formatCode="m/d/yyyy\ h:mm">
                  <c:v>36832.020833333721</c:v>
                </c:pt>
                <c:pt idx="162" formatCode="m/d/yyyy\ h:mm">
                  <c:v>36832.041666667057</c:v>
                </c:pt>
                <c:pt idx="163" formatCode="m/d/yyyy\ h:mm">
                  <c:v>36832.062500000393</c:v>
                </c:pt>
                <c:pt idx="164" formatCode="m/d/yyyy\ h:mm">
                  <c:v>36832.083333333729</c:v>
                </c:pt>
                <c:pt idx="165" formatCode="m/d/yyyy\ h:mm">
                  <c:v>36832.104166667064</c:v>
                </c:pt>
                <c:pt idx="166" formatCode="m/d/yyyy\ h:mm">
                  <c:v>36832.1250000004</c:v>
                </c:pt>
                <c:pt idx="167" formatCode="m/d/yyyy\ h:mm">
                  <c:v>36832.145833333736</c:v>
                </c:pt>
                <c:pt idx="168" formatCode="m/d/yyyy\ h:mm">
                  <c:v>36832.166666667072</c:v>
                </c:pt>
                <c:pt idx="169" formatCode="m/d/yyyy\ h:mm">
                  <c:v>36832.187500000407</c:v>
                </c:pt>
                <c:pt idx="170" formatCode="m/d/yyyy\ h:mm">
                  <c:v>36832.208333333743</c:v>
                </c:pt>
                <c:pt idx="171" formatCode="m/d/yyyy\ h:mm">
                  <c:v>36832.229166667079</c:v>
                </c:pt>
                <c:pt idx="172" formatCode="m/d/yyyy\ h:mm">
                  <c:v>36832.250000000415</c:v>
                </c:pt>
                <c:pt idx="173" formatCode="m/d/yyyy\ h:mm">
                  <c:v>36832.27083333375</c:v>
                </c:pt>
                <c:pt idx="174" formatCode="m/d/yyyy\ h:mm">
                  <c:v>36832.291666667086</c:v>
                </c:pt>
                <c:pt idx="175" formatCode="m/d/yyyy\ h:mm">
                  <c:v>36832.312500000422</c:v>
                </c:pt>
                <c:pt idx="176" formatCode="m/d/yyyy\ h:mm">
                  <c:v>36832.333333333758</c:v>
                </c:pt>
                <c:pt idx="177" formatCode="m/d/yyyy\ h:mm">
                  <c:v>36832.354166667094</c:v>
                </c:pt>
                <c:pt idx="178" formatCode="m/d/yyyy\ h:mm">
                  <c:v>36832.375000000429</c:v>
                </c:pt>
                <c:pt idx="179" formatCode="m/d/yyyy\ h:mm">
                  <c:v>36832.395833333765</c:v>
                </c:pt>
                <c:pt idx="180" formatCode="m/d/yyyy\ h:mm">
                  <c:v>36832.416666667101</c:v>
                </c:pt>
                <c:pt idx="181" formatCode="m/d/yyyy\ h:mm">
                  <c:v>36832.437500000437</c:v>
                </c:pt>
                <c:pt idx="182" formatCode="m/d/yyyy\ h:mm">
                  <c:v>36832.458333333772</c:v>
                </c:pt>
                <c:pt idx="183" formatCode="m/d/yyyy\ h:mm">
                  <c:v>36832.479166667108</c:v>
                </c:pt>
                <c:pt idx="184" formatCode="m/d/yyyy\ h:mm">
                  <c:v>36832.500000000444</c:v>
                </c:pt>
                <c:pt idx="185" formatCode="m/d/yyyy\ h:mm">
                  <c:v>36832.52083333378</c:v>
                </c:pt>
                <c:pt idx="186" formatCode="m/d/yyyy\ h:mm">
                  <c:v>36832.541666667115</c:v>
                </c:pt>
                <c:pt idx="187" formatCode="m/d/yyyy\ h:mm">
                  <c:v>36832.562500000451</c:v>
                </c:pt>
                <c:pt idx="188" formatCode="m/d/yyyy\ h:mm">
                  <c:v>36832.583333333787</c:v>
                </c:pt>
                <c:pt idx="189" formatCode="m/d/yyyy\ h:mm">
                  <c:v>36832.604166667123</c:v>
                </c:pt>
                <c:pt idx="190" formatCode="m/d/yyyy\ h:mm">
                  <c:v>36832.625000000458</c:v>
                </c:pt>
                <c:pt idx="191" formatCode="m/d/yyyy\ h:mm">
                  <c:v>36832.645833333794</c:v>
                </c:pt>
                <c:pt idx="192" formatCode="m/d/yyyy\ h:mm">
                  <c:v>36832.66666666713</c:v>
                </c:pt>
                <c:pt idx="193" formatCode="m/d/yyyy\ h:mm">
                  <c:v>36832.687500000466</c:v>
                </c:pt>
                <c:pt idx="194" formatCode="m/d/yyyy\ h:mm">
                  <c:v>36832.708333333801</c:v>
                </c:pt>
                <c:pt idx="195" formatCode="m/d/yyyy\ h:mm">
                  <c:v>36832.729166667137</c:v>
                </c:pt>
                <c:pt idx="196" formatCode="m/d/yyyy\ h:mm">
                  <c:v>36832.750000000473</c:v>
                </c:pt>
                <c:pt idx="197" formatCode="m/d/yyyy\ h:mm">
                  <c:v>36832.770833333809</c:v>
                </c:pt>
                <c:pt idx="198" formatCode="m/d/yyyy\ h:mm">
                  <c:v>36832.791666667144</c:v>
                </c:pt>
                <c:pt idx="199" formatCode="m/d/yyyy\ h:mm">
                  <c:v>36832.81250000048</c:v>
                </c:pt>
                <c:pt idx="200" formatCode="m/d/yyyy\ h:mm">
                  <c:v>36832.833333333816</c:v>
                </c:pt>
                <c:pt idx="201" formatCode="m/d/yyyy\ h:mm">
                  <c:v>36832.854166667152</c:v>
                </c:pt>
                <c:pt idx="202" formatCode="m/d/yyyy\ h:mm">
                  <c:v>36832.875000000487</c:v>
                </c:pt>
                <c:pt idx="203" formatCode="m/d/yyyy\ h:mm">
                  <c:v>36832.895833333823</c:v>
                </c:pt>
                <c:pt idx="204" formatCode="m/d/yyyy\ h:mm">
                  <c:v>36832.916666667159</c:v>
                </c:pt>
                <c:pt idx="205" formatCode="m/d/yyyy\ h:mm">
                  <c:v>36832.937500000495</c:v>
                </c:pt>
                <c:pt idx="206" formatCode="m/d/yyyy\ h:mm">
                  <c:v>36832.958333333831</c:v>
                </c:pt>
                <c:pt idx="207" formatCode="m/d/yyyy\ h:mm">
                  <c:v>36832.979166667166</c:v>
                </c:pt>
                <c:pt idx="208" formatCode="m/d/yyyy\ h:mm">
                  <c:v>36833.000000000502</c:v>
                </c:pt>
                <c:pt idx="209" formatCode="m/d/yyyy\ h:mm">
                  <c:v>36833.020833333838</c:v>
                </c:pt>
                <c:pt idx="210" formatCode="m/d/yyyy\ h:mm">
                  <c:v>36833.041666667174</c:v>
                </c:pt>
                <c:pt idx="211" formatCode="m/d/yyyy\ h:mm">
                  <c:v>36833.062500000509</c:v>
                </c:pt>
                <c:pt idx="212" formatCode="m/d/yyyy\ h:mm">
                  <c:v>36833.083333333845</c:v>
                </c:pt>
                <c:pt idx="213" formatCode="m/d/yyyy\ h:mm">
                  <c:v>36833.104166667181</c:v>
                </c:pt>
                <c:pt idx="214" formatCode="m/d/yyyy\ h:mm">
                  <c:v>36833.125000000517</c:v>
                </c:pt>
                <c:pt idx="215" formatCode="m/d/yyyy\ h:mm">
                  <c:v>36833.145833333852</c:v>
                </c:pt>
                <c:pt idx="216" formatCode="m/d/yyyy\ h:mm">
                  <c:v>36833.166666667188</c:v>
                </c:pt>
                <c:pt idx="217" formatCode="m/d/yyyy\ h:mm">
                  <c:v>36833.187500000524</c:v>
                </c:pt>
                <c:pt idx="218" formatCode="m/d/yyyy\ h:mm">
                  <c:v>36833.20833333386</c:v>
                </c:pt>
                <c:pt idx="219" formatCode="m/d/yyyy\ h:mm">
                  <c:v>36833.229166667195</c:v>
                </c:pt>
                <c:pt idx="220" formatCode="m/d/yyyy\ h:mm">
                  <c:v>36833.250000000531</c:v>
                </c:pt>
                <c:pt idx="221" formatCode="m/d/yyyy\ h:mm">
                  <c:v>36833.270833333867</c:v>
                </c:pt>
                <c:pt idx="222" formatCode="m/d/yyyy\ h:mm">
                  <c:v>36833.291666667203</c:v>
                </c:pt>
                <c:pt idx="223" formatCode="m/d/yyyy\ h:mm">
                  <c:v>36833.312500000538</c:v>
                </c:pt>
                <c:pt idx="224" formatCode="m/d/yyyy\ h:mm">
                  <c:v>36833.333333333874</c:v>
                </c:pt>
                <c:pt idx="225" formatCode="m/d/yyyy\ h:mm">
                  <c:v>36833.35416666721</c:v>
                </c:pt>
                <c:pt idx="226" formatCode="m/d/yyyy\ h:mm">
                  <c:v>36833.375000000546</c:v>
                </c:pt>
                <c:pt idx="227" formatCode="m/d/yyyy\ h:mm">
                  <c:v>36833.395833333881</c:v>
                </c:pt>
                <c:pt idx="228" formatCode="m/d/yyyy\ h:mm">
                  <c:v>36833.416666667217</c:v>
                </c:pt>
                <c:pt idx="229" formatCode="m/d/yyyy\ h:mm">
                  <c:v>36833.437500000553</c:v>
                </c:pt>
                <c:pt idx="230" formatCode="m/d/yyyy\ h:mm">
                  <c:v>36833.458333333889</c:v>
                </c:pt>
                <c:pt idx="231" formatCode="m/d/yyyy\ h:mm">
                  <c:v>36833.479166667224</c:v>
                </c:pt>
                <c:pt idx="232" formatCode="m/d/yyyy\ h:mm">
                  <c:v>36833.50000000056</c:v>
                </c:pt>
                <c:pt idx="233" formatCode="m/d/yyyy\ h:mm">
                  <c:v>36833.520833333896</c:v>
                </c:pt>
                <c:pt idx="234" formatCode="m/d/yyyy\ h:mm">
                  <c:v>36833.541666667232</c:v>
                </c:pt>
                <c:pt idx="235" formatCode="m/d/yyyy\ h:mm">
                  <c:v>36833.562500000568</c:v>
                </c:pt>
                <c:pt idx="236" formatCode="m/d/yyyy\ h:mm">
                  <c:v>36833.583333333903</c:v>
                </c:pt>
                <c:pt idx="237" formatCode="m/d/yyyy\ h:mm">
                  <c:v>36833.604166667239</c:v>
                </c:pt>
                <c:pt idx="238" formatCode="m/d/yyyy\ h:mm">
                  <c:v>36833.625000000575</c:v>
                </c:pt>
                <c:pt idx="239" formatCode="m/d/yyyy\ h:mm">
                  <c:v>36833.645833333911</c:v>
                </c:pt>
                <c:pt idx="240" formatCode="m/d/yyyy\ h:mm">
                  <c:v>36833.666666667246</c:v>
                </c:pt>
                <c:pt idx="241" formatCode="m/d/yyyy\ h:mm">
                  <c:v>36833.687500000582</c:v>
                </c:pt>
                <c:pt idx="242" formatCode="m/d/yyyy\ h:mm">
                  <c:v>36833.708333333918</c:v>
                </c:pt>
                <c:pt idx="243" formatCode="m/d/yyyy\ h:mm">
                  <c:v>36833.729166667254</c:v>
                </c:pt>
                <c:pt idx="244" formatCode="m/d/yyyy\ h:mm">
                  <c:v>36833.750000000589</c:v>
                </c:pt>
                <c:pt idx="245" formatCode="m/d/yyyy\ h:mm">
                  <c:v>36833.770833333925</c:v>
                </c:pt>
                <c:pt idx="246" formatCode="m/d/yyyy\ h:mm">
                  <c:v>36833.791666667261</c:v>
                </c:pt>
                <c:pt idx="247" formatCode="m/d/yyyy\ h:mm">
                  <c:v>36833.812500000597</c:v>
                </c:pt>
                <c:pt idx="248" formatCode="m/d/yyyy\ h:mm">
                  <c:v>36833.833333333932</c:v>
                </c:pt>
                <c:pt idx="249" formatCode="m/d/yyyy\ h:mm">
                  <c:v>36833.854166667268</c:v>
                </c:pt>
                <c:pt idx="250" formatCode="m/d/yyyy\ h:mm">
                  <c:v>36833.875000000604</c:v>
                </c:pt>
                <c:pt idx="251" formatCode="m/d/yyyy\ h:mm">
                  <c:v>36833.89583333394</c:v>
                </c:pt>
                <c:pt idx="252" formatCode="m/d/yyyy\ h:mm">
                  <c:v>36833.916666667275</c:v>
                </c:pt>
                <c:pt idx="253" formatCode="m/d/yyyy\ h:mm">
                  <c:v>36833.937500000611</c:v>
                </c:pt>
                <c:pt idx="254" formatCode="m/d/yyyy\ h:mm">
                  <c:v>36833.958333333947</c:v>
                </c:pt>
                <c:pt idx="255" formatCode="m/d/yyyy\ h:mm">
                  <c:v>36833.979166667283</c:v>
                </c:pt>
                <c:pt idx="256" formatCode="m/d/yyyy\ h:mm">
                  <c:v>36834.000000000618</c:v>
                </c:pt>
                <c:pt idx="257" formatCode="m/d/yyyy\ h:mm">
                  <c:v>36834.020833333954</c:v>
                </c:pt>
                <c:pt idx="258" formatCode="m/d/yyyy\ h:mm">
                  <c:v>36834.04166666729</c:v>
                </c:pt>
                <c:pt idx="259" formatCode="m/d/yyyy\ h:mm">
                  <c:v>36834.062500000626</c:v>
                </c:pt>
                <c:pt idx="260" formatCode="m/d/yyyy\ h:mm">
                  <c:v>36834.083333333961</c:v>
                </c:pt>
                <c:pt idx="261" formatCode="m/d/yyyy\ h:mm">
                  <c:v>36834.104166667297</c:v>
                </c:pt>
                <c:pt idx="262" formatCode="m/d/yyyy\ h:mm">
                  <c:v>36834.125000000633</c:v>
                </c:pt>
                <c:pt idx="263" formatCode="m/d/yyyy\ h:mm">
                  <c:v>36834.145833333969</c:v>
                </c:pt>
                <c:pt idx="264" formatCode="m/d/yyyy\ h:mm">
                  <c:v>36834.166666667305</c:v>
                </c:pt>
                <c:pt idx="265" formatCode="m/d/yyyy\ h:mm">
                  <c:v>36834.18750000064</c:v>
                </c:pt>
                <c:pt idx="266" formatCode="m/d/yyyy\ h:mm">
                  <c:v>36834.208333333976</c:v>
                </c:pt>
                <c:pt idx="267" formatCode="m/d/yyyy\ h:mm">
                  <c:v>36834.229166667312</c:v>
                </c:pt>
                <c:pt idx="268" formatCode="m/d/yyyy\ h:mm">
                  <c:v>36834.250000000648</c:v>
                </c:pt>
                <c:pt idx="269" formatCode="m/d/yyyy\ h:mm">
                  <c:v>36834.270833333983</c:v>
                </c:pt>
                <c:pt idx="270" formatCode="m/d/yyyy\ h:mm">
                  <c:v>36834.291666667319</c:v>
                </c:pt>
                <c:pt idx="271" formatCode="m/d/yyyy\ h:mm">
                  <c:v>36834.312500000655</c:v>
                </c:pt>
                <c:pt idx="272" formatCode="m/d/yyyy\ h:mm">
                  <c:v>36834.333333333991</c:v>
                </c:pt>
                <c:pt idx="273" formatCode="m/d/yyyy\ h:mm">
                  <c:v>36834.354166667326</c:v>
                </c:pt>
                <c:pt idx="274" formatCode="m/d/yyyy\ h:mm">
                  <c:v>36834.375000000662</c:v>
                </c:pt>
                <c:pt idx="275" formatCode="m/d/yyyy\ h:mm">
                  <c:v>36834.395833333998</c:v>
                </c:pt>
                <c:pt idx="276" formatCode="m/d/yyyy\ h:mm">
                  <c:v>36834.416666667334</c:v>
                </c:pt>
                <c:pt idx="277" formatCode="m/d/yyyy\ h:mm">
                  <c:v>36834.437500000669</c:v>
                </c:pt>
                <c:pt idx="278" formatCode="m/d/yyyy\ h:mm">
                  <c:v>36834.458333334005</c:v>
                </c:pt>
                <c:pt idx="279" formatCode="m/d/yyyy\ h:mm">
                  <c:v>36834.479166667341</c:v>
                </c:pt>
                <c:pt idx="280" formatCode="m/d/yyyy\ h:mm">
                  <c:v>36834.500000000677</c:v>
                </c:pt>
                <c:pt idx="281" formatCode="m/d/yyyy\ h:mm">
                  <c:v>36834.520833334012</c:v>
                </c:pt>
                <c:pt idx="282" formatCode="m/d/yyyy\ h:mm">
                  <c:v>36834.541666667348</c:v>
                </c:pt>
                <c:pt idx="283" formatCode="m/d/yyyy\ h:mm">
                  <c:v>36834.562500000684</c:v>
                </c:pt>
                <c:pt idx="284" formatCode="m/d/yyyy\ h:mm">
                  <c:v>36834.58333333402</c:v>
                </c:pt>
                <c:pt idx="285" formatCode="m/d/yyyy\ h:mm">
                  <c:v>36834.604166667355</c:v>
                </c:pt>
                <c:pt idx="286" formatCode="m/d/yyyy\ h:mm">
                  <c:v>36834.625000000691</c:v>
                </c:pt>
                <c:pt idx="287" formatCode="m/d/yyyy\ h:mm">
                  <c:v>36834.645833334027</c:v>
                </c:pt>
                <c:pt idx="288" formatCode="m/d/yyyy\ h:mm">
                  <c:v>36834.666666667363</c:v>
                </c:pt>
                <c:pt idx="289" formatCode="m/d/yyyy\ h:mm">
                  <c:v>36834.687500000698</c:v>
                </c:pt>
                <c:pt idx="290" formatCode="m/d/yyyy\ h:mm">
                  <c:v>36834.708333334034</c:v>
                </c:pt>
                <c:pt idx="291" formatCode="m/d/yyyy\ h:mm">
                  <c:v>36834.72916666737</c:v>
                </c:pt>
                <c:pt idx="292" formatCode="m/d/yyyy\ h:mm">
                  <c:v>36834.750000000706</c:v>
                </c:pt>
                <c:pt idx="293" formatCode="m/d/yyyy\ h:mm">
                  <c:v>36834.770833334042</c:v>
                </c:pt>
                <c:pt idx="294" formatCode="m/d/yyyy\ h:mm">
                  <c:v>36834.791666667377</c:v>
                </c:pt>
                <c:pt idx="295" formatCode="m/d/yyyy\ h:mm">
                  <c:v>36834.812500000713</c:v>
                </c:pt>
                <c:pt idx="296" formatCode="m/d/yyyy\ h:mm">
                  <c:v>36834.833333334049</c:v>
                </c:pt>
                <c:pt idx="297" formatCode="m/d/yyyy\ h:mm">
                  <c:v>36834.854166667385</c:v>
                </c:pt>
                <c:pt idx="298" formatCode="m/d/yyyy\ h:mm">
                  <c:v>36834.87500000072</c:v>
                </c:pt>
                <c:pt idx="299" formatCode="m/d/yyyy\ h:mm">
                  <c:v>36834.895833334056</c:v>
                </c:pt>
                <c:pt idx="300" formatCode="m/d/yyyy\ h:mm">
                  <c:v>36834.916666667392</c:v>
                </c:pt>
                <c:pt idx="301" formatCode="m/d/yyyy\ h:mm">
                  <c:v>36834.937500000728</c:v>
                </c:pt>
                <c:pt idx="302" formatCode="m/d/yyyy\ h:mm">
                  <c:v>36834.958333334063</c:v>
                </c:pt>
                <c:pt idx="303" formatCode="m/d/yyyy\ h:mm">
                  <c:v>36834.979166667399</c:v>
                </c:pt>
                <c:pt idx="304" formatCode="m/d/yyyy\ h:mm">
                  <c:v>36835.000000000735</c:v>
                </c:pt>
                <c:pt idx="305" formatCode="m/d/yyyy\ h:mm">
                  <c:v>36835.020833334071</c:v>
                </c:pt>
                <c:pt idx="306" formatCode="m/d/yyyy\ h:mm">
                  <c:v>36835.041666667406</c:v>
                </c:pt>
                <c:pt idx="307" formatCode="m/d/yyyy\ h:mm">
                  <c:v>36835.062500000742</c:v>
                </c:pt>
                <c:pt idx="308" formatCode="m/d/yyyy\ h:mm">
                  <c:v>36835.083333334078</c:v>
                </c:pt>
                <c:pt idx="309" formatCode="m/d/yyyy\ h:mm">
                  <c:v>36835.104166667414</c:v>
                </c:pt>
                <c:pt idx="310" formatCode="m/d/yyyy\ h:mm">
                  <c:v>36835.125000000749</c:v>
                </c:pt>
                <c:pt idx="311" formatCode="m/d/yyyy\ h:mm">
                  <c:v>36835.145833334085</c:v>
                </c:pt>
                <c:pt idx="312" formatCode="m/d/yyyy\ h:mm">
                  <c:v>36835.166666667421</c:v>
                </c:pt>
                <c:pt idx="313" formatCode="m/d/yyyy\ h:mm">
                  <c:v>36835.187500000757</c:v>
                </c:pt>
                <c:pt idx="314" formatCode="m/d/yyyy\ h:mm">
                  <c:v>36835.208333334092</c:v>
                </c:pt>
                <c:pt idx="315" formatCode="m/d/yyyy\ h:mm">
                  <c:v>36835.229166667428</c:v>
                </c:pt>
                <c:pt idx="316" formatCode="m/d/yyyy\ h:mm">
                  <c:v>36835.250000000764</c:v>
                </c:pt>
                <c:pt idx="317" formatCode="m/d/yyyy\ h:mm">
                  <c:v>36835.2708333341</c:v>
                </c:pt>
                <c:pt idx="318" formatCode="m/d/yyyy\ h:mm">
                  <c:v>36835.291666667435</c:v>
                </c:pt>
                <c:pt idx="319" formatCode="m/d/yyyy\ h:mm">
                  <c:v>36835.312500000771</c:v>
                </c:pt>
                <c:pt idx="320" formatCode="m/d/yyyy\ h:mm">
                  <c:v>36835.333333334107</c:v>
                </c:pt>
                <c:pt idx="321" formatCode="m/d/yyyy\ h:mm">
                  <c:v>36835.354166667443</c:v>
                </c:pt>
                <c:pt idx="322" formatCode="m/d/yyyy\ h:mm">
                  <c:v>36835.375000000779</c:v>
                </c:pt>
                <c:pt idx="323" formatCode="m/d/yyyy\ h:mm">
                  <c:v>36835.395833334114</c:v>
                </c:pt>
                <c:pt idx="324" formatCode="m/d/yyyy\ h:mm">
                  <c:v>36835.41666666745</c:v>
                </c:pt>
                <c:pt idx="325" formatCode="m/d/yyyy\ h:mm">
                  <c:v>36835.437500000786</c:v>
                </c:pt>
                <c:pt idx="326" formatCode="m/d/yyyy\ h:mm">
                  <c:v>36835.458333334122</c:v>
                </c:pt>
                <c:pt idx="327" formatCode="m/d/yyyy\ h:mm">
                  <c:v>36835.479166667457</c:v>
                </c:pt>
                <c:pt idx="328" formatCode="m/d/yyyy\ h:mm">
                  <c:v>36835.500000000793</c:v>
                </c:pt>
                <c:pt idx="329" formatCode="m/d/yyyy\ h:mm">
                  <c:v>36835.520833334129</c:v>
                </c:pt>
                <c:pt idx="330" formatCode="m/d/yyyy\ h:mm">
                  <c:v>36835.541666667465</c:v>
                </c:pt>
                <c:pt idx="331" formatCode="m/d/yyyy\ h:mm">
                  <c:v>36835.5625000008</c:v>
                </c:pt>
                <c:pt idx="332" formatCode="m/d/yyyy\ h:mm">
                  <c:v>36835.583333334136</c:v>
                </c:pt>
                <c:pt idx="333" formatCode="m/d/yyyy\ h:mm">
                  <c:v>36835.604166667472</c:v>
                </c:pt>
                <c:pt idx="334" formatCode="m/d/yyyy\ h:mm">
                  <c:v>36835.625000000808</c:v>
                </c:pt>
                <c:pt idx="335" formatCode="m/d/yyyy\ h:mm">
                  <c:v>36835.645833334143</c:v>
                </c:pt>
                <c:pt idx="336" formatCode="m/d/yyyy\ h:mm">
                  <c:v>36835.666666667479</c:v>
                </c:pt>
                <c:pt idx="337" formatCode="m/d/yyyy\ h:mm">
                  <c:v>36835.687500000815</c:v>
                </c:pt>
                <c:pt idx="338" formatCode="m/d/yyyy\ h:mm">
                  <c:v>36835.708333334151</c:v>
                </c:pt>
                <c:pt idx="339" formatCode="m/d/yyyy\ h:mm">
                  <c:v>36835.729166667486</c:v>
                </c:pt>
                <c:pt idx="340" formatCode="m/d/yyyy\ h:mm">
                  <c:v>36835.750000000822</c:v>
                </c:pt>
                <c:pt idx="341" formatCode="m/d/yyyy\ h:mm">
                  <c:v>36835.770833334158</c:v>
                </c:pt>
                <c:pt idx="342" formatCode="m/d/yyyy\ h:mm">
                  <c:v>36835.791666667494</c:v>
                </c:pt>
                <c:pt idx="343" formatCode="m/d/yyyy\ h:mm">
                  <c:v>36835.812500000829</c:v>
                </c:pt>
                <c:pt idx="344" formatCode="m/d/yyyy\ h:mm">
                  <c:v>36835.833333334165</c:v>
                </c:pt>
                <c:pt idx="345" formatCode="m/d/yyyy\ h:mm">
                  <c:v>36835.854166667501</c:v>
                </c:pt>
                <c:pt idx="346" formatCode="m/d/yyyy\ h:mm">
                  <c:v>36835.875000000837</c:v>
                </c:pt>
                <c:pt idx="347" formatCode="m/d/yyyy\ h:mm">
                  <c:v>36835.895833334172</c:v>
                </c:pt>
                <c:pt idx="348" formatCode="m/d/yyyy\ h:mm">
                  <c:v>36835.916666667508</c:v>
                </c:pt>
                <c:pt idx="349" formatCode="m/d/yyyy\ h:mm">
                  <c:v>36835.937500000844</c:v>
                </c:pt>
                <c:pt idx="350" formatCode="m/d/yyyy\ h:mm">
                  <c:v>36835.95833333418</c:v>
                </c:pt>
                <c:pt idx="351" formatCode="m/d/yyyy\ h:mm">
                  <c:v>36835.979166667516</c:v>
                </c:pt>
                <c:pt idx="352" formatCode="m/d/yyyy\ h:mm">
                  <c:v>36836.000000000851</c:v>
                </c:pt>
                <c:pt idx="353" formatCode="m/d/yyyy\ h:mm">
                  <c:v>36836.020833334187</c:v>
                </c:pt>
                <c:pt idx="354" formatCode="m/d/yyyy\ h:mm">
                  <c:v>36836.041666667523</c:v>
                </c:pt>
                <c:pt idx="355" formatCode="m/d/yyyy\ h:mm">
                  <c:v>36836.062500000859</c:v>
                </c:pt>
                <c:pt idx="356" formatCode="m/d/yyyy\ h:mm">
                  <c:v>36836.083333334194</c:v>
                </c:pt>
                <c:pt idx="357" formatCode="m/d/yyyy\ h:mm">
                  <c:v>36836.10416666753</c:v>
                </c:pt>
                <c:pt idx="358" formatCode="m/d/yyyy\ h:mm">
                  <c:v>36836.125000000866</c:v>
                </c:pt>
                <c:pt idx="359" formatCode="m/d/yyyy\ h:mm">
                  <c:v>36836.145833334202</c:v>
                </c:pt>
                <c:pt idx="360" formatCode="m/d/yyyy\ h:mm">
                  <c:v>36836.166666667537</c:v>
                </c:pt>
                <c:pt idx="361" formatCode="m/d/yyyy\ h:mm">
                  <c:v>36836.187500000873</c:v>
                </c:pt>
                <c:pt idx="362" formatCode="m/d/yyyy\ h:mm">
                  <c:v>36836.208333334209</c:v>
                </c:pt>
                <c:pt idx="363" formatCode="m/d/yyyy\ h:mm">
                  <c:v>36836.229166667545</c:v>
                </c:pt>
                <c:pt idx="364" formatCode="m/d/yyyy\ h:mm">
                  <c:v>36836.25000000088</c:v>
                </c:pt>
                <c:pt idx="365" formatCode="m/d/yyyy\ h:mm">
                  <c:v>36836.270833334216</c:v>
                </c:pt>
                <c:pt idx="366" formatCode="m/d/yyyy\ h:mm">
                  <c:v>36836.291666667552</c:v>
                </c:pt>
                <c:pt idx="367" formatCode="m/d/yyyy\ h:mm">
                  <c:v>36836.312500000888</c:v>
                </c:pt>
                <c:pt idx="368" formatCode="m/d/yyyy\ h:mm">
                  <c:v>36836.333333334223</c:v>
                </c:pt>
                <c:pt idx="369" formatCode="m/d/yyyy\ h:mm">
                  <c:v>36836.354166667559</c:v>
                </c:pt>
                <c:pt idx="370" formatCode="m/d/yyyy\ h:mm">
                  <c:v>36836.375000000895</c:v>
                </c:pt>
                <c:pt idx="371" formatCode="m/d/yyyy\ h:mm">
                  <c:v>36836.395833334231</c:v>
                </c:pt>
                <c:pt idx="372" formatCode="m/d/yyyy\ h:mm">
                  <c:v>36836.416666667566</c:v>
                </c:pt>
                <c:pt idx="373" formatCode="m/d/yyyy\ h:mm">
                  <c:v>36836.437500000902</c:v>
                </c:pt>
                <c:pt idx="374" formatCode="m/d/yyyy\ h:mm">
                  <c:v>36836.458333334238</c:v>
                </c:pt>
                <c:pt idx="375" formatCode="m/d/yyyy\ h:mm">
                  <c:v>36836.479166667574</c:v>
                </c:pt>
                <c:pt idx="376" formatCode="m/d/yyyy\ h:mm">
                  <c:v>36836.500000000909</c:v>
                </c:pt>
                <c:pt idx="377" formatCode="m/d/yyyy\ h:mm">
                  <c:v>36836.520833334245</c:v>
                </c:pt>
                <c:pt idx="378" formatCode="m/d/yyyy\ h:mm">
                  <c:v>36836.541666667581</c:v>
                </c:pt>
                <c:pt idx="379" formatCode="m/d/yyyy\ h:mm">
                  <c:v>36836.562500000917</c:v>
                </c:pt>
                <c:pt idx="380" formatCode="m/d/yyyy\ h:mm">
                  <c:v>36836.583333334253</c:v>
                </c:pt>
                <c:pt idx="381" formatCode="m/d/yyyy\ h:mm">
                  <c:v>36836.604166667588</c:v>
                </c:pt>
                <c:pt idx="382" formatCode="m/d/yyyy\ h:mm">
                  <c:v>36836.625000000924</c:v>
                </c:pt>
                <c:pt idx="383" formatCode="m/d/yyyy\ h:mm">
                  <c:v>36836.64583333426</c:v>
                </c:pt>
                <c:pt idx="384" formatCode="m/d/yyyy\ h:mm">
                  <c:v>36836.666666667596</c:v>
                </c:pt>
                <c:pt idx="385" formatCode="m/d/yyyy\ h:mm">
                  <c:v>36836.687500000931</c:v>
                </c:pt>
                <c:pt idx="386" formatCode="m/d/yyyy\ h:mm">
                  <c:v>36836.708333334267</c:v>
                </c:pt>
                <c:pt idx="387" formatCode="m/d/yyyy\ h:mm">
                  <c:v>36836.729166667603</c:v>
                </c:pt>
                <c:pt idx="388" formatCode="m/d/yyyy\ h:mm">
                  <c:v>36836.750000000939</c:v>
                </c:pt>
                <c:pt idx="389" formatCode="m/d/yyyy\ h:mm">
                  <c:v>36836.770833334274</c:v>
                </c:pt>
                <c:pt idx="390" formatCode="m/d/yyyy\ h:mm">
                  <c:v>36836.79166666761</c:v>
                </c:pt>
                <c:pt idx="391" formatCode="m/d/yyyy\ h:mm">
                  <c:v>36836.812500000946</c:v>
                </c:pt>
                <c:pt idx="392" formatCode="m/d/yyyy\ h:mm">
                  <c:v>36836.833333334282</c:v>
                </c:pt>
                <c:pt idx="393" formatCode="m/d/yyyy\ h:mm">
                  <c:v>36836.854166667617</c:v>
                </c:pt>
                <c:pt idx="394" formatCode="m/d/yyyy\ h:mm">
                  <c:v>36836.875000000953</c:v>
                </c:pt>
                <c:pt idx="395" formatCode="m/d/yyyy\ h:mm">
                  <c:v>36836.895833334289</c:v>
                </c:pt>
                <c:pt idx="396" formatCode="m/d/yyyy\ h:mm">
                  <c:v>36836.916666667625</c:v>
                </c:pt>
                <c:pt idx="397" formatCode="m/d/yyyy\ h:mm">
                  <c:v>36836.93750000096</c:v>
                </c:pt>
                <c:pt idx="398" formatCode="m/d/yyyy\ h:mm">
                  <c:v>36836.958333334296</c:v>
                </c:pt>
                <c:pt idx="399" formatCode="m/d/yyyy\ h:mm">
                  <c:v>36836.979166667632</c:v>
                </c:pt>
                <c:pt idx="400" formatCode="m/d/yyyy\ h:mm">
                  <c:v>36837.000000000968</c:v>
                </c:pt>
                <c:pt idx="401" formatCode="m/d/yyyy\ h:mm">
                  <c:v>36837.020833334303</c:v>
                </c:pt>
                <c:pt idx="402" formatCode="m/d/yyyy\ h:mm">
                  <c:v>36837.041666667639</c:v>
                </c:pt>
                <c:pt idx="403" formatCode="m/d/yyyy\ h:mm">
                  <c:v>36837.062500000975</c:v>
                </c:pt>
                <c:pt idx="404" formatCode="m/d/yyyy\ h:mm">
                  <c:v>36837.083333334311</c:v>
                </c:pt>
                <c:pt idx="405" formatCode="m/d/yyyy\ h:mm">
                  <c:v>36837.104166667646</c:v>
                </c:pt>
                <c:pt idx="406" formatCode="m/d/yyyy\ h:mm">
                  <c:v>36837.125000000982</c:v>
                </c:pt>
                <c:pt idx="407" formatCode="m/d/yyyy\ h:mm">
                  <c:v>36837.145833334318</c:v>
                </c:pt>
                <c:pt idx="408" formatCode="m/d/yyyy\ h:mm">
                  <c:v>36837.166666667654</c:v>
                </c:pt>
                <c:pt idx="409" formatCode="m/d/yyyy\ h:mm">
                  <c:v>36837.18750000099</c:v>
                </c:pt>
                <c:pt idx="410" formatCode="m/d/yyyy\ h:mm">
                  <c:v>36837.208333334325</c:v>
                </c:pt>
                <c:pt idx="411" formatCode="m/d/yyyy\ h:mm">
                  <c:v>36837.229166667661</c:v>
                </c:pt>
                <c:pt idx="412" formatCode="m/d/yyyy\ h:mm">
                  <c:v>36837.250000000997</c:v>
                </c:pt>
                <c:pt idx="413" formatCode="m/d/yyyy\ h:mm">
                  <c:v>36837.270833334333</c:v>
                </c:pt>
                <c:pt idx="414" formatCode="m/d/yyyy\ h:mm">
                  <c:v>36837.291666667668</c:v>
                </c:pt>
                <c:pt idx="415" formatCode="m/d/yyyy\ h:mm">
                  <c:v>36837.312500001004</c:v>
                </c:pt>
                <c:pt idx="416" formatCode="m/d/yyyy\ h:mm">
                  <c:v>36837.33333333434</c:v>
                </c:pt>
                <c:pt idx="417" formatCode="m/d/yyyy\ h:mm">
                  <c:v>36837.354166667676</c:v>
                </c:pt>
                <c:pt idx="418" formatCode="m/d/yyyy\ h:mm">
                  <c:v>36837.375000001011</c:v>
                </c:pt>
                <c:pt idx="419" formatCode="m/d/yyyy\ h:mm">
                  <c:v>36837.395833334347</c:v>
                </c:pt>
                <c:pt idx="420" formatCode="m/d/yyyy\ h:mm">
                  <c:v>36837.416666667683</c:v>
                </c:pt>
                <c:pt idx="421" formatCode="m/d/yyyy\ h:mm">
                  <c:v>36837.437500001019</c:v>
                </c:pt>
                <c:pt idx="422" formatCode="m/d/yyyy\ h:mm">
                  <c:v>36837.458333334354</c:v>
                </c:pt>
                <c:pt idx="423" formatCode="m/d/yyyy\ h:mm">
                  <c:v>36837.47916666769</c:v>
                </c:pt>
                <c:pt idx="424" formatCode="m/d/yyyy\ h:mm">
                  <c:v>36837.500000001026</c:v>
                </c:pt>
                <c:pt idx="425" formatCode="m/d/yyyy\ h:mm">
                  <c:v>36837.520833334362</c:v>
                </c:pt>
                <c:pt idx="426" formatCode="m/d/yyyy\ h:mm">
                  <c:v>36837.541666667697</c:v>
                </c:pt>
                <c:pt idx="427" formatCode="m/d/yyyy\ h:mm">
                  <c:v>36837.562500001033</c:v>
                </c:pt>
                <c:pt idx="428" formatCode="m/d/yyyy\ h:mm">
                  <c:v>36837.583333334369</c:v>
                </c:pt>
                <c:pt idx="429" formatCode="m/d/yyyy\ h:mm">
                  <c:v>36837.604166667705</c:v>
                </c:pt>
                <c:pt idx="430" formatCode="m/d/yyyy\ h:mm">
                  <c:v>36837.62500000104</c:v>
                </c:pt>
                <c:pt idx="431" formatCode="m/d/yyyy\ h:mm">
                  <c:v>36837.645833334376</c:v>
                </c:pt>
                <c:pt idx="432" formatCode="m/d/yyyy\ h:mm">
                  <c:v>36837.666666667712</c:v>
                </c:pt>
                <c:pt idx="433" formatCode="m/d/yyyy\ h:mm">
                  <c:v>36837.687500001048</c:v>
                </c:pt>
                <c:pt idx="434" formatCode="m/d/yyyy\ h:mm">
                  <c:v>36837.708333334383</c:v>
                </c:pt>
                <c:pt idx="435" formatCode="m/d/yyyy\ h:mm">
                  <c:v>36837.729166667719</c:v>
                </c:pt>
                <c:pt idx="436" formatCode="m/d/yyyy\ h:mm">
                  <c:v>36837.750000001055</c:v>
                </c:pt>
                <c:pt idx="437" formatCode="m/d/yyyy\ h:mm">
                  <c:v>36837.770833334391</c:v>
                </c:pt>
                <c:pt idx="438" formatCode="m/d/yyyy\ h:mm">
                  <c:v>36837.791666667727</c:v>
                </c:pt>
                <c:pt idx="439" formatCode="m/d/yyyy\ h:mm">
                  <c:v>36837.812500001062</c:v>
                </c:pt>
                <c:pt idx="440" formatCode="m/d/yyyy\ h:mm">
                  <c:v>36837.833333334398</c:v>
                </c:pt>
                <c:pt idx="441" formatCode="m/d/yyyy\ h:mm">
                  <c:v>36837.854166667734</c:v>
                </c:pt>
                <c:pt idx="442" formatCode="m/d/yyyy\ h:mm">
                  <c:v>36837.87500000107</c:v>
                </c:pt>
                <c:pt idx="443" formatCode="m/d/yyyy\ h:mm">
                  <c:v>36837.895833334405</c:v>
                </c:pt>
                <c:pt idx="444" formatCode="m/d/yyyy\ h:mm">
                  <c:v>36837.916666667741</c:v>
                </c:pt>
                <c:pt idx="445" formatCode="m/d/yyyy\ h:mm">
                  <c:v>36837.937500001077</c:v>
                </c:pt>
                <c:pt idx="446" formatCode="m/d/yyyy\ h:mm">
                  <c:v>36837.958333334413</c:v>
                </c:pt>
                <c:pt idx="447" formatCode="m/d/yyyy\ h:mm">
                  <c:v>36837.979166667748</c:v>
                </c:pt>
                <c:pt idx="448" formatCode="m/d/yyyy\ h:mm">
                  <c:v>36838.000000001084</c:v>
                </c:pt>
                <c:pt idx="449" formatCode="m/d/yyyy\ h:mm">
                  <c:v>36838.02083333442</c:v>
                </c:pt>
                <c:pt idx="450" formatCode="m/d/yyyy\ h:mm">
                  <c:v>36838.041666667756</c:v>
                </c:pt>
                <c:pt idx="451" formatCode="m/d/yyyy\ h:mm">
                  <c:v>36838.062500001091</c:v>
                </c:pt>
                <c:pt idx="452" formatCode="m/d/yyyy\ h:mm">
                  <c:v>36838.083333334427</c:v>
                </c:pt>
                <c:pt idx="453" formatCode="m/d/yyyy\ h:mm">
                  <c:v>36838.104166667763</c:v>
                </c:pt>
                <c:pt idx="454" formatCode="m/d/yyyy\ h:mm">
                  <c:v>36838.125000001099</c:v>
                </c:pt>
                <c:pt idx="455" formatCode="m/d/yyyy\ h:mm">
                  <c:v>36838.145833334434</c:v>
                </c:pt>
                <c:pt idx="456" formatCode="m/d/yyyy\ h:mm">
                  <c:v>36838.16666666777</c:v>
                </c:pt>
                <c:pt idx="457" formatCode="m/d/yyyy\ h:mm">
                  <c:v>36838.187500001106</c:v>
                </c:pt>
                <c:pt idx="458" formatCode="m/d/yyyy\ h:mm">
                  <c:v>36838.208333334442</c:v>
                </c:pt>
                <c:pt idx="459" formatCode="m/d/yyyy\ h:mm">
                  <c:v>36838.229166667777</c:v>
                </c:pt>
                <c:pt idx="460" formatCode="m/d/yyyy\ h:mm">
                  <c:v>36838.250000001113</c:v>
                </c:pt>
                <c:pt idx="461" formatCode="m/d/yyyy\ h:mm">
                  <c:v>36838.270833334449</c:v>
                </c:pt>
                <c:pt idx="462" formatCode="m/d/yyyy\ h:mm">
                  <c:v>36838.291666667785</c:v>
                </c:pt>
                <c:pt idx="463" formatCode="m/d/yyyy\ h:mm">
                  <c:v>36838.31250000112</c:v>
                </c:pt>
                <c:pt idx="464" formatCode="m/d/yyyy\ h:mm">
                  <c:v>36838.333333334456</c:v>
                </c:pt>
                <c:pt idx="465" formatCode="m/d/yyyy\ h:mm">
                  <c:v>36838.354166667792</c:v>
                </c:pt>
                <c:pt idx="466" formatCode="m/d/yyyy\ h:mm">
                  <c:v>36838.375000001128</c:v>
                </c:pt>
                <c:pt idx="467" formatCode="m/d/yyyy\ h:mm">
                  <c:v>36838.395833334464</c:v>
                </c:pt>
                <c:pt idx="468" formatCode="m/d/yyyy\ h:mm">
                  <c:v>36838.416666667799</c:v>
                </c:pt>
                <c:pt idx="469" formatCode="m/d/yyyy\ h:mm">
                  <c:v>36838.437500001135</c:v>
                </c:pt>
                <c:pt idx="470" formatCode="m/d/yyyy\ h:mm">
                  <c:v>36838.458333334471</c:v>
                </c:pt>
                <c:pt idx="471" formatCode="m/d/yyyy\ h:mm">
                  <c:v>36838.479166667807</c:v>
                </c:pt>
                <c:pt idx="472" formatCode="m/d/yyyy\ h:mm">
                  <c:v>36838.500000001142</c:v>
                </c:pt>
                <c:pt idx="473" formatCode="m/d/yyyy\ h:mm">
                  <c:v>36838.520833334478</c:v>
                </c:pt>
                <c:pt idx="474" formatCode="m/d/yyyy\ h:mm">
                  <c:v>36838.541666667814</c:v>
                </c:pt>
                <c:pt idx="475" formatCode="m/d/yyyy\ h:mm">
                  <c:v>36838.56250000115</c:v>
                </c:pt>
                <c:pt idx="476" formatCode="m/d/yyyy\ h:mm">
                  <c:v>36838.583333334485</c:v>
                </c:pt>
                <c:pt idx="477" formatCode="m/d/yyyy\ h:mm">
                  <c:v>36838.604166667821</c:v>
                </c:pt>
                <c:pt idx="478" formatCode="m/d/yyyy\ h:mm">
                  <c:v>36838.625000001157</c:v>
                </c:pt>
                <c:pt idx="479" formatCode="m/d/yyyy\ h:mm">
                  <c:v>36838.645833334493</c:v>
                </c:pt>
                <c:pt idx="480" formatCode="m/d/yyyy\ h:mm">
                  <c:v>36838.666666667828</c:v>
                </c:pt>
                <c:pt idx="481" formatCode="m/d/yyyy\ h:mm">
                  <c:v>36838.687500001164</c:v>
                </c:pt>
                <c:pt idx="482" formatCode="m/d/yyyy\ h:mm">
                  <c:v>36838.7083333345</c:v>
                </c:pt>
                <c:pt idx="483" formatCode="m/d/yyyy\ h:mm">
                  <c:v>36838.729166667836</c:v>
                </c:pt>
                <c:pt idx="484" formatCode="m/d/yyyy\ h:mm">
                  <c:v>36838.750000001171</c:v>
                </c:pt>
                <c:pt idx="485" formatCode="m/d/yyyy\ h:mm">
                  <c:v>36838.770833334507</c:v>
                </c:pt>
                <c:pt idx="486" formatCode="m/d/yyyy\ h:mm">
                  <c:v>36838.791666667843</c:v>
                </c:pt>
                <c:pt idx="487" formatCode="m/d/yyyy\ h:mm">
                  <c:v>36838.812500001179</c:v>
                </c:pt>
                <c:pt idx="488" formatCode="m/d/yyyy\ h:mm">
                  <c:v>36838.833333334514</c:v>
                </c:pt>
                <c:pt idx="489" formatCode="m/d/yyyy\ h:mm">
                  <c:v>36838.85416666785</c:v>
                </c:pt>
                <c:pt idx="490" formatCode="m/d/yyyy\ h:mm">
                  <c:v>36838.875000001186</c:v>
                </c:pt>
                <c:pt idx="491" formatCode="m/d/yyyy\ h:mm">
                  <c:v>36838.895833334522</c:v>
                </c:pt>
                <c:pt idx="492" formatCode="m/d/yyyy\ h:mm">
                  <c:v>36838.916666667857</c:v>
                </c:pt>
                <c:pt idx="493" formatCode="m/d/yyyy\ h:mm">
                  <c:v>36838.937500001193</c:v>
                </c:pt>
                <c:pt idx="494" formatCode="m/d/yyyy\ h:mm">
                  <c:v>36838.958333334529</c:v>
                </c:pt>
                <c:pt idx="495" formatCode="m/d/yyyy\ h:mm">
                  <c:v>36838.979166667865</c:v>
                </c:pt>
                <c:pt idx="496" formatCode="m/d/yyyy\ h:mm">
                  <c:v>36839.000000001201</c:v>
                </c:pt>
                <c:pt idx="497" formatCode="m/d/yyyy\ h:mm">
                  <c:v>36839.020833334536</c:v>
                </c:pt>
                <c:pt idx="498" formatCode="m/d/yyyy\ h:mm">
                  <c:v>36839.041666667872</c:v>
                </c:pt>
                <c:pt idx="499" formatCode="m/d/yyyy\ h:mm">
                  <c:v>36839.062500001208</c:v>
                </c:pt>
                <c:pt idx="500" formatCode="m/d/yyyy\ h:mm">
                  <c:v>36839.083333334544</c:v>
                </c:pt>
                <c:pt idx="501" formatCode="m/d/yyyy\ h:mm">
                  <c:v>36839.104166667879</c:v>
                </c:pt>
                <c:pt idx="502" formatCode="m/d/yyyy\ h:mm">
                  <c:v>36839.125000001215</c:v>
                </c:pt>
                <c:pt idx="503" formatCode="m/d/yyyy\ h:mm">
                  <c:v>36839.145833334551</c:v>
                </c:pt>
                <c:pt idx="504" formatCode="m/d/yyyy\ h:mm">
                  <c:v>36839.166666667887</c:v>
                </c:pt>
                <c:pt idx="505" formatCode="m/d/yyyy\ h:mm">
                  <c:v>36839.187500001222</c:v>
                </c:pt>
                <c:pt idx="506" formatCode="m/d/yyyy\ h:mm">
                  <c:v>36839.208333334558</c:v>
                </c:pt>
                <c:pt idx="507" formatCode="m/d/yyyy\ h:mm">
                  <c:v>36839.229166667894</c:v>
                </c:pt>
                <c:pt idx="508" formatCode="m/d/yyyy\ h:mm">
                  <c:v>36839.25000000123</c:v>
                </c:pt>
                <c:pt idx="509" formatCode="m/d/yyyy\ h:mm">
                  <c:v>36839.270833334565</c:v>
                </c:pt>
                <c:pt idx="510" formatCode="m/d/yyyy\ h:mm">
                  <c:v>36839.291666667901</c:v>
                </c:pt>
                <c:pt idx="511" formatCode="m/d/yyyy\ h:mm">
                  <c:v>36839.312500001237</c:v>
                </c:pt>
                <c:pt idx="512" formatCode="m/d/yyyy\ h:mm">
                  <c:v>36839.333333334573</c:v>
                </c:pt>
                <c:pt idx="513" formatCode="m/d/yyyy\ h:mm">
                  <c:v>36839.354166667908</c:v>
                </c:pt>
                <c:pt idx="514" formatCode="m/d/yyyy\ h:mm">
                  <c:v>36839.375000001244</c:v>
                </c:pt>
                <c:pt idx="515" formatCode="m/d/yyyy\ h:mm">
                  <c:v>36839.39583333458</c:v>
                </c:pt>
                <c:pt idx="516" formatCode="m/d/yyyy\ h:mm">
                  <c:v>36839.416666667916</c:v>
                </c:pt>
                <c:pt idx="517" formatCode="m/d/yyyy\ h:mm">
                  <c:v>36839.437500001251</c:v>
                </c:pt>
                <c:pt idx="518" formatCode="m/d/yyyy\ h:mm">
                  <c:v>36839.458333334587</c:v>
                </c:pt>
                <c:pt idx="519" formatCode="m/d/yyyy\ h:mm">
                  <c:v>36839.479166667923</c:v>
                </c:pt>
                <c:pt idx="520" formatCode="m/d/yyyy\ h:mm">
                  <c:v>36839.500000001259</c:v>
                </c:pt>
                <c:pt idx="521" formatCode="m/d/yyyy\ h:mm">
                  <c:v>36839.520833334594</c:v>
                </c:pt>
                <c:pt idx="522" formatCode="m/d/yyyy\ h:mm">
                  <c:v>36839.54166666793</c:v>
                </c:pt>
                <c:pt idx="523" formatCode="m/d/yyyy\ h:mm">
                  <c:v>36839.562500001266</c:v>
                </c:pt>
                <c:pt idx="524" formatCode="m/d/yyyy\ h:mm">
                  <c:v>36839.583333334602</c:v>
                </c:pt>
                <c:pt idx="525" formatCode="m/d/yyyy\ h:mm">
                  <c:v>36839.604166667938</c:v>
                </c:pt>
                <c:pt idx="526" formatCode="m/d/yyyy\ h:mm">
                  <c:v>36839.625000001273</c:v>
                </c:pt>
                <c:pt idx="527" formatCode="m/d/yyyy\ h:mm">
                  <c:v>36839.645833334609</c:v>
                </c:pt>
                <c:pt idx="528" formatCode="m/d/yyyy\ h:mm">
                  <c:v>36839.666666667945</c:v>
                </c:pt>
                <c:pt idx="529" formatCode="m/d/yyyy\ h:mm">
                  <c:v>36839.687500001281</c:v>
                </c:pt>
                <c:pt idx="530" formatCode="m/d/yyyy\ h:mm">
                  <c:v>36839.708333334616</c:v>
                </c:pt>
                <c:pt idx="531" formatCode="m/d/yyyy\ h:mm">
                  <c:v>36839.729166667952</c:v>
                </c:pt>
                <c:pt idx="532" formatCode="m/d/yyyy\ h:mm">
                  <c:v>36839.750000001288</c:v>
                </c:pt>
                <c:pt idx="533" formatCode="m/d/yyyy\ h:mm">
                  <c:v>36839.770833334624</c:v>
                </c:pt>
                <c:pt idx="534" formatCode="m/d/yyyy\ h:mm">
                  <c:v>36839.791666667959</c:v>
                </c:pt>
                <c:pt idx="535" formatCode="m/d/yyyy\ h:mm">
                  <c:v>36839.812500001295</c:v>
                </c:pt>
                <c:pt idx="536" formatCode="m/d/yyyy\ h:mm">
                  <c:v>36839.833333334631</c:v>
                </c:pt>
                <c:pt idx="537" formatCode="m/d/yyyy\ h:mm">
                  <c:v>36839.854166667967</c:v>
                </c:pt>
                <c:pt idx="538" formatCode="m/d/yyyy\ h:mm">
                  <c:v>36839.875000001302</c:v>
                </c:pt>
                <c:pt idx="539" formatCode="m/d/yyyy\ h:mm">
                  <c:v>36839.895833334638</c:v>
                </c:pt>
                <c:pt idx="540" formatCode="m/d/yyyy\ h:mm">
                  <c:v>36839.916666667974</c:v>
                </c:pt>
                <c:pt idx="541" formatCode="m/d/yyyy\ h:mm">
                  <c:v>36839.93750000131</c:v>
                </c:pt>
                <c:pt idx="542" formatCode="m/d/yyyy\ h:mm">
                  <c:v>36839.958333334645</c:v>
                </c:pt>
                <c:pt idx="543" formatCode="m/d/yyyy\ h:mm">
                  <c:v>36839.979166667981</c:v>
                </c:pt>
                <c:pt idx="544" formatCode="m/d/yyyy\ h:mm">
                  <c:v>36840.000000001317</c:v>
                </c:pt>
                <c:pt idx="545" formatCode="m/d/yyyy\ h:mm">
                  <c:v>36840.020833334653</c:v>
                </c:pt>
                <c:pt idx="546" formatCode="m/d/yyyy\ h:mm">
                  <c:v>36840.041666667988</c:v>
                </c:pt>
                <c:pt idx="547" formatCode="m/d/yyyy\ h:mm">
                  <c:v>36840.062500001324</c:v>
                </c:pt>
                <c:pt idx="548" formatCode="m/d/yyyy\ h:mm">
                  <c:v>36840.08333333466</c:v>
                </c:pt>
                <c:pt idx="549" formatCode="m/d/yyyy\ h:mm">
                  <c:v>36840.104166667996</c:v>
                </c:pt>
                <c:pt idx="550" formatCode="m/d/yyyy\ h:mm">
                  <c:v>36840.125000001332</c:v>
                </c:pt>
                <c:pt idx="551" formatCode="m/d/yyyy\ h:mm">
                  <c:v>36840.145833334667</c:v>
                </c:pt>
                <c:pt idx="552" formatCode="m/d/yyyy\ h:mm">
                  <c:v>36840.166666668003</c:v>
                </c:pt>
                <c:pt idx="553" formatCode="m/d/yyyy\ h:mm">
                  <c:v>36840.187500001339</c:v>
                </c:pt>
                <c:pt idx="554" formatCode="m/d/yyyy\ h:mm">
                  <c:v>36840.208333334675</c:v>
                </c:pt>
                <c:pt idx="555" formatCode="m/d/yyyy\ h:mm">
                  <c:v>36840.22916666801</c:v>
                </c:pt>
                <c:pt idx="556" formatCode="m/d/yyyy\ h:mm">
                  <c:v>36840.250000001346</c:v>
                </c:pt>
                <c:pt idx="557" formatCode="m/d/yyyy\ h:mm">
                  <c:v>36840.270833334682</c:v>
                </c:pt>
                <c:pt idx="558" formatCode="m/d/yyyy\ h:mm">
                  <c:v>36840.291666668018</c:v>
                </c:pt>
                <c:pt idx="559" formatCode="m/d/yyyy\ h:mm">
                  <c:v>36840.312500001353</c:v>
                </c:pt>
                <c:pt idx="560" formatCode="m/d/yyyy\ h:mm">
                  <c:v>36840.333333334689</c:v>
                </c:pt>
                <c:pt idx="561" formatCode="m/d/yyyy\ h:mm">
                  <c:v>36840.354166668025</c:v>
                </c:pt>
                <c:pt idx="562" formatCode="m/d/yyyy\ h:mm">
                  <c:v>36840.375000001361</c:v>
                </c:pt>
                <c:pt idx="563" formatCode="m/d/yyyy\ h:mm">
                  <c:v>36840.395833334696</c:v>
                </c:pt>
                <c:pt idx="564" formatCode="m/d/yyyy\ h:mm">
                  <c:v>36840.416666668032</c:v>
                </c:pt>
                <c:pt idx="565" formatCode="m/d/yyyy\ h:mm">
                  <c:v>36840.437500001368</c:v>
                </c:pt>
                <c:pt idx="566" formatCode="m/d/yyyy\ h:mm">
                  <c:v>36840.458333334704</c:v>
                </c:pt>
                <c:pt idx="567" formatCode="m/d/yyyy\ h:mm">
                  <c:v>36840.479166668039</c:v>
                </c:pt>
                <c:pt idx="568" formatCode="m/d/yyyy\ h:mm">
                  <c:v>36840.500000001375</c:v>
                </c:pt>
                <c:pt idx="569" formatCode="m/d/yyyy\ h:mm">
                  <c:v>36840.520833334711</c:v>
                </c:pt>
                <c:pt idx="570" formatCode="m/d/yyyy\ h:mm">
                  <c:v>36840.541666668047</c:v>
                </c:pt>
                <c:pt idx="571" formatCode="m/d/yyyy\ h:mm">
                  <c:v>36840.562500001382</c:v>
                </c:pt>
                <c:pt idx="572" formatCode="m/d/yyyy\ h:mm">
                  <c:v>36840.583333334718</c:v>
                </c:pt>
                <c:pt idx="573" formatCode="m/d/yyyy\ h:mm">
                  <c:v>36840.604166668054</c:v>
                </c:pt>
                <c:pt idx="574" formatCode="m/d/yyyy\ h:mm">
                  <c:v>36840.62500000139</c:v>
                </c:pt>
                <c:pt idx="575" formatCode="m/d/yyyy\ h:mm">
                  <c:v>36840.645833334725</c:v>
                </c:pt>
                <c:pt idx="576" formatCode="m/d/yyyy\ h:mm">
                  <c:v>36840.666666668061</c:v>
                </c:pt>
                <c:pt idx="577" formatCode="m/d/yyyy\ h:mm">
                  <c:v>36840.687500001397</c:v>
                </c:pt>
                <c:pt idx="578" formatCode="m/d/yyyy\ h:mm">
                  <c:v>36840.708333334733</c:v>
                </c:pt>
                <c:pt idx="579" formatCode="m/d/yyyy\ h:mm">
                  <c:v>36840.729166668069</c:v>
                </c:pt>
                <c:pt idx="580" formatCode="m/d/yyyy\ h:mm">
                  <c:v>36840.750000001404</c:v>
                </c:pt>
                <c:pt idx="581" formatCode="m/d/yyyy\ h:mm">
                  <c:v>36840.77083333474</c:v>
                </c:pt>
                <c:pt idx="582" formatCode="m/d/yyyy\ h:mm">
                  <c:v>36840.791666668076</c:v>
                </c:pt>
                <c:pt idx="583" formatCode="m/d/yyyy\ h:mm">
                  <c:v>36840.812500001412</c:v>
                </c:pt>
                <c:pt idx="584" formatCode="m/d/yyyy\ h:mm">
                  <c:v>36840.833333334747</c:v>
                </c:pt>
                <c:pt idx="585" formatCode="m/d/yyyy\ h:mm">
                  <c:v>36840.854166668083</c:v>
                </c:pt>
                <c:pt idx="586" formatCode="m/d/yyyy\ h:mm">
                  <c:v>36840.875000001419</c:v>
                </c:pt>
                <c:pt idx="587" formatCode="m/d/yyyy\ h:mm">
                  <c:v>36840.895833334755</c:v>
                </c:pt>
                <c:pt idx="588" formatCode="m/d/yyyy\ h:mm">
                  <c:v>36840.91666666809</c:v>
                </c:pt>
                <c:pt idx="589" formatCode="m/d/yyyy\ h:mm">
                  <c:v>36840.937500001426</c:v>
                </c:pt>
                <c:pt idx="590" formatCode="m/d/yyyy\ h:mm">
                  <c:v>36840.958333334762</c:v>
                </c:pt>
                <c:pt idx="591" formatCode="m/d/yyyy\ h:mm">
                  <c:v>36840.979166668098</c:v>
                </c:pt>
                <c:pt idx="592" formatCode="m/d/yyyy\ h:mm">
                  <c:v>36841.000000001433</c:v>
                </c:pt>
                <c:pt idx="593" formatCode="m/d/yyyy\ h:mm">
                  <c:v>36841.020833334769</c:v>
                </c:pt>
                <c:pt idx="594" formatCode="m/d/yyyy\ h:mm">
                  <c:v>36841.041666668105</c:v>
                </c:pt>
                <c:pt idx="595" formatCode="m/d/yyyy\ h:mm">
                  <c:v>36841.062500001441</c:v>
                </c:pt>
                <c:pt idx="596" formatCode="m/d/yyyy\ h:mm">
                  <c:v>36841.083333334776</c:v>
                </c:pt>
                <c:pt idx="597" formatCode="m/d/yyyy\ h:mm">
                  <c:v>36841.104166668112</c:v>
                </c:pt>
                <c:pt idx="598" formatCode="m/d/yyyy\ h:mm">
                  <c:v>36841.125000001448</c:v>
                </c:pt>
                <c:pt idx="599" formatCode="m/d/yyyy\ h:mm">
                  <c:v>36841.145833334784</c:v>
                </c:pt>
                <c:pt idx="600" formatCode="m/d/yyyy\ h:mm">
                  <c:v>36841.166666668119</c:v>
                </c:pt>
                <c:pt idx="601" formatCode="m/d/yyyy\ h:mm">
                  <c:v>36841.187500001455</c:v>
                </c:pt>
                <c:pt idx="602" formatCode="m/d/yyyy\ h:mm">
                  <c:v>36841.208333334791</c:v>
                </c:pt>
                <c:pt idx="603" formatCode="m/d/yyyy\ h:mm">
                  <c:v>36841.229166668127</c:v>
                </c:pt>
                <c:pt idx="604" formatCode="m/d/yyyy\ h:mm">
                  <c:v>36841.250000001462</c:v>
                </c:pt>
                <c:pt idx="605" formatCode="m/d/yyyy\ h:mm">
                  <c:v>36841.270833334798</c:v>
                </c:pt>
                <c:pt idx="606" formatCode="m/d/yyyy\ h:mm">
                  <c:v>36841.291666668134</c:v>
                </c:pt>
                <c:pt idx="607" formatCode="m/d/yyyy\ h:mm">
                  <c:v>36841.31250000147</c:v>
                </c:pt>
                <c:pt idx="608" formatCode="m/d/yyyy\ h:mm">
                  <c:v>36841.333333334806</c:v>
                </c:pt>
                <c:pt idx="609" formatCode="m/d/yyyy\ h:mm">
                  <c:v>36841.354166668141</c:v>
                </c:pt>
                <c:pt idx="610" formatCode="m/d/yyyy\ h:mm">
                  <c:v>36841.375000001477</c:v>
                </c:pt>
                <c:pt idx="611" formatCode="m/d/yyyy\ h:mm">
                  <c:v>36841.395833334813</c:v>
                </c:pt>
                <c:pt idx="612" formatCode="m/d/yyyy\ h:mm">
                  <c:v>36841.416666668149</c:v>
                </c:pt>
                <c:pt idx="613" formatCode="m/d/yyyy\ h:mm">
                  <c:v>36841.437500001484</c:v>
                </c:pt>
                <c:pt idx="614" formatCode="m/d/yyyy\ h:mm">
                  <c:v>36841.45833333482</c:v>
                </c:pt>
                <c:pt idx="615" formatCode="m/d/yyyy\ h:mm">
                  <c:v>36841.479166668156</c:v>
                </c:pt>
                <c:pt idx="616" formatCode="m/d/yyyy\ h:mm">
                  <c:v>36841.500000001492</c:v>
                </c:pt>
                <c:pt idx="617" formatCode="m/d/yyyy\ h:mm">
                  <c:v>36841.520833334827</c:v>
                </c:pt>
                <c:pt idx="618" formatCode="m/d/yyyy\ h:mm">
                  <c:v>36841.541666668163</c:v>
                </c:pt>
                <c:pt idx="619" formatCode="m/d/yyyy\ h:mm">
                  <c:v>36841.562500001499</c:v>
                </c:pt>
                <c:pt idx="620" formatCode="m/d/yyyy\ h:mm">
                  <c:v>36841.583333334835</c:v>
                </c:pt>
                <c:pt idx="621" formatCode="m/d/yyyy\ h:mm">
                  <c:v>36841.60416666817</c:v>
                </c:pt>
                <c:pt idx="622" formatCode="m/d/yyyy\ h:mm">
                  <c:v>36841.625000001506</c:v>
                </c:pt>
                <c:pt idx="623" formatCode="m/d/yyyy\ h:mm">
                  <c:v>36841.645833334842</c:v>
                </c:pt>
                <c:pt idx="624" formatCode="m/d/yyyy\ h:mm">
                  <c:v>36841.666666668178</c:v>
                </c:pt>
                <c:pt idx="625" formatCode="m/d/yyyy\ h:mm">
                  <c:v>36841.687500001513</c:v>
                </c:pt>
                <c:pt idx="626" formatCode="m/d/yyyy\ h:mm">
                  <c:v>36841.708333334849</c:v>
                </c:pt>
                <c:pt idx="627" formatCode="m/d/yyyy\ h:mm">
                  <c:v>36841.729166668185</c:v>
                </c:pt>
                <c:pt idx="628" formatCode="m/d/yyyy\ h:mm">
                  <c:v>36841.750000001521</c:v>
                </c:pt>
                <c:pt idx="629" formatCode="m/d/yyyy\ h:mm">
                  <c:v>36841.770833334856</c:v>
                </c:pt>
                <c:pt idx="630" formatCode="m/d/yyyy\ h:mm">
                  <c:v>36841.791666668192</c:v>
                </c:pt>
                <c:pt idx="631" formatCode="m/d/yyyy\ h:mm">
                  <c:v>36841.812500001528</c:v>
                </c:pt>
                <c:pt idx="632" formatCode="m/d/yyyy\ h:mm">
                  <c:v>36841.833333334864</c:v>
                </c:pt>
                <c:pt idx="633" formatCode="m/d/yyyy\ h:mm">
                  <c:v>36841.854166668199</c:v>
                </c:pt>
                <c:pt idx="634" formatCode="m/d/yyyy\ h:mm">
                  <c:v>36841.875000001535</c:v>
                </c:pt>
                <c:pt idx="635" formatCode="m/d/yyyy\ h:mm">
                  <c:v>36841.895833334871</c:v>
                </c:pt>
                <c:pt idx="636" formatCode="m/d/yyyy\ h:mm">
                  <c:v>36841.916666668207</c:v>
                </c:pt>
                <c:pt idx="637" formatCode="m/d/yyyy\ h:mm">
                  <c:v>36841.937500001543</c:v>
                </c:pt>
                <c:pt idx="638" formatCode="m/d/yyyy\ h:mm">
                  <c:v>36841.958333334878</c:v>
                </c:pt>
                <c:pt idx="639" formatCode="m/d/yyyy\ h:mm">
                  <c:v>36841.979166668214</c:v>
                </c:pt>
                <c:pt idx="640" formatCode="m/d/yyyy\ h:mm">
                  <c:v>36842.00000000155</c:v>
                </c:pt>
                <c:pt idx="641" formatCode="m/d/yyyy\ h:mm">
                  <c:v>36842.020833334886</c:v>
                </c:pt>
                <c:pt idx="642" formatCode="m/d/yyyy\ h:mm">
                  <c:v>36842.041666668221</c:v>
                </c:pt>
                <c:pt idx="643" formatCode="m/d/yyyy\ h:mm">
                  <c:v>36842.062500001557</c:v>
                </c:pt>
                <c:pt idx="644" formatCode="m/d/yyyy\ h:mm">
                  <c:v>36842.083333334893</c:v>
                </c:pt>
                <c:pt idx="645" formatCode="m/d/yyyy\ h:mm">
                  <c:v>36842.104166668229</c:v>
                </c:pt>
                <c:pt idx="646" formatCode="m/d/yyyy\ h:mm">
                  <c:v>36842.125000001564</c:v>
                </c:pt>
                <c:pt idx="647" formatCode="m/d/yyyy\ h:mm">
                  <c:v>36842.1458333349</c:v>
                </c:pt>
                <c:pt idx="648" formatCode="m/d/yyyy\ h:mm">
                  <c:v>36842.166666668236</c:v>
                </c:pt>
                <c:pt idx="649" formatCode="m/d/yyyy\ h:mm">
                  <c:v>36842.187500001572</c:v>
                </c:pt>
                <c:pt idx="650" formatCode="m/d/yyyy\ h:mm">
                  <c:v>36842.208333334907</c:v>
                </c:pt>
                <c:pt idx="651" formatCode="m/d/yyyy\ h:mm">
                  <c:v>36842.229166668243</c:v>
                </c:pt>
                <c:pt idx="652" formatCode="m/d/yyyy\ h:mm">
                  <c:v>36842.250000001579</c:v>
                </c:pt>
                <c:pt idx="653" formatCode="m/d/yyyy\ h:mm">
                  <c:v>36842.270833334915</c:v>
                </c:pt>
                <c:pt idx="654" formatCode="m/d/yyyy\ h:mm">
                  <c:v>36842.29166666825</c:v>
                </c:pt>
                <c:pt idx="655" formatCode="m/d/yyyy\ h:mm">
                  <c:v>36842.312500001586</c:v>
                </c:pt>
                <c:pt idx="656" formatCode="m/d/yyyy\ h:mm">
                  <c:v>36842.333333334922</c:v>
                </c:pt>
                <c:pt idx="657" formatCode="m/d/yyyy\ h:mm">
                  <c:v>36842.354166668258</c:v>
                </c:pt>
                <c:pt idx="658" formatCode="m/d/yyyy\ h:mm">
                  <c:v>36842.375000001593</c:v>
                </c:pt>
                <c:pt idx="659" formatCode="m/d/yyyy\ h:mm">
                  <c:v>36842.395833334929</c:v>
                </c:pt>
                <c:pt idx="660" formatCode="m/d/yyyy\ h:mm">
                  <c:v>36842.416666668265</c:v>
                </c:pt>
                <c:pt idx="661" formatCode="m/d/yyyy\ h:mm">
                  <c:v>36842.437500001601</c:v>
                </c:pt>
                <c:pt idx="662" formatCode="m/d/yyyy\ h:mm">
                  <c:v>36842.458333334936</c:v>
                </c:pt>
                <c:pt idx="663" formatCode="m/d/yyyy\ h:mm">
                  <c:v>36842.479166668272</c:v>
                </c:pt>
                <c:pt idx="664" formatCode="m/d/yyyy\ h:mm">
                  <c:v>36842.500000001608</c:v>
                </c:pt>
                <c:pt idx="665" formatCode="m/d/yyyy\ h:mm">
                  <c:v>36842.520833334944</c:v>
                </c:pt>
                <c:pt idx="666" formatCode="m/d/yyyy\ h:mm">
                  <c:v>36842.54166666828</c:v>
                </c:pt>
                <c:pt idx="667" formatCode="m/d/yyyy\ h:mm">
                  <c:v>36842.562500001615</c:v>
                </c:pt>
                <c:pt idx="668" formatCode="m/d/yyyy\ h:mm">
                  <c:v>36842.583333334951</c:v>
                </c:pt>
                <c:pt idx="669" formatCode="m/d/yyyy\ h:mm">
                  <c:v>36842.604166668287</c:v>
                </c:pt>
                <c:pt idx="670" formatCode="m/d/yyyy\ h:mm">
                  <c:v>36842.625000001623</c:v>
                </c:pt>
                <c:pt idx="671" formatCode="m/d/yyyy\ h:mm">
                  <c:v>36842.645833334958</c:v>
                </c:pt>
                <c:pt idx="672" formatCode="m/d/yyyy\ h:mm">
                  <c:v>36842.666666668294</c:v>
                </c:pt>
                <c:pt idx="673" formatCode="m/d/yyyy\ h:mm">
                  <c:v>36842.68750000163</c:v>
                </c:pt>
                <c:pt idx="674" formatCode="m/d/yyyy\ h:mm">
                  <c:v>36842.708333334966</c:v>
                </c:pt>
                <c:pt idx="675" formatCode="m/d/yyyy\ h:mm">
                  <c:v>36842.729166668301</c:v>
                </c:pt>
                <c:pt idx="676" formatCode="m/d/yyyy\ h:mm">
                  <c:v>36842.750000001637</c:v>
                </c:pt>
                <c:pt idx="677" formatCode="m/d/yyyy\ h:mm">
                  <c:v>36842.770833334973</c:v>
                </c:pt>
                <c:pt idx="678" formatCode="m/d/yyyy\ h:mm">
                  <c:v>36842.791666668309</c:v>
                </c:pt>
                <c:pt idx="679" formatCode="m/d/yyyy\ h:mm">
                  <c:v>36842.812500001644</c:v>
                </c:pt>
                <c:pt idx="680" formatCode="m/d/yyyy\ h:mm">
                  <c:v>36842.83333333498</c:v>
                </c:pt>
                <c:pt idx="681" formatCode="m/d/yyyy\ h:mm">
                  <c:v>36842.854166668316</c:v>
                </c:pt>
                <c:pt idx="682" formatCode="m/d/yyyy\ h:mm">
                  <c:v>36842.875000001652</c:v>
                </c:pt>
                <c:pt idx="683" formatCode="m/d/yyyy\ h:mm">
                  <c:v>36842.895833334987</c:v>
                </c:pt>
                <c:pt idx="684" formatCode="m/d/yyyy\ h:mm">
                  <c:v>36842.916666668323</c:v>
                </c:pt>
                <c:pt idx="685" formatCode="m/d/yyyy\ h:mm">
                  <c:v>36842.937500001659</c:v>
                </c:pt>
                <c:pt idx="686" formatCode="m/d/yyyy\ h:mm">
                  <c:v>36842.958333334995</c:v>
                </c:pt>
                <c:pt idx="687" formatCode="m/d/yyyy\ h:mm">
                  <c:v>36842.97916666833</c:v>
                </c:pt>
                <c:pt idx="688" formatCode="m/d/yyyy\ h:mm">
                  <c:v>36843.000000001666</c:v>
                </c:pt>
                <c:pt idx="689" formatCode="m/d/yyyy\ h:mm">
                  <c:v>36843.020833335002</c:v>
                </c:pt>
                <c:pt idx="690" formatCode="m/d/yyyy\ h:mm">
                  <c:v>36843.041666668338</c:v>
                </c:pt>
                <c:pt idx="691" formatCode="m/d/yyyy\ h:mm">
                  <c:v>36843.062500001673</c:v>
                </c:pt>
                <c:pt idx="692" formatCode="m/d/yyyy\ h:mm">
                  <c:v>36843.083333335009</c:v>
                </c:pt>
                <c:pt idx="693" formatCode="m/d/yyyy\ h:mm">
                  <c:v>36843.104166668345</c:v>
                </c:pt>
                <c:pt idx="694" formatCode="m/d/yyyy\ h:mm">
                  <c:v>36843.125000001681</c:v>
                </c:pt>
                <c:pt idx="695" formatCode="m/d/yyyy\ h:mm">
                  <c:v>36843.145833335017</c:v>
                </c:pt>
                <c:pt idx="696" formatCode="m/d/yyyy\ h:mm">
                  <c:v>36843.166666668352</c:v>
                </c:pt>
                <c:pt idx="697" formatCode="m/d/yyyy\ h:mm">
                  <c:v>36843.187500001688</c:v>
                </c:pt>
                <c:pt idx="698" formatCode="m/d/yyyy\ h:mm">
                  <c:v>36843.208333335024</c:v>
                </c:pt>
                <c:pt idx="699" formatCode="m/d/yyyy\ h:mm">
                  <c:v>36843.22916666836</c:v>
                </c:pt>
                <c:pt idx="700" formatCode="m/d/yyyy\ h:mm">
                  <c:v>36843.250000001695</c:v>
                </c:pt>
                <c:pt idx="701" formatCode="m/d/yyyy\ h:mm">
                  <c:v>36843.270833335031</c:v>
                </c:pt>
                <c:pt idx="702" formatCode="m/d/yyyy\ h:mm">
                  <c:v>36843.291666668367</c:v>
                </c:pt>
                <c:pt idx="703" formatCode="m/d/yyyy\ h:mm">
                  <c:v>36843.312500001703</c:v>
                </c:pt>
                <c:pt idx="704" formatCode="m/d/yyyy\ h:mm">
                  <c:v>36843.333333335038</c:v>
                </c:pt>
                <c:pt idx="705" formatCode="m/d/yyyy\ h:mm">
                  <c:v>36843.354166668374</c:v>
                </c:pt>
                <c:pt idx="706" formatCode="m/d/yyyy\ h:mm">
                  <c:v>36843.37500000171</c:v>
                </c:pt>
                <c:pt idx="707" formatCode="m/d/yyyy\ h:mm">
                  <c:v>36843.395833335046</c:v>
                </c:pt>
                <c:pt idx="708" formatCode="m/d/yyyy\ h:mm">
                  <c:v>36843.416666668381</c:v>
                </c:pt>
                <c:pt idx="709" formatCode="m/d/yyyy\ h:mm">
                  <c:v>36843.437500001717</c:v>
                </c:pt>
                <c:pt idx="710" formatCode="m/d/yyyy\ h:mm">
                  <c:v>36843.458333335053</c:v>
                </c:pt>
                <c:pt idx="711" formatCode="m/d/yyyy\ h:mm">
                  <c:v>36843.479166668389</c:v>
                </c:pt>
                <c:pt idx="712" formatCode="m/d/yyyy\ h:mm">
                  <c:v>36843.500000001724</c:v>
                </c:pt>
                <c:pt idx="713" formatCode="m/d/yyyy\ h:mm">
                  <c:v>36843.52083333506</c:v>
                </c:pt>
                <c:pt idx="714" formatCode="m/d/yyyy\ h:mm">
                  <c:v>36843.541666668396</c:v>
                </c:pt>
                <c:pt idx="715" formatCode="m/d/yyyy\ h:mm">
                  <c:v>36843.562500001732</c:v>
                </c:pt>
                <c:pt idx="716" formatCode="m/d/yyyy\ h:mm">
                  <c:v>36843.583333335067</c:v>
                </c:pt>
                <c:pt idx="717" formatCode="m/d/yyyy\ h:mm">
                  <c:v>36843.604166668403</c:v>
                </c:pt>
                <c:pt idx="718" formatCode="m/d/yyyy\ h:mm">
                  <c:v>36843.625000001739</c:v>
                </c:pt>
                <c:pt idx="719" formatCode="m/d/yyyy\ h:mm">
                  <c:v>36843.645833335075</c:v>
                </c:pt>
                <c:pt idx="720" formatCode="m/d/yyyy\ h:mm">
                  <c:v>36843.66666666841</c:v>
                </c:pt>
                <c:pt idx="721" formatCode="m/d/yyyy\ h:mm">
                  <c:v>36843.687500001746</c:v>
                </c:pt>
                <c:pt idx="722" formatCode="m/d/yyyy\ h:mm">
                  <c:v>36843.708333335082</c:v>
                </c:pt>
                <c:pt idx="723" formatCode="m/d/yyyy\ h:mm">
                  <c:v>36843.729166668418</c:v>
                </c:pt>
                <c:pt idx="724" formatCode="m/d/yyyy\ h:mm">
                  <c:v>36843.750000001754</c:v>
                </c:pt>
                <c:pt idx="725" formatCode="m/d/yyyy\ h:mm">
                  <c:v>36843.770833335089</c:v>
                </c:pt>
                <c:pt idx="726" formatCode="m/d/yyyy\ h:mm">
                  <c:v>36843.791666668425</c:v>
                </c:pt>
                <c:pt idx="727" formatCode="m/d/yyyy\ h:mm">
                  <c:v>36843.812500001761</c:v>
                </c:pt>
                <c:pt idx="728" formatCode="m/d/yyyy\ h:mm">
                  <c:v>36843.833333335097</c:v>
                </c:pt>
                <c:pt idx="729" formatCode="m/d/yyyy\ h:mm">
                  <c:v>36843.854166666664</c:v>
                </c:pt>
                <c:pt idx="730" formatCode="m/d/yyyy\ h:mm">
                  <c:v>36843.875</c:v>
                </c:pt>
                <c:pt idx="731" formatCode="m/d/yyyy\ h:mm">
                  <c:v>36843.895833333336</c:v>
                </c:pt>
                <c:pt idx="732" formatCode="m/d/yyyy\ h:mm">
                  <c:v>36843.916666666672</c:v>
                </c:pt>
                <c:pt idx="733" formatCode="m/d/yyyy\ h:mm">
                  <c:v>36843.937500000007</c:v>
                </c:pt>
                <c:pt idx="734" formatCode="m/d/yyyy\ h:mm">
                  <c:v>36843.958333333343</c:v>
                </c:pt>
                <c:pt idx="735" formatCode="m/d/yyyy\ h:mm">
                  <c:v>36843.979166666679</c:v>
                </c:pt>
                <c:pt idx="736" formatCode="m/d/yyyy\ h:mm">
                  <c:v>36844.000000000015</c:v>
                </c:pt>
                <c:pt idx="737" formatCode="m/d/yyyy\ h:mm">
                  <c:v>36844.02083333335</c:v>
                </c:pt>
                <c:pt idx="738" formatCode="m/d/yyyy\ h:mm">
                  <c:v>36844.041666666686</c:v>
                </c:pt>
                <c:pt idx="739" formatCode="m/d/yyyy\ h:mm">
                  <c:v>36844.062500000022</c:v>
                </c:pt>
                <c:pt idx="740" formatCode="m/d/yyyy\ h:mm">
                  <c:v>36844.083333333358</c:v>
                </c:pt>
                <c:pt idx="741" formatCode="m/d/yyyy\ h:mm">
                  <c:v>36844.104166666693</c:v>
                </c:pt>
                <c:pt idx="742" formatCode="m/d/yyyy\ h:mm">
                  <c:v>36844.125000000029</c:v>
                </c:pt>
                <c:pt idx="743" formatCode="m/d/yyyy\ h:mm">
                  <c:v>36844.145833333365</c:v>
                </c:pt>
                <c:pt idx="744" formatCode="m/d/yyyy\ h:mm">
                  <c:v>36844.166666666701</c:v>
                </c:pt>
                <c:pt idx="745" formatCode="m/d/yyyy\ h:mm">
                  <c:v>36844.187500000036</c:v>
                </c:pt>
                <c:pt idx="746" formatCode="m/d/yyyy\ h:mm">
                  <c:v>36844.208333333372</c:v>
                </c:pt>
                <c:pt idx="747" formatCode="m/d/yyyy\ h:mm">
                  <c:v>36844.229166666708</c:v>
                </c:pt>
                <c:pt idx="748" formatCode="m/d/yyyy\ h:mm">
                  <c:v>36844.250000000044</c:v>
                </c:pt>
                <c:pt idx="749" formatCode="m/d/yyyy\ h:mm">
                  <c:v>36844.270833333379</c:v>
                </c:pt>
                <c:pt idx="750" formatCode="m/d/yyyy\ h:mm">
                  <c:v>36844.291666666715</c:v>
                </c:pt>
                <c:pt idx="751" formatCode="m/d/yyyy\ h:mm">
                  <c:v>36844.312500000051</c:v>
                </c:pt>
                <c:pt idx="752" formatCode="m/d/yyyy\ h:mm">
                  <c:v>36844.333333333387</c:v>
                </c:pt>
                <c:pt idx="753" formatCode="m/d/yyyy\ h:mm">
                  <c:v>36844.354166666722</c:v>
                </c:pt>
                <c:pt idx="754" formatCode="m/d/yyyy\ h:mm">
                  <c:v>36844.375000000058</c:v>
                </c:pt>
                <c:pt idx="755" formatCode="m/d/yyyy\ h:mm">
                  <c:v>36844.395833333394</c:v>
                </c:pt>
                <c:pt idx="756" formatCode="m/d/yyyy\ h:mm">
                  <c:v>36844.41666666673</c:v>
                </c:pt>
                <c:pt idx="757" formatCode="m/d/yyyy\ h:mm">
                  <c:v>36844.437500000065</c:v>
                </c:pt>
                <c:pt idx="758" formatCode="m/d/yyyy\ h:mm">
                  <c:v>36844.458333333401</c:v>
                </c:pt>
                <c:pt idx="759" formatCode="m/d/yyyy\ h:mm">
                  <c:v>36844.479166666737</c:v>
                </c:pt>
                <c:pt idx="760" formatCode="m/d/yyyy\ h:mm">
                  <c:v>36844.500000000073</c:v>
                </c:pt>
                <c:pt idx="761" formatCode="m/d/yyyy\ h:mm">
                  <c:v>36844.520833333409</c:v>
                </c:pt>
                <c:pt idx="762" formatCode="m/d/yyyy\ h:mm">
                  <c:v>36844.541666666744</c:v>
                </c:pt>
                <c:pt idx="763" formatCode="m/d/yyyy\ h:mm">
                  <c:v>36844.56250000008</c:v>
                </c:pt>
                <c:pt idx="764" formatCode="m/d/yyyy\ h:mm">
                  <c:v>36844.583333333416</c:v>
                </c:pt>
                <c:pt idx="765" formatCode="m/d/yyyy\ h:mm">
                  <c:v>36844.604166666752</c:v>
                </c:pt>
                <c:pt idx="766" formatCode="m/d/yyyy\ h:mm">
                  <c:v>36844.625000000087</c:v>
                </c:pt>
                <c:pt idx="767" formatCode="m/d/yyyy\ h:mm">
                  <c:v>36844.645833333423</c:v>
                </c:pt>
                <c:pt idx="768" formatCode="m/d/yyyy\ h:mm">
                  <c:v>36844.666666666759</c:v>
                </c:pt>
                <c:pt idx="769" formatCode="m/d/yyyy\ h:mm">
                  <c:v>36844.687500000095</c:v>
                </c:pt>
                <c:pt idx="770" formatCode="m/d/yyyy\ h:mm">
                  <c:v>36844.70833333343</c:v>
                </c:pt>
                <c:pt idx="771" formatCode="m/d/yyyy\ h:mm">
                  <c:v>36844.729166666766</c:v>
                </c:pt>
                <c:pt idx="772" formatCode="m/d/yyyy\ h:mm">
                  <c:v>36844.750000000102</c:v>
                </c:pt>
                <c:pt idx="773" formatCode="m/d/yyyy\ h:mm">
                  <c:v>36844.770833333438</c:v>
                </c:pt>
                <c:pt idx="774" formatCode="m/d/yyyy\ h:mm">
                  <c:v>36844.791666666773</c:v>
                </c:pt>
                <c:pt idx="775" formatCode="m/d/yyyy\ h:mm">
                  <c:v>36844.812500000109</c:v>
                </c:pt>
                <c:pt idx="776" formatCode="m/d/yyyy\ h:mm">
                  <c:v>36844.833333333445</c:v>
                </c:pt>
                <c:pt idx="777" formatCode="m/d/yyyy\ h:mm">
                  <c:v>36844.854166666781</c:v>
                </c:pt>
                <c:pt idx="778" formatCode="m/d/yyyy\ h:mm">
                  <c:v>36844.875000000116</c:v>
                </c:pt>
                <c:pt idx="779" formatCode="m/d/yyyy\ h:mm">
                  <c:v>36844.895833333452</c:v>
                </c:pt>
                <c:pt idx="780" formatCode="m/d/yyyy\ h:mm">
                  <c:v>36844.916666666788</c:v>
                </c:pt>
                <c:pt idx="781" formatCode="m/d/yyyy\ h:mm">
                  <c:v>36844.937500000124</c:v>
                </c:pt>
                <c:pt idx="782" formatCode="m/d/yyyy\ h:mm">
                  <c:v>36844.958333333459</c:v>
                </c:pt>
                <c:pt idx="783" formatCode="m/d/yyyy\ h:mm">
                  <c:v>36844.979166666795</c:v>
                </c:pt>
                <c:pt idx="784" formatCode="m/d/yyyy\ h:mm">
                  <c:v>36845.000000000131</c:v>
                </c:pt>
                <c:pt idx="785" formatCode="m/d/yyyy\ h:mm">
                  <c:v>36845.020833333467</c:v>
                </c:pt>
                <c:pt idx="786" formatCode="m/d/yyyy\ h:mm">
                  <c:v>36845.041666666802</c:v>
                </c:pt>
                <c:pt idx="787" formatCode="m/d/yyyy\ h:mm">
                  <c:v>36845.062500000138</c:v>
                </c:pt>
                <c:pt idx="788" formatCode="m/d/yyyy\ h:mm">
                  <c:v>36845.083333333474</c:v>
                </c:pt>
                <c:pt idx="789" formatCode="m/d/yyyy\ h:mm">
                  <c:v>36845.10416666681</c:v>
                </c:pt>
                <c:pt idx="790" formatCode="m/d/yyyy\ h:mm">
                  <c:v>36845.125000000146</c:v>
                </c:pt>
                <c:pt idx="791" formatCode="m/d/yyyy\ h:mm">
                  <c:v>36845.145833333481</c:v>
                </c:pt>
                <c:pt idx="792" formatCode="m/d/yyyy\ h:mm">
                  <c:v>36845.166666666817</c:v>
                </c:pt>
                <c:pt idx="793" formatCode="m/d/yyyy\ h:mm">
                  <c:v>36845.187500000153</c:v>
                </c:pt>
                <c:pt idx="794" formatCode="m/d/yyyy\ h:mm">
                  <c:v>36845.208333333489</c:v>
                </c:pt>
                <c:pt idx="795" formatCode="m/d/yyyy\ h:mm">
                  <c:v>36845.229166666824</c:v>
                </c:pt>
                <c:pt idx="796" formatCode="m/d/yyyy\ h:mm">
                  <c:v>36845.25000000016</c:v>
                </c:pt>
                <c:pt idx="797" formatCode="m/d/yyyy\ h:mm">
                  <c:v>36845.270833333496</c:v>
                </c:pt>
                <c:pt idx="798" formatCode="m/d/yyyy\ h:mm">
                  <c:v>36845.291666666832</c:v>
                </c:pt>
                <c:pt idx="799" formatCode="m/d/yyyy\ h:mm">
                  <c:v>36845.312500000167</c:v>
                </c:pt>
                <c:pt idx="800" formatCode="m/d/yyyy\ h:mm">
                  <c:v>36845.333333333503</c:v>
                </c:pt>
                <c:pt idx="801" formatCode="m/d/yyyy\ h:mm">
                  <c:v>36845.354166666839</c:v>
                </c:pt>
                <c:pt idx="802" formatCode="m/d/yyyy\ h:mm">
                  <c:v>36845.375000000175</c:v>
                </c:pt>
                <c:pt idx="803" formatCode="m/d/yyyy\ h:mm">
                  <c:v>36845.39583333351</c:v>
                </c:pt>
                <c:pt idx="804" formatCode="m/d/yyyy\ h:mm">
                  <c:v>36845.416666666846</c:v>
                </c:pt>
                <c:pt idx="805" formatCode="m/d/yyyy\ h:mm">
                  <c:v>36845.437500000182</c:v>
                </c:pt>
                <c:pt idx="806" formatCode="m/d/yyyy\ h:mm">
                  <c:v>36845.458333333518</c:v>
                </c:pt>
                <c:pt idx="807" formatCode="m/d/yyyy\ h:mm">
                  <c:v>36845.479166666853</c:v>
                </c:pt>
                <c:pt idx="808" formatCode="m/d/yyyy\ h:mm">
                  <c:v>36845.500000000189</c:v>
                </c:pt>
                <c:pt idx="809" formatCode="m/d/yyyy\ h:mm">
                  <c:v>36845.520833333525</c:v>
                </c:pt>
                <c:pt idx="810" formatCode="m/d/yyyy\ h:mm">
                  <c:v>36845.541666666861</c:v>
                </c:pt>
                <c:pt idx="811" formatCode="m/d/yyyy\ h:mm">
                  <c:v>36845.562500000196</c:v>
                </c:pt>
                <c:pt idx="812" formatCode="m/d/yyyy\ h:mm">
                  <c:v>36845.583333333532</c:v>
                </c:pt>
                <c:pt idx="813" formatCode="m/d/yyyy\ h:mm">
                  <c:v>36845.604166666868</c:v>
                </c:pt>
                <c:pt idx="814" formatCode="m/d/yyyy\ h:mm">
                  <c:v>36845.625000000204</c:v>
                </c:pt>
                <c:pt idx="815" formatCode="m/d/yyyy\ h:mm">
                  <c:v>36845.645833333539</c:v>
                </c:pt>
                <c:pt idx="816" formatCode="m/d/yyyy\ h:mm">
                  <c:v>36845.666666666875</c:v>
                </c:pt>
                <c:pt idx="817" formatCode="m/d/yyyy\ h:mm">
                  <c:v>36845.687500000211</c:v>
                </c:pt>
                <c:pt idx="818" formatCode="m/d/yyyy\ h:mm">
                  <c:v>36845.708333333547</c:v>
                </c:pt>
                <c:pt idx="819" formatCode="m/d/yyyy\ h:mm">
                  <c:v>36845.729166666883</c:v>
                </c:pt>
                <c:pt idx="820" formatCode="m/d/yyyy\ h:mm">
                  <c:v>36845.750000000218</c:v>
                </c:pt>
                <c:pt idx="821" formatCode="m/d/yyyy\ h:mm">
                  <c:v>36845.770833333554</c:v>
                </c:pt>
                <c:pt idx="822" formatCode="m/d/yyyy\ h:mm">
                  <c:v>36845.79166666689</c:v>
                </c:pt>
                <c:pt idx="823" formatCode="m/d/yyyy\ h:mm">
                  <c:v>36845.812500000226</c:v>
                </c:pt>
                <c:pt idx="824" formatCode="m/d/yyyy\ h:mm">
                  <c:v>36845.833333333561</c:v>
                </c:pt>
                <c:pt idx="825" formatCode="m/d/yyyy\ h:mm">
                  <c:v>36845.854166666897</c:v>
                </c:pt>
                <c:pt idx="826" formatCode="m/d/yyyy\ h:mm">
                  <c:v>36845.875000000233</c:v>
                </c:pt>
                <c:pt idx="827" formatCode="m/d/yyyy\ h:mm">
                  <c:v>36845.895833333569</c:v>
                </c:pt>
                <c:pt idx="828" formatCode="m/d/yyyy\ h:mm">
                  <c:v>36845.916666666904</c:v>
                </c:pt>
                <c:pt idx="829" formatCode="m/d/yyyy\ h:mm">
                  <c:v>36845.93750000024</c:v>
                </c:pt>
                <c:pt idx="830" formatCode="m/d/yyyy\ h:mm">
                  <c:v>36845.958333333576</c:v>
                </c:pt>
                <c:pt idx="831" formatCode="m/d/yyyy\ h:mm">
                  <c:v>36845.979166666912</c:v>
                </c:pt>
                <c:pt idx="832" formatCode="m/d/yyyy\ h:mm">
                  <c:v>36846.000000000247</c:v>
                </c:pt>
                <c:pt idx="833" formatCode="m/d/yyyy\ h:mm">
                  <c:v>36846.020833333583</c:v>
                </c:pt>
                <c:pt idx="834" formatCode="m/d/yyyy\ h:mm">
                  <c:v>36846.041666666919</c:v>
                </c:pt>
                <c:pt idx="835" formatCode="m/d/yyyy\ h:mm">
                  <c:v>36846.062500000255</c:v>
                </c:pt>
                <c:pt idx="836" formatCode="m/d/yyyy\ h:mm">
                  <c:v>36846.08333333359</c:v>
                </c:pt>
                <c:pt idx="837" formatCode="m/d/yyyy\ h:mm">
                  <c:v>36846.104166666926</c:v>
                </c:pt>
                <c:pt idx="838" formatCode="m/d/yyyy\ h:mm">
                  <c:v>36846.125000000262</c:v>
                </c:pt>
                <c:pt idx="839" formatCode="m/d/yyyy\ h:mm">
                  <c:v>36846.145833333598</c:v>
                </c:pt>
                <c:pt idx="840" formatCode="m/d/yyyy\ h:mm">
                  <c:v>36846.166666666933</c:v>
                </c:pt>
                <c:pt idx="841" formatCode="m/d/yyyy\ h:mm">
                  <c:v>36846.187500000269</c:v>
                </c:pt>
                <c:pt idx="842" formatCode="m/d/yyyy\ h:mm">
                  <c:v>36846.208333333605</c:v>
                </c:pt>
                <c:pt idx="843" formatCode="m/d/yyyy\ h:mm">
                  <c:v>36846.229166666941</c:v>
                </c:pt>
                <c:pt idx="844" formatCode="m/d/yyyy\ h:mm">
                  <c:v>36846.250000000276</c:v>
                </c:pt>
                <c:pt idx="845" formatCode="m/d/yyyy\ h:mm">
                  <c:v>36846.270833333612</c:v>
                </c:pt>
                <c:pt idx="846" formatCode="m/d/yyyy\ h:mm">
                  <c:v>36846.291666666948</c:v>
                </c:pt>
                <c:pt idx="847" formatCode="m/d/yyyy\ h:mm">
                  <c:v>36846.312500000284</c:v>
                </c:pt>
                <c:pt idx="848" formatCode="m/d/yyyy\ h:mm">
                  <c:v>36846.33333333362</c:v>
                </c:pt>
                <c:pt idx="849" formatCode="m/d/yyyy\ h:mm">
                  <c:v>36846.354166666955</c:v>
                </c:pt>
                <c:pt idx="850" formatCode="m/d/yyyy\ h:mm">
                  <c:v>36846.375000000291</c:v>
                </c:pt>
                <c:pt idx="851" formatCode="m/d/yyyy\ h:mm">
                  <c:v>36846.395833333627</c:v>
                </c:pt>
                <c:pt idx="852" formatCode="m/d/yyyy\ h:mm">
                  <c:v>36846.416666666963</c:v>
                </c:pt>
                <c:pt idx="853" formatCode="m/d/yyyy\ h:mm">
                  <c:v>36846.437500000298</c:v>
                </c:pt>
                <c:pt idx="854" formatCode="m/d/yyyy\ h:mm">
                  <c:v>36846.458333333634</c:v>
                </c:pt>
                <c:pt idx="855" formatCode="m/d/yyyy\ h:mm">
                  <c:v>36846.47916666697</c:v>
                </c:pt>
                <c:pt idx="856" formatCode="m/d/yyyy\ h:mm">
                  <c:v>36846.500000000306</c:v>
                </c:pt>
                <c:pt idx="857" formatCode="m/d/yyyy\ h:mm">
                  <c:v>36846.520833333641</c:v>
                </c:pt>
                <c:pt idx="858" formatCode="m/d/yyyy\ h:mm">
                  <c:v>36846.541666666977</c:v>
                </c:pt>
                <c:pt idx="859" formatCode="m/d/yyyy\ h:mm">
                  <c:v>36846.562500000313</c:v>
                </c:pt>
                <c:pt idx="860" formatCode="m/d/yyyy\ h:mm">
                  <c:v>36846.583333333649</c:v>
                </c:pt>
                <c:pt idx="861" formatCode="m/d/yyyy\ h:mm">
                  <c:v>36846.604166666984</c:v>
                </c:pt>
                <c:pt idx="862" formatCode="m/d/yyyy\ h:mm">
                  <c:v>36846.62500000032</c:v>
                </c:pt>
                <c:pt idx="863" formatCode="m/d/yyyy\ h:mm">
                  <c:v>36846.645833333656</c:v>
                </c:pt>
                <c:pt idx="864" formatCode="m/d/yyyy\ h:mm">
                  <c:v>36846.666666666992</c:v>
                </c:pt>
                <c:pt idx="865" formatCode="m/d/yyyy\ h:mm">
                  <c:v>36846.687500000327</c:v>
                </c:pt>
                <c:pt idx="866" formatCode="m/d/yyyy\ h:mm">
                  <c:v>36846.708333333663</c:v>
                </c:pt>
                <c:pt idx="867" formatCode="m/d/yyyy\ h:mm">
                  <c:v>36846.729166666999</c:v>
                </c:pt>
                <c:pt idx="868" formatCode="m/d/yyyy\ h:mm">
                  <c:v>36846.750000000335</c:v>
                </c:pt>
                <c:pt idx="869" formatCode="m/d/yyyy\ h:mm">
                  <c:v>36846.77083333367</c:v>
                </c:pt>
                <c:pt idx="870" formatCode="m/d/yyyy\ h:mm">
                  <c:v>36846.791666667006</c:v>
                </c:pt>
                <c:pt idx="871" formatCode="m/d/yyyy\ h:mm">
                  <c:v>36846.812500000342</c:v>
                </c:pt>
                <c:pt idx="872" formatCode="m/d/yyyy\ h:mm">
                  <c:v>36846.833333333678</c:v>
                </c:pt>
                <c:pt idx="873" formatCode="m/d/yyyy\ h:mm">
                  <c:v>36846.854166667013</c:v>
                </c:pt>
                <c:pt idx="874" formatCode="m/d/yyyy\ h:mm">
                  <c:v>36846.875000000349</c:v>
                </c:pt>
                <c:pt idx="875" formatCode="m/d/yyyy\ h:mm">
                  <c:v>36846.895833333685</c:v>
                </c:pt>
                <c:pt idx="876" formatCode="m/d/yyyy\ h:mm">
                  <c:v>36846.916666667021</c:v>
                </c:pt>
                <c:pt idx="877" formatCode="m/d/yyyy\ h:mm">
                  <c:v>36846.937500000357</c:v>
                </c:pt>
                <c:pt idx="878" formatCode="m/d/yyyy\ h:mm">
                  <c:v>36846.958333333692</c:v>
                </c:pt>
                <c:pt idx="879" formatCode="m/d/yyyy\ h:mm">
                  <c:v>36846.979166667028</c:v>
                </c:pt>
                <c:pt idx="880" formatCode="m/d/yyyy\ h:mm">
                  <c:v>36847.000000000364</c:v>
                </c:pt>
                <c:pt idx="881" formatCode="m/d/yyyy\ h:mm">
                  <c:v>36847.0208333337</c:v>
                </c:pt>
                <c:pt idx="882" formatCode="m/d/yyyy\ h:mm">
                  <c:v>36847.041666667035</c:v>
                </c:pt>
                <c:pt idx="883" formatCode="m/d/yyyy\ h:mm">
                  <c:v>36847.062500000371</c:v>
                </c:pt>
                <c:pt idx="884" formatCode="m/d/yyyy\ h:mm">
                  <c:v>36847.083333333707</c:v>
                </c:pt>
                <c:pt idx="885" formatCode="m/d/yyyy\ h:mm">
                  <c:v>36847.104166667043</c:v>
                </c:pt>
                <c:pt idx="886" formatCode="m/d/yyyy\ h:mm">
                  <c:v>36847.125000000378</c:v>
                </c:pt>
                <c:pt idx="887" formatCode="m/d/yyyy\ h:mm">
                  <c:v>36847.145833333714</c:v>
                </c:pt>
                <c:pt idx="888" formatCode="m/d/yyyy\ h:mm">
                  <c:v>36847.16666666705</c:v>
                </c:pt>
                <c:pt idx="889" formatCode="m/d/yyyy\ h:mm">
                  <c:v>36847.187500000386</c:v>
                </c:pt>
                <c:pt idx="890" formatCode="m/d/yyyy\ h:mm">
                  <c:v>36847.208333333721</c:v>
                </c:pt>
                <c:pt idx="891" formatCode="m/d/yyyy\ h:mm">
                  <c:v>36847.229166667057</c:v>
                </c:pt>
                <c:pt idx="892" formatCode="m/d/yyyy\ h:mm">
                  <c:v>36847.250000000393</c:v>
                </c:pt>
                <c:pt idx="893" formatCode="m/d/yyyy\ h:mm">
                  <c:v>36847.270833333729</c:v>
                </c:pt>
                <c:pt idx="894" formatCode="m/d/yyyy\ h:mm">
                  <c:v>36847.291666667064</c:v>
                </c:pt>
                <c:pt idx="895" formatCode="m/d/yyyy\ h:mm">
                  <c:v>36847.3125000004</c:v>
                </c:pt>
                <c:pt idx="896" formatCode="m/d/yyyy\ h:mm">
                  <c:v>36847.333333333736</c:v>
                </c:pt>
                <c:pt idx="897" formatCode="m/d/yyyy\ h:mm">
                  <c:v>36847.354166667072</c:v>
                </c:pt>
                <c:pt idx="898" formatCode="m/d/yyyy\ h:mm">
                  <c:v>36847.375000000407</c:v>
                </c:pt>
                <c:pt idx="899" formatCode="m/d/yyyy\ h:mm">
                  <c:v>36847.395833333743</c:v>
                </c:pt>
                <c:pt idx="900" formatCode="m/d/yyyy\ h:mm">
                  <c:v>36847.416666667079</c:v>
                </c:pt>
                <c:pt idx="901" formatCode="m/d/yyyy\ h:mm">
                  <c:v>36847.437500000415</c:v>
                </c:pt>
                <c:pt idx="902" formatCode="m/d/yyyy\ h:mm">
                  <c:v>36847.45833333375</c:v>
                </c:pt>
                <c:pt idx="903" formatCode="m/d/yyyy\ h:mm">
                  <c:v>36847.479166667086</c:v>
                </c:pt>
                <c:pt idx="904" formatCode="m/d/yyyy\ h:mm">
                  <c:v>36847.500000000422</c:v>
                </c:pt>
                <c:pt idx="905" formatCode="m/d/yyyy\ h:mm">
                  <c:v>36847.520833333758</c:v>
                </c:pt>
                <c:pt idx="906" formatCode="m/d/yyyy\ h:mm">
                  <c:v>36847.541666667094</c:v>
                </c:pt>
                <c:pt idx="907" formatCode="m/d/yyyy\ h:mm">
                  <c:v>36847.562500000429</c:v>
                </c:pt>
                <c:pt idx="908" formatCode="m/d/yyyy\ h:mm">
                  <c:v>36847.583333333765</c:v>
                </c:pt>
                <c:pt idx="909" formatCode="m/d/yyyy\ h:mm">
                  <c:v>36847.604166667101</c:v>
                </c:pt>
                <c:pt idx="910" formatCode="m/d/yyyy\ h:mm">
                  <c:v>36847.625000000437</c:v>
                </c:pt>
                <c:pt idx="911" formatCode="m/d/yyyy\ h:mm">
                  <c:v>36847.645833333772</c:v>
                </c:pt>
                <c:pt idx="912" formatCode="m/d/yyyy\ h:mm">
                  <c:v>36847.666666667108</c:v>
                </c:pt>
                <c:pt idx="913" formatCode="m/d/yyyy\ h:mm">
                  <c:v>36847.687500000444</c:v>
                </c:pt>
                <c:pt idx="914" formatCode="m/d/yyyy\ h:mm">
                  <c:v>36847.70833333378</c:v>
                </c:pt>
                <c:pt idx="915" formatCode="m/d/yyyy\ h:mm">
                  <c:v>36847.729166667115</c:v>
                </c:pt>
                <c:pt idx="916" formatCode="m/d/yyyy\ h:mm">
                  <c:v>36847.750000000451</c:v>
                </c:pt>
                <c:pt idx="917" formatCode="m/d/yyyy\ h:mm">
                  <c:v>36847.770833333787</c:v>
                </c:pt>
                <c:pt idx="918" formatCode="m/d/yyyy\ h:mm">
                  <c:v>36847.791666667123</c:v>
                </c:pt>
                <c:pt idx="919" formatCode="m/d/yyyy\ h:mm">
                  <c:v>36847.812500000458</c:v>
                </c:pt>
                <c:pt idx="920" formatCode="m/d/yyyy\ h:mm">
                  <c:v>36847.833333333794</c:v>
                </c:pt>
                <c:pt idx="921" formatCode="m/d/yyyy\ h:mm">
                  <c:v>36847.85416666713</c:v>
                </c:pt>
                <c:pt idx="922" formatCode="m/d/yyyy\ h:mm">
                  <c:v>36847.875000000466</c:v>
                </c:pt>
                <c:pt idx="923" formatCode="m/d/yyyy\ h:mm">
                  <c:v>36847.895833333801</c:v>
                </c:pt>
                <c:pt idx="924" formatCode="m/d/yyyy\ h:mm">
                  <c:v>36847.916666667137</c:v>
                </c:pt>
                <c:pt idx="925" formatCode="m/d/yyyy\ h:mm">
                  <c:v>36847.937500000473</c:v>
                </c:pt>
                <c:pt idx="926" formatCode="m/d/yyyy\ h:mm">
                  <c:v>36847.958333333809</c:v>
                </c:pt>
                <c:pt idx="927" formatCode="m/d/yyyy\ h:mm">
                  <c:v>36847.979166667144</c:v>
                </c:pt>
                <c:pt idx="928" formatCode="m/d/yyyy\ h:mm">
                  <c:v>36848.00000000048</c:v>
                </c:pt>
                <c:pt idx="929" formatCode="m/d/yyyy\ h:mm">
                  <c:v>36848.020833333816</c:v>
                </c:pt>
                <c:pt idx="930" formatCode="m/d/yyyy\ h:mm">
                  <c:v>36848.041666667152</c:v>
                </c:pt>
                <c:pt idx="931" formatCode="m/d/yyyy\ h:mm">
                  <c:v>36848.062500000487</c:v>
                </c:pt>
                <c:pt idx="932" formatCode="m/d/yyyy\ h:mm">
                  <c:v>36848.083333333823</c:v>
                </c:pt>
                <c:pt idx="933" formatCode="m/d/yyyy\ h:mm">
                  <c:v>36848.104166667159</c:v>
                </c:pt>
                <c:pt idx="934" formatCode="m/d/yyyy\ h:mm">
                  <c:v>36848.125000000495</c:v>
                </c:pt>
                <c:pt idx="935" formatCode="m/d/yyyy\ h:mm">
                  <c:v>36848.145833333831</c:v>
                </c:pt>
                <c:pt idx="936" formatCode="m/d/yyyy\ h:mm">
                  <c:v>36848.166666667166</c:v>
                </c:pt>
                <c:pt idx="937" formatCode="m/d/yyyy\ h:mm">
                  <c:v>36848.187500000502</c:v>
                </c:pt>
                <c:pt idx="938" formatCode="m/d/yyyy\ h:mm">
                  <c:v>36848.208333333838</c:v>
                </c:pt>
                <c:pt idx="939" formatCode="m/d/yyyy\ h:mm">
                  <c:v>36848.229166667174</c:v>
                </c:pt>
                <c:pt idx="940" formatCode="m/d/yyyy\ h:mm">
                  <c:v>36848.250000000509</c:v>
                </c:pt>
                <c:pt idx="941" formatCode="m/d/yyyy\ h:mm">
                  <c:v>36848.270833333845</c:v>
                </c:pt>
                <c:pt idx="942" formatCode="m/d/yyyy\ h:mm">
                  <c:v>36848.291666667181</c:v>
                </c:pt>
                <c:pt idx="943" formatCode="m/d/yyyy\ h:mm">
                  <c:v>36848.312500000517</c:v>
                </c:pt>
                <c:pt idx="944" formatCode="m/d/yyyy\ h:mm">
                  <c:v>36848.333333333852</c:v>
                </c:pt>
                <c:pt idx="945" formatCode="m/d/yyyy\ h:mm">
                  <c:v>36848.354166667188</c:v>
                </c:pt>
                <c:pt idx="946" formatCode="m/d/yyyy\ h:mm">
                  <c:v>36848.375000000524</c:v>
                </c:pt>
                <c:pt idx="947" formatCode="m/d/yyyy\ h:mm">
                  <c:v>36848.39583333386</c:v>
                </c:pt>
                <c:pt idx="948" formatCode="m/d/yyyy\ h:mm">
                  <c:v>36848.416666667195</c:v>
                </c:pt>
                <c:pt idx="949" formatCode="m/d/yyyy\ h:mm">
                  <c:v>36848.437500000531</c:v>
                </c:pt>
                <c:pt idx="950" formatCode="m/d/yyyy\ h:mm">
                  <c:v>36848.458333333867</c:v>
                </c:pt>
                <c:pt idx="951" formatCode="m/d/yyyy\ h:mm">
                  <c:v>36848.479166667203</c:v>
                </c:pt>
                <c:pt idx="952" formatCode="m/d/yyyy\ h:mm">
                  <c:v>36848.500000000538</c:v>
                </c:pt>
                <c:pt idx="953" formatCode="m/d/yyyy\ h:mm">
                  <c:v>36848.520833333874</c:v>
                </c:pt>
                <c:pt idx="954" formatCode="m/d/yyyy\ h:mm">
                  <c:v>36848.54166666721</c:v>
                </c:pt>
                <c:pt idx="955" formatCode="m/d/yyyy\ h:mm">
                  <c:v>36848.562500000546</c:v>
                </c:pt>
                <c:pt idx="956" formatCode="m/d/yyyy\ h:mm">
                  <c:v>36848.583333333881</c:v>
                </c:pt>
                <c:pt idx="957" formatCode="m/d/yyyy\ h:mm">
                  <c:v>36848.604166667217</c:v>
                </c:pt>
                <c:pt idx="958" formatCode="m/d/yyyy\ h:mm">
                  <c:v>36848.625000000553</c:v>
                </c:pt>
                <c:pt idx="959" formatCode="m/d/yyyy\ h:mm">
                  <c:v>36848.645833333889</c:v>
                </c:pt>
                <c:pt idx="960" formatCode="m/d/yyyy\ h:mm">
                  <c:v>36848.666666667224</c:v>
                </c:pt>
                <c:pt idx="961" formatCode="m/d/yyyy\ h:mm">
                  <c:v>36848.68750000056</c:v>
                </c:pt>
                <c:pt idx="962" formatCode="m/d/yyyy\ h:mm">
                  <c:v>36848.708333333896</c:v>
                </c:pt>
                <c:pt idx="963" formatCode="m/d/yyyy\ h:mm">
                  <c:v>36848.729166667232</c:v>
                </c:pt>
                <c:pt idx="964" formatCode="m/d/yyyy\ h:mm">
                  <c:v>36848.750000000568</c:v>
                </c:pt>
                <c:pt idx="965" formatCode="m/d/yyyy\ h:mm">
                  <c:v>36848.770833333903</c:v>
                </c:pt>
                <c:pt idx="966" formatCode="m/d/yyyy\ h:mm">
                  <c:v>36848.791666667239</c:v>
                </c:pt>
                <c:pt idx="967" formatCode="m/d/yyyy\ h:mm">
                  <c:v>36848.812500000575</c:v>
                </c:pt>
                <c:pt idx="968" formatCode="m/d/yyyy\ h:mm">
                  <c:v>36848.833333333911</c:v>
                </c:pt>
                <c:pt idx="969" formatCode="m/d/yyyy\ h:mm">
                  <c:v>36848.854166667246</c:v>
                </c:pt>
                <c:pt idx="970" formatCode="m/d/yyyy\ h:mm">
                  <c:v>36848.875000000582</c:v>
                </c:pt>
                <c:pt idx="971" formatCode="m/d/yyyy\ h:mm">
                  <c:v>36848.895833333918</c:v>
                </c:pt>
                <c:pt idx="972" formatCode="m/d/yyyy\ h:mm">
                  <c:v>36848.916666667254</c:v>
                </c:pt>
                <c:pt idx="973" formatCode="m/d/yyyy\ h:mm">
                  <c:v>36848.937500000589</c:v>
                </c:pt>
                <c:pt idx="974" formatCode="m/d/yyyy\ h:mm">
                  <c:v>36848.958333333925</c:v>
                </c:pt>
                <c:pt idx="975" formatCode="m/d/yyyy\ h:mm">
                  <c:v>36848.979166667261</c:v>
                </c:pt>
                <c:pt idx="976" formatCode="m/d/yyyy\ h:mm">
                  <c:v>36849.000000000597</c:v>
                </c:pt>
                <c:pt idx="977" formatCode="m/d/yyyy\ h:mm">
                  <c:v>36849.020833333932</c:v>
                </c:pt>
                <c:pt idx="978" formatCode="m/d/yyyy\ h:mm">
                  <c:v>36849.041666667268</c:v>
                </c:pt>
                <c:pt idx="979" formatCode="m/d/yyyy\ h:mm">
                  <c:v>36849.062500000604</c:v>
                </c:pt>
                <c:pt idx="980" formatCode="m/d/yyyy\ h:mm">
                  <c:v>36849.08333333394</c:v>
                </c:pt>
                <c:pt idx="981" formatCode="m/d/yyyy\ h:mm">
                  <c:v>36849.104166667275</c:v>
                </c:pt>
                <c:pt idx="982" formatCode="m/d/yyyy\ h:mm">
                  <c:v>36849.125000000611</c:v>
                </c:pt>
                <c:pt idx="983" formatCode="m/d/yyyy\ h:mm">
                  <c:v>36849.145833333947</c:v>
                </c:pt>
                <c:pt idx="984" formatCode="m/d/yyyy\ h:mm">
                  <c:v>36849.166666667283</c:v>
                </c:pt>
                <c:pt idx="985" formatCode="m/d/yyyy\ h:mm">
                  <c:v>36849.187500000618</c:v>
                </c:pt>
                <c:pt idx="986" formatCode="m/d/yyyy\ h:mm">
                  <c:v>36849.208333333954</c:v>
                </c:pt>
                <c:pt idx="987" formatCode="m/d/yyyy\ h:mm">
                  <c:v>36849.22916666729</c:v>
                </c:pt>
                <c:pt idx="988" formatCode="m/d/yyyy\ h:mm">
                  <c:v>36849.250000000626</c:v>
                </c:pt>
                <c:pt idx="989" formatCode="m/d/yyyy\ h:mm">
                  <c:v>36849.270833333961</c:v>
                </c:pt>
                <c:pt idx="990" formatCode="m/d/yyyy\ h:mm">
                  <c:v>36849.291666667297</c:v>
                </c:pt>
                <c:pt idx="991" formatCode="m/d/yyyy\ h:mm">
                  <c:v>36849.312500000633</c:v>
                </c:pt>
                <c:pt idx="992" formatCode="m/d/yyyy\ h:mm">
                  <c:v>36849.333333333969</c:v>
                </c:pt>
                <c:pt idx="993" formatCode="m/d/yyyy\ h:mm">
                  <c:v>36849.354166667305</c:v>
                </c:pt>
                <c:pt idx="994" formatCode="m/d/yyyy\ h:mm">
                  <c:v>36849.37500000064</c:v>
                </c:pt>
                <c:pt idx="995" formatCode="m/d/yyyy\ h:mm">
                  <c:v>36849.395833333976</c:v>
                </c:pt>
                <c:pt idx="996" formatCode="m/d/yyyy\ h:mm">
                  <c:v>36849.416666667312</c:v>
                </c:pt>
                <c:pt idx="997" formatCode="m/d/yyyy\ h:mm">
                  <c:v>36849.437500000648</c:v>
                </c:pt>
                <c:pt idx="998" formatCode="m/d/yyyy\ h:mm">
                  <c:v>36849.458333333983</c:v>
                </c:pt>
                <c:pt idx="999" formatCode="m/d/yyyy\ h:mm">
                  <c:v>36849.479166667319</c:v>
                </c:pt>
                <c:pt idx="1000" formatCode="m/d/yyyy\ h:mm">
                  <c:v>36849.500000000655</c:v>
                </c:pt>
                <c:pt idx="1001" formatCode="m/d/yyyy\ h:mm">
                  <c:v>36849.520833333991</c:v>
                </c:pt>
                <c:pt idx="1002" formatCode="m/d/yyyy\ h:mm">
                  <c:v>36849.541666667326</c:v>
                </c:pt>
                <c:pt idx="1003" formatCode="m/d/yyyy\ h:mm">
                  <c:v>36849.562500000662</c:v>
                </c:pt>
                <c:pt idx="1004" formatCode="m/d/yyyy\ h:mm">
                  <c:v>36849.583333333998</c:v>
                </c:pt>
                <c:pt idx="1005" formatCode="m/d/yyyy\ h:mm">
                  <c:v>36849.604166667334</c:v>
                </c:pt>
                <c:pt idx="1006" formatCode="m/d/yyyy\ h:mm">
                  <c:v>36849.625000000669</c:v>
                </c:pt>
                <c:pt idx="1007" formatCode="m/d/yyyy\ h:mm">
                  <c:v>36849.645833334005</c:v>
                </c:pt>
                <c:pt idx="1008" formatCode="m/d/yyyy\ h:mm">
                  <c:v>36849.666666667341</c:v>
                </c:pt>
                <c:pt idx="1009" formatCode="m/d/yyyy\ h:mm">
                  <c:v>36849.687500000677</c:v>
                </c:pt>
                <c:pt idx="1010" formatCode="m/d/yyyy\ h:mm">
                  <c:v>36849.708333334012</c:v>
                </c:pt>
                <c:pt idx="1011" formatCode="m/d/yyyy\ h:mm">
                  <c:v>36849.729166667348</c:v>
                </c:pt>
                <c:pt idx="1012" formatCode="m/d/yyyy\ h:mm">
                  <c:v>36849.750000000684</c:v>
                </c:pt>
                <c:pt idx="1013" formatCode="m/d/yyyy\ h:mm">
                  <c:v>36849.77083333402</c:v>
                </c:pt>
                <c:pt idx="1014" formatCode="m/d/yyyy\ h:mm">
                  <c:v>36849.791666667355</c:v>
                </c:pt>
                <c:pt idx="1015" formatCode="m/d/yyyy\ h:mm">
                  <c:v>36849.812500000691</c:v>
                </c:pt>
                <c:pt idx="1016" formatCode="m/d/yyyy\ h:mm">
                  <c:v>36849.833333334027</c:v>
                </c:pt>
                <c:pt idx="1017" formatCode="m/d/yyyy\ h:mm">
                  <c:v>36849.854166667363</c:v>
                </c:pt>
                <c:pt idx="1018" formatCode="m/d/yyyy\ h:mm">
                  <c:v>36849.875000000698</c:v>
                </c:pt>
                <c:pt idx="1019" formatCode="m/d/yyyy\ h:mm">
                  <c:v>36849.895833334034</c:v>
                </c:pt>
                <c:pt idx="1020" formatCode="m/d/yyyy\ h:mm">
                  <c:v>36849.91666666737</c:v>
                </c:pt>
                <c:pt idx="1021" formatCode="m/d/yyyy\ h:mm">
                  <c:v>36849.937500000706</c:v>
                </c:pt>
                <c:pt idx="1022" formatCode="m/d/yyyy\ h:mm">
                  <c:v>36849.958333334042</c:v>
                </c:pt>
                <c:pt idx="1023" formatCode="m/d/yyyy\ h:mm">
                  <c:v>36849.979166667377</c:v>
                </c:pt>
                <c:pt idx="1024" formatCode="m/d/yyyy\ h:mm">
                  <c:v>36850.000000000713</c:v>
                </c:pt>
                <c:pt idx="1025" formatCode="m/d/yyyy\ h:mm">
                  <c:v>36850.020833334049</c:v>
                </c:pt>
                <c:pt idx="1026" formatCode="m/d/yyyy\ h:mm">
                  <c:v>36850.041666667385</c:v>
                </c:pt>
                <c:pt idx="1027" formatCode="m/d/yyyy\ h:mm">
                  <c:v>36850.06250000072</c:v>
                </c:pt>
                <c:pt idx="1028" formatCode="m/d/yyyy\ h:mm">
                  <c:v>36850.083333334056</c:v>
                </c:pt>
                <c:pt idx="1029" formatCode="m/d/yyyy\ h:mm">
                  <c:v>36850.104166667392</c:v>
                </c:pt>
                <c:pt idx="1030" formatCode="m/d/yyyy\ h:mm">
                  <c:v>36850.125000000728</c:v>
                </c:pt>
                <c:pt idx="1031" formatCode="m/d/yyyy\ h:mm">
                  <c:v>36850.145833334063</c:v>
                </c:pt>
                <c:pt idx="1032" formatCode="m/d/yyyy\ h:mm">
                  <c:v>36850.166666667399</c:v>
                </c:pt>
                <c:pt idx="1033" formatCode="m/d/yyyy\ h:mm">
                  <c:v>36850.187500000735</c:v>
                </c:pt>
                <c:pt idx="1034" formatCode="m/d/yyyy\ h:mm">
                  <c:v>36850.208333334071</c:v>
                </c:pt>
                <c:pt idx="1035" formatCode="m/d/yyyy\ h:mm">
                  <c:v>36850.229166667406</c:v>
                </c:pt>
                <c:pt idx="1036" formatCode="m/d/yyyy\ h:mm">
                  <c:v>36850.250000000742</c:v>
                </c:pt>
                <c:pt idx="1037" formatCode="m/d/yyyy\ h:mm">
                  <c:v>36850.270833334078</c:v>
                </c:pt>
                <c:pt idx="1038" formatCode="m/d/yyyy\ h:mm">
                  <c:v>36850.291666667414</c:v>
                </c:pt>
                <c:pt idx="1039" formatCode="m/d/yyyy\ h:mm">
                  <c:v>36850.312500000749</c:v>
                </c:pt>
                <c:pt idx="1040" formatCode="m/d/yyyy\ h:mm">
                  <c:v>36850.333333334085</c:v>
                </c:pt>
                <c:pt idx="1041" formatCode="m/d/yyyy\ h:mm">
                  <c:v>36850.354166667421</c:v>
                </c:pt>
                <c:pt idx="1042" formatCode="m/d/yyyy\ h:mm">
                  <c:v>36850.375000000757</c:v>
                </c:pt>
                <c:pt idx="1043" formatCode="m/d/yyyy\ h:mm">
                  <c:v>36850.395833334092</c:v>
                </c:pt>
                <c:pt idx="1044" formatCode="m/d/yyyy\ h:mm">
                  <c:v>36850.416666667428</c:v>
                </c:pt>
                <c:pt idx="1045" formatCode="m/d/yyyy\ h:mm">
                  <c:v>36850.437500000764</c:v>
                </c:pt>
                <c:pt idx="1046" formatCode="m/d/yyyy\ h:mm">
                  <c:v>36850.4583333341</c:v>
                </c:pt>
                <c:pt idx="1047" formatCode="m/d/yyyy\ h:mm">
                  <c:v>36850.479166667435</c:v>
                </c:pt>
                <c:pt idx="1048" formatCode="m/d/yyyy\ h:mm">
                  <c:v>36850.500000000771</c:v>
                </c:pt>
                <c:pt idx="1049" formatCode="m/d/yyyy\ h:mm">
                  <c:v>36850.520833334107</c:v>
                </c:pt>
                <c:pt idx="1050" formatCode="m/d/yyyy\ h:mm">
                  <c:v>36850.541666667443</c:v>
                </c:pt>
                <c:pt idx="1051" formatCode="m/d/yyyy\ h:mm">
                  <c:v>36850.562500000779</c:v>
                </c:pt>
                <c:pt idx="1052" formatCode="m/d/yyyy\ h:mm">
                  <c:v>36850.583333334114</c:v>
                </c:pt>
                <c:pt idx="1053" formatCode="m/d/yyyy\ h:mm">
                  <c:v>36850.60416666745</c:v>
                </c:pt>
                <c:pt idx="1054" formatCode="m/d/yyyy\ h:mm">
                  <c:v>36850.625000000786</c:v>
                </c:pt>
                <c:pt idx="1055" formatCode="m/d/yyyy\ h:mm">
                  <c:v>36850.645833334122</c:v>
                </c:pt>
                <c:pt idx="1056" formatCode="m/d/yyyy\ h:mm">
                  <c:v>36850.666666667457</c:v>
                </c:pt>
                <c:pt idx="1057" formatCode="m/d/yyyy\ h:mm">
                  <c:v>36850.687500000793</c:v>
                </c:pt>
                <c:pt idx="1058" formatCode="m/d/yyyy\ h:mm">
                  <c:v>36850.708333334129</c:v>
                </c:pt>
                <c:pt idx="1059" formatCode="m/d/yyyy\ h:mm">
                  <c:v>36850.729166667465</c:v>
                </c:pt>
                <c:pt idx="1060" formatCode="m/d/yyyy\ h:mm">
                  <c:v>36850.7500000008</c:v>
                </c:pt>
                <c:pt idx="1061" formatCode="m/d/yyyy\ h:mm">
                  <c:v>36850.770833334136</c:v>
                </c:pt>
                <c:pt idx="1062" formatCode="m/d/yyyy\ h:mm">
                  <c:v>36850.791666667472</c:v>
                </c:pt>
                <c:pt idx="1063" formatCode="m/d/yyyy\ h:mm">
                  <c:v>36850.812500000808</c:v>
                </c:pt>
                <c:pt idx="1064" formatCode="m/d/yyyy\ h:mm">
                  <c:v>36850.833333334143</c:v>
                </c:pt>
                <c:pt idx="1065" formatCode="m/d/yyyy\ h:mm">
                  <c:v>36850.854166667479</c:v>
                </c:pt>
                <c:pt idx="1066" formatCode="m/d/yyyy\ h:mm">
                  <c:v>36850.875000000815</c:v>
                </c:pt>
                <c:pt idx="1067" formatCode="m/d/yyyy\ h:mm">
                  <c:v>36850.895833334151</c:v>
                </c:pt>
                <c:pt idx="1068" formatCode="m/d/yyyy\ h:mm">
                  <c:v>36850.916666667486</c:v>
                </c:pt>
                <c:pt idx="1069" formatCode="m/d/yyyy\ h:mm">
                  <c:v>36850.937500000822</c:v>
                </c:pt>
                <c:pt idx="1070" formatCode="m/d/yyyy\ h:mm">
                  <c:v>36850.958333334158</c:v>
                </c:pt>
                <c:pt idx="1071" formatCode="m/d/yyyy\ h:mm">
                  <c:v>36850.979166667494</c:v>
                </c:pt>
                <c:pt idx="1072" formatCode="m/d/yyyy\ h:mm">
                  <c:v>36851.000000000829</c:v>
                </c:pt>
                <c:pt idx="1073" formatCode="m/d/yyyy\ h:mm">
                  <c:v>36851.020833334165</c:v>
                </c:pt>
                <c:pt idx="1074" formatCode="m/d/yyyy\ h:mm">
                  <c:v>36851.041666667501</c:v>
                </c:pt>
                <c:pt idx="1075" formatCode="m/d/yyyy\ h:mm">
                  <c:v>36851.062500000837</c:v>
                </c:pt>
                <c:pt idx="1076" formatCode="m/d/yyyy\ h:mm">
                  <c:v>36851.083333334172</c:v>
                </c:pt>
                <c:pt idx="1077" formatCode="m/d/yyyy\ h:mm">
                  <c:v>36851.104166667508</c:v>
                </c:pt>
                <c:pt idx="1078" formatCode="m/d/yyyy\ h:mm">
                  <c:v>36851.125000000844</c:v>
                </c:pt>
                <c:pt idx="1079" formatCode="m/d/yyyy\ h:mm">
                  <c:v>36851.14583333418</c:v>
                </c:pt>
                <c:pt idx="1080" formatCode="m/d/yyyy\ h:mm">
                  <c:v>36851.166666667516</c:v>
                </c:pt>
                <c:pt idx="1081" formatCode="m/d/yyyy\ h:mm">
                  <c:v>36851.187500000851</c:v>
                </c:pt>
                <c:pt idx="1082" formatCode="m/d/yyyy\ h:mm">
                  <c:v>36851.208333334187</c:v>
                </c:pt>
                <c:pt idx="1083" formatCode="m/d/yyyy\ h:mm">
                  <c:v>36851.229166667523</c:v>
                </c:pt>
                <c:pt idx="1084" formatCode="m/d/yyyy\ h:mm">
                  <c:v>36851.250000000859</c:v>
                </c:pt>
                <c:pt idx="1085" formatCode="m/d/yyyy\ h:mm">
                  <c:v>36851.270833334194</c:v>
                </c:pt>
                <c:pt idx="1086" formatCode="m/d/yyyy\ h:mm">
                  <c:v>36851.29166666753</c:v>
                </c:pt>
                <c:pt idx="1087" formatCode="m/d/yyyy\ h:mm">
                  <c:v>36851.312500000866</c:v>
                </c:pt>
                <c:pt idx="1088" formatCode="m/d/yyyy\ h:mm">
                  <c:v>36851.333333334202</c:v>
                </c:pt>
                <c:pt idx="1089" formatCode="m/d/yyyy\ h:mm">
                  <c:v>36851.354166667537</c:v>
                </c:pt>
                <c:pt idx="1090" formatCode="m/d/yyyy\ h:mm">
                  <c:v>36851.375000000873</c:v>
                </c:pt>
                <c:pt idx="1091" formatCode="m/d/yyyy\ h:mm">
                  <c:v>36851.395833334209</c:v>
                </c:pt>
                <c:pt idx="1092" formatCode="m/d/yyyy\ h:mm">
                  <c:v>36851.416666667545</c:v>
                </c:pt>
                <c:pt idx="1093" formatCode="m/d/yyyy\ h:mm">
                  <c:v>36851.43750000088</c:v>
                </c:pt>
                <c:pt idx="1094" formatCode="m/d/yyyy\ h:mm">
                  <c:v>36851.458333334216</c:v>
                </c:pt>
                <c:pt idx="1095" formatCode="m/d/yyyy\ h:mm">
                  <c:v>36851.479166667552</c:v>
                </c:pt>
                <c:pt idx="1096" formatCode="m/d/yyyy\ h:mm">
                  <c:v>36851.500000000888</c:v>
                </c:pt>
                <c:pt idx="1097" formatCode="m/d/yyyy\ h:mm">
                  <c:v>36851.520833334223</c:v>
                </c:pt>
                <c:pt idx="1098" formatCode="m/d/yyyy\ h:mm">
                  <c:v>36851.541666667559</c:v>
                </c:pt>
                <c:pt idx="1099" formatCode="m/d/yyyy\ h:mm">
                  <c:v>36851.562500000895</c:v>
                </c:pt>
                <c:pt idx="1100" formatCode="m/d/yyyy\ h:mm">
                  <c:v>36851.583333334231</c:v>
                </c:pt>
                <c:pt idx="1101" formatCode="m/d/yyyy\ h:mm">
                  <c:v>36851.604166667566</c:v>
                </c:pt>
                <c:pt idx="1102" formatCode="m/d/yyyy\ h:mm">
                  <c:v>36851.625000000902</c:v>
                </c:pt>
                <c:pt idx="1103" formatCode="m/d/yyyy\ h:mm">
                  <c:v>36851.645833334238</c:v>
                </c:pt>
                <c:pt idx="1104" formatCode="m/d/yyyy\ h:mm">
                  <c:v>36851.666666667574</c:v>
                </c:pt>
                <c:pt idx="1105" formatCode="m/d/yyyy\ h:mm">
                  <c:v>36851.687500000909</c:v>
                </c:pt>
                <c:pt idx="1106" formatCode="m/d/yyyy\ h:mm">
                  <c:v>36851.708333334245</c:v>
                </c:pt>
                <c:pt idx="1107" formatCode="m/d/yyyy\ h:mm">
                  <c:v>36851.729166667581</c:v>
                </c:pt>
                <c:pt idx="1108" formatCode="m/d/yyyy\ h:mm">
                  <c:v>36851.750000000917</c:v>
                </c:pt>
                <c:pt idx="1109" formatCode="m/d/yyyy\ h:mm">
                  <c:v>36851.770833334253</c:v>
                </c:pt>
                <c:pt idx="1110" formatCode="m/d/yyyy\ h:mm">
                  <c:v>36851.791666667588</c:v>
                </c:pt>
                <c:pt idx="1111" formatCode="m/d/yyyy\ h:mm">
                  <c:v>36851.812500000924</c:v>
                </c:pt>
                <c:pt idx="1112" formatCode="m/d/yyyy\ h:mm">
                  <c:v>36851.83333333426</c:v>
                </c:pt>
                <c:pt idx="1113" formatCode="m/d/yyyy\ h:mm">
                  <c:v>36851.854166667596</c:v>
                </c:pt>
                <c:pt idx="1114" formatCode="m/d/yyyy\ h:mm">
                  <c:v>36851.875000000931</c:v>
                </c:pt>
                <c:pt idx="1115" formatCode="m/d/yyyy\ h:mm">
                  <c:v>36851.895833334267</c:v>
                </c:pt>
                <c:pt idx="1116" formatCode="m/d/yyyy\ h:mm">
                  <c:v>36851.916666667603</c:v>
                </c:pt>
                <c:pt idx="1117" formatCode="m/d/yyyy\ h:mm">
                  <c:v>36851.937500000939</c:v>
                </c:pt>
                <c:pt idx="1118" formatCode="m/d/yyyy\ h:mm">
                  <c:v>36851.958333334274</c:v>
                </c:pt>
                <c:pt idx="1119" formatCode="m/d/yyyy\ h:mm">
                  <c:v>36851.97916666761</c:v>
                </c:pt>
                <c:pt idx="1120" formatCode="m/d/yyyy\ h:mm">
                  <c:v>36852.000000000946</c:v>
                </c:pt>
                <c:pt idx="1121" formatCode="m/d/yyyy\ h:mm">
                  <c:v>36852.020833334282</c:v>
                </c:pt>
                <c:pt idx="1122" formatCode="m/d/yyyy\ h:mm">
                  <c:v>36852.041666667617</c:v>
                </c:pt>
                <c:pt idx="1123" formatCode="m/d/yyyy\ h:mm">
                  <c:v>36852.062500000953</c:v>
                </c:pt>
                <c:pt idx="1124" formatCode="m/d/yyyy\ h:mm">
                  <c:v>36852.083333334289</c:v>
                </c:pt>
                <c:pt idx="1125" formatCode="m/d/yyyy\ h:mm">
                  <c:v>36852.104166667625</c:v>
                </c:pt>
                <c:pt idx="1126" formatCode="m/d/yyyy\ h:mm">
                  <c:v>36852.12500000096</c:v>
                </c:pt>
                <c:pt idx="1127" formatCode="m/d/yyyy\ h:mm">
                  <c:v>36852.145833334296</c:v>
                </c:pt>
                <c:pt idx="1128" formatCode="m/d/yyyy\ h:mm">
                  <c:v>36852.166666667632</c:v>
                </c:pt>
                <c:pt idx="1129" formatCode="m/d/yyyy\ h:mm">
                  <c:v>36852.187500000968</c:v>
                </c:pt>
                <c:pt idx="1130" formatCode="m/d/yyyy\ h:mm">
                  <c:v>36852.208333334303</c:v>
                </c:pt>
                <c:pt idx="1131" formatCode="m/d/yyyy\ h:mm">
                  <c:v>36852.229166667639</c:v>
                </c:pt>
                <c:pt idx="1132" formatCode="m/d/yyyy\ h:mm">
                  <c:v>36852.250000000975</c:v>
                </c:pt>
                <c:pt idx="1133" formatCode="m/d/yyyy\ h:mm">
                  <c:v>36852.270833334311</c:v>
                </c:pt>
                <c:pt idx="1134" formatCode="m/d/yyyy\ h:mm">
                  <c:v>36852.291666667646</c:v>
                </c:pt>
                <c:pt idx="1135" formatCode="m/d/yyyy\ h:mm">
                  <c:v>36852.312500000982</c:v>
                </c:pt>
                <c:pt idx="1136" formatCode="m/d/yyyy\ h:mm">
                  <c:v>36852.333333334318</c:v>
                </c:pt>
                <c:pt idx="1137" formatCode="m/d/yyyy\ h:mm">
                  <c:v>36852.354166667654</c:v>
                </c:pt>
                <c:pt idx="1138" formatCode="m/d/yyyy\ h:mm">
                  <c:v>36852.37500000099</c:v>
                </c:pt>
                <c:pt idx="1139" formatCode="m/d/yyyy\ h:mm">
                  <c:v>36852.395833334325</c:v>
                </c:pt>
                <c:pt idx="1140" formatCode="m/d/yyyy\ h:mm">
                  <c:v>36852.416666667661</c:v>
                </c:pt>
                <c:pt idx="1141" formatCode="m/d/yyyy\ h:mm">
                  <c:v>36852.437500000997</c:v>
                </c:pt>
                <c:pt idx="1142" formatCode="m/d/yyyy\ h:mm">
                  <c:v>36852.458333334333</c:v>
                </c:pt>
                <c:pt idx="1143" formatCode="m/d/yyyy\ h:mm">
                  <c:v>36852.479166667668</c:v>
                </c:pt>
                <c:pt idx="1144" formatCode="m/d/yyyy\ h:mm">
                  <c:v>36852.500000001004</c:v>
                </c:pt>
                <c:pt idx="1145" formatCode="m/d/yyyy\ h:mm">
                  <c:v>36852.52083333434</c:v>
                </c:pt>
                <c:pt idx="1146" formatCode="m/d/yyyy\ h:mm">
                  <c:v>36852.541666667676</c:v>
                </c:pt>
                <c:pt idx="1147" formatCode="m/d/yyyy\ h:mm">
                  <c:v>36852.562500001011</c:v>
                </c:pt>
                <c:pt idx="1148" formatCode="m/d/yyyy\ h:mm">
                  <c:v>36852.583333334347</c:v>
                </c:pt>
                <c:pt idx="1149" formatCode="m/d/yyyy\ h:mm">
                  <c:v>36852.604166667683</c:v>
                </c:pt>
                <c:pt idx="1150" formatCode="m/d/yyyy\ h:mm">
                  <c:v>36852.625000001019</c:v>
                </c:pt>
                <c:pt idx="1151" formatCode="m/d/yyyy\ h:mm">
                  <c:v>36852.645833334354</c:v>
                </c:pt>
                <c:pt idx="1152" formatCode="m/d/yyyy\ h:mm">
                  <c:v>36852.66666666769</c:v>
                </c:pt>
                <c:pt idx="1153" formatCode="m/d/yyyy\ h:mm">
                  <c:v>36852.687500001026</c:v>
                </c:pt>
                <c:pt idx="1154" formatCode="m/d/yyyy\ h:mm">
                  <c:v>36852.708333334362</c:v>
                </c:pt>
                <c:pt idx="1155" formatCode="m/d/yyyy\ h:mm">
                  <c:v>36852.729166667697</c:v>
                </c:pt>
                <c:pt idx="1156" formatCode="m/d/yyyy\ h:mm">
                  <c:v>36852.750000001033</c:v>
                </c:pt>
                <c:pt idx="1157" formatCode="m/d/yyyy\ h:mm">
                  <c:v>36852.770833334369</c:v>
                </c:pt>
                <c:pt idx="1158" formatCode="m/d/yyyy\ h:mm">
                  <c:v>36852.791666667705</c:v>
                </c:pt>
                <c:pt idx="1159" formatCode="m/d/yyyy\ h:mm">
                  <c:v>36852.81250000104</c:v>
                </c:pt>
                <c:pt idx="1160" formatCode="m/d/yyyy\ h:mm">
                  <c:v>36852.833333334376</c:v>
                </c:pt>
                <c:pt idx="1161" formatCode="m/d/yyyy\ h:mm">
                  <c:v>36852.854166667712</c:v>
                </c:pt>
                <c:pt idx="1162" formatCode="m/d/yyyy\ h:mm">
                  <c:v>36852.875000001048</c:v>
                </c:pt>
                <c:pt idx="1163" formatCode="m/d/yyyy\ h:mm">
                  <c:v>36852.895833334383</c:v>
                </c:pt>
                <c:pt idx="1164" formatCode="m/d/yyyy\ h:mm">
                  <c:v>36852.916666667719</c:v>
                </c:pt>
                <c:pt idx="1165" formatCode="m/d/yyyy\ h:mm">
                  <c:v>36852.937500001055</c:v>
                </c:pt>
                <c:pt idx="1166" formatCode="m/d/yyyy\ h:mm">
                  <c:v>36852.958333334391</c:v>
                </c:pt>
                <c:pt idx="1167" formatCode="m/d/yyyy\ h:mm">
                  <c:v>36852.979166667727</c:v>
                </c:pt>
                <c:pt idx="1168" formatCode="m/d/yyyy\ h:mm">
                  <c:v>36853.000000001062</c:v>
                </c:pt>
                <c:pt idx="1169" formatCode="m/d/yyyy\ h:mm">
                  <c:v>36853.020833334398</c:v>
                </c:pt>
                <c:pt idx="1170" formatCode="m/d/yyyy\ h:mm">
                  <c:v>36853.041666667734</c:v>
                </c:pt>
                <c:pt idx="1171" formatCode="m/d/yyyy\ h:mm">
                  <c:v>36853.06250000107</c:v>
                </c:pt>
                <c:pt idx="1172" formatCode="m/d/yyyy\ h:mm">
                  <c:v>36853.083333334405</c:v>
                </c:pt>
                <c:pt idx="1173" formatCode="m/d/yyyy\ h:mm">
                  <c:v>36853.104166667741</c:v>
                </c:pt>
                <c:pt idx="1174" formatCode="m/d/yyyy\ h:mm">
                  <c:v>36853.125000001077</c:v>
                </c:pt>
                <c:pt idx="1175" formatCode="m/d/yyyy\ h:mm">
                  <c:v>36853.145833334413</c:v>
                </c:pt>
                <c:pt idx="1176" formatCode="m/d/yyyy\ h:mm">
                  <c:v>36853.166666667748</c:v>
                </c:pt>
                <c:pt idx="1177" formatCode="m/d/yyyy\ h:mm">
                  <c:v>36853.187500001084</c:v>
                </c:pt>
                <c:pt idx="1178" formatCode="m/d/yyyy\ h:mm">
                  <c:v>36853.20833333442</c:v>
                </c:pt>
                <c:pt idx="1179" formatCode="m/d/yyyy\ h:mm">
                  <c:v>36853.229166667756</c:v>
                </c:pt>
                <c:pt idx="1180" formatCode="m/d/yyyy\ h:mm">
                  <c:v>36853.250000001091</c:v>
                </c:pt>
                <c:pt idx="1181" formatCode="m/d/yyyy\ h:mm">
                  <c:v>36853.270833334427</c:v>
                </c:pt>
                <c:pt idx="1182" formatCode="m/d/yyyy\ h:mm">
                  <c:v>36853.291666667763</c:v>
                </c:pt>
                <c:pt idx="1183" formatCode="m/d/yyyy\ h:mm">
                  <c:v>36853.312500001099</c:v>
                </c:pt>
                <c:pt idx="1184" formatCode="m/d/yyyy\ h:mm">
                  <c:v>36853.333333334434</c:v>
                </c:pt>
                <c:pt idx="1185" formatCode="m/d/yyyy\ h:mm">
                  <c:v>36853.35416666777</c:v>
                </c:pt>
                <c:pt idx="1186" formatCode="m/d/yyyy\ h:mm">
                  <c:v>36853.375000001106</c:v>
                </c:pt>
                <c:pt idx="1187" formatCode="m/d/yyyy\ h:mm">
                  <c:v>36853.395833334442</c:v>
                </c:pt>
                <c:pt idx="1188" formatCode="m/d/yyyy\ h:mm">
                  <c:v>36853.416666667777</c:v>
                </c:pt>
                <c:pt idx="1189" formatCode="m/d/yyyy\ h:mm">
                  <c:v>36853.437500001113</c:v>
                </c:pt>
                <c:pt idx="1190" formatCode="m/d/yyyy\ h:mm">
                  <c:v>36853.458333334449</c:v>
                </c:pt>
                <c:pt idx="1191" formatCode="m/d/yyyy\ h:mm">
                  <c:v>36853.479166667785</c:v>
                </c:pt>
                <c:pt idx="1192" formatCode="m/d/yyyy\ h:mm">
                  <c:v>36853.50000000112</c:v>
                </c:pt>
                <c:pt idx="1193" formatCode="m/d/yyyy\ h:mm">
                  <c:v>36853.520833334456</c:v>
                </c:pt>
                <c:pt idx="1194" formatCode="m/d/yyyy\ h:mm">
                  <c:v>36853.541666667792</c:v>
                </c:pt>
                <c:pt idx="1195" formatCode="m/d/yyyy\ h:mm">
                  <c:v>36853.562500001128</c:v>
                </c:pt>
                <c:pt idx="1196" formatCode="m/d/yyyy\ h:mm">
                  <c:v>36853.583333334464</c:v>
                </c:pt>
                <c:pt idx="1197" formatCode="m/d/yyyy\ h:mm">
                  <c:v>36853.604166667799</c:v>
                </c:pt>
                <c:pt idx="1198" formatCode="m/d/yyyy\ h:mm">
                  <c:v>36853.625000001135</c:v>
                </c:pt>
                <c:pt idx="1199" formatCode="m/d/yyyy\ h:mm">
                  <c:v>36853.645833334471</c:v>
                </c:pt>
                <c:pt idx="1200" formatCode="m/d/yyyy\ h:mm">
                  <c:v>36853.666666667807</c:v>
                </c:pt>
                <c:pt idx="1201" formatCode="m/d/yyyy\ h:mm">
                  <c:v>36853.687500001142</c:v>
                </c:pt>
                <c:pt idx="1202" formatCode="m/d/yyyy\ h:mm">
                  <c:v>36853.708333334478</c:v>
                </c:pt>
                <c:pt idx="1203" formatCode="m/d/yyyy\ h:mm">
                  <c:v>36853.729166667814</c:v>
                </c:pt>
                <c:pt idx="1204" formatCode="m/d/yyyy\ h:mm">
                  <c:v>36853.75000000115</c:v>
                </c:pt>
                <c:pt idx="1205" formatCode="m/d/yyyy\ h:mm">
                  <c:v>36853.770833334485</c:v>
                </c:pt>
                <c:pt idx="1206" formatCode="m/d/yyyy\ h:mm">
                  <c:v>36853.791666667821</c:v>
                </c:pt>
                <c:pt idx="1207" formatCode="m/d/yyyy\ h:mm">
                  <c:v>36853.812500001157</c:v>
                </c:pt>
                <c:pt idx="1208" formatCode="m/d/yyyy\ h:mm">
                  <c:v>36853.833333334493</c:v>
                </c:pt>
                <c:pt idx="1209" formatCode="m/d/yyyy\ h:mm">
                  <c:v>36853.854166667828</c:v>
                </c:pt>
                <c:pt idx="1210" formatCode="m/d/yyyy\ h:mm">
                  <c:v>36853.875000001164</c:v>
                </c:pt>
                <c:pt idx="1211" formatCode="m/d/yyyy\ h:mm">
                  <c:v>36853.8958333345</c:v>
                </c:pt>
                <c:pt idx="1212" formatCode="m/d/yyyy\ h:mm">
                  <c:v>36853.916666667836</c:v>
                </c:pt>
                <c:pt idx="1213" formatCode="m/d/yyyy\ h:mm">
                  <c:v>36853.937500001171</c:v>
                </c:pt>
                <c:pt idx="1214" formatCode="m/d/yyyy\ h:mm">
                  <c:v>36853.958333334507</c:v>
                </c:pt>
                <c:pt idx="1215" formatCode="m/d/yyyy\ h:mm">
                  <c:v>36853.979166667843</c:v>
                </c:pt>
                <c:pt idx="1216" formatCode="m/d/yyyy\ h:mm">
                  <c:v>36854.000000001179</c:v>
                </c:pt>
                <c:pt idx="1217" formatCode="m/d/yyyy\ h:mm">
                  <c:v>36854.020833334514</c:v>
                </c:pt>
                <c:pt idx="1218" formatCode="m/d/yyyy\ h:mm">
                  <c:v>36854.04166666785</c:v>
                </c:pt>
                <c:pt idx="1219" formatCode="m/d/yyyy\ h:mm">
                  <c:v>36854.062500001186</c:v>
                </c:pt>
                <c:pt idx="1220" formatCode="m/d/yyyy\ h:mm">
                  <c:v>36854.083333334522</c:v>
                </c:pt>
                <c:pt idx="1221" formatCode="m/d/yyyy\ h:mm">
                  <c:v>36854.104166667857</c:v>
                </c:pt>
                <c:pt idx="1222" formatCode="m/d/yyyy\ h:mm">
                  <c:v>36854.125000001193</c:v>
                </c:pt>
                <c:pt idx="1223" formatCode="m/d/yyyy\ h:mm">
                  <c:v>36854.145833334529</c:v>
                </c:pt>
                <c:pt idx="1224" formatCode="m/d/yyyy\ h:mm">
                  <c:v>36854.166666667865</c:v>
                </c:pt>
                <c:pt idx="1225" formatCode="m/d/yyyy\ h:mm">
                  <c:v>36854.187500001201</c:v>
                </c:pt>
                <c:pt idx="1226" formatCode="m/d/yyyy\ h:mm">
                  <c:v>36854.208333334536</c:v>
                </c:pt>
                <c:pt idx="1227" formatCode="m/d/yyyy\ h:mm">
                  <c:v>36854.229166667872</c:v>
                </c:pt>
                <c:pt idx="1228" formatCode="m/d/yyyy\ h:mm">
                  <c:v>36854.250000001208</c:v>
                </c:pt>
                <c:pt idx="1229" formatCode="m/d/yyyy\ h:mm">
                  <c:v>36854.270833334544</c:v>
                </c:pt>
                <c:pt idx="1230" formatCode="m/d/yyyy\ h:mm">
                  <c:v>36854.291666667879</c:v>
                </c:pt>
                <c:pt idx="1231" formatCode="m/d/yyyy\ h:mm">
                  <c:v>36854.312500001215</c:v>
                </c:pt>
                <c:pt idx="1232" formatCode="m/d/yyyy\ h:mm">
                  <c:v>36854.333333334551</c:v>
                </c:pt>
                <c:pt idx="1233" formatCode="m/d/yyyy\ h:mm">
                  <c:v>36854.354166667887</c:v>
                </c:pt>
                <c:pt idx="1234" formatCode="m/d/yyyy\ h:mm">
                  <c:v>36854.375000001222</c:v>
                </c:pt>
                <c:pt idx="1235" formatCode="m/d/yyyy\ h:mm">
                  <c:v>36854.395833334558</c:v>
                </c:pt>
                <c:pt idx="1236" formatCode="m/d/yyyy\ h:mm">
                  <c:v>36854.416666667894</c:v>
                </c:pt>
                <c:pt idx="1237" formatCode="m/d/yyyy\ h:mm">
                  <c:v>36854.43750000123</c:v>
                </c:pt>
                <c:pt idx="1238" formatCode="m/d/yyyy\ h:mm">
                  <c:v>36854.458333334565</c:v>
                </c:pt>
                <c:pt idx="1239" formatCode="m/d/yyyy\ h:mm">
                  <c:v>36854.479166667901</c:v>
                </c:pt>
                <c:pt idx="1240" formatCode="m/d/yyyy\ h:mm">
                  <c:v>36854.500000001237</c:v>
                </c:pt>
                <c:pt idx="1241" formatCode="m/d/yyyy\ h:mm">
                  <c:v>36854.520833334573</c:v>
                </c:pt>
                <c:pt idx="1242" formatCode="m/d/yyyy\ h:mm">
                  <c:v>36854.541666667908</c:v>
                </c:pt>
                <c:pt idx="1243" formatCode="m/d/yyyy\ h:mm">
                  <c:v>36854.562500001244</c:v>
                </c:pt>
                <c:pt idx="1244" formatCode="m/d/yyyy\ h:mm">
                  <c:v>36854.58333333458</c:v>
                </c:pt>
                <c:pt idx="1245" formatCode="m/d/yyyy\ h:mm">
                  <c:v>36854.604166667916</c:v>
                </c:pt>
                <c:pt idx="1246" formatCode="m/d/yyyy\ h:mm">
                  <c:v>36854.625000001251</c:v>
                </c:pt>
                <c:pt idx="1247" formatCode="m/d/yyyy\ h:mm">
                  <c:v>36854.645833334587</c:v>
                </c:pt>
                <c:pt idx="1248" formatCode="m/d/yyyy\ h:mm">
                  <c:v>36854.666666667923</c:v>
                </c:pt>
                <c:pt idx="1249" formatCode="m/d/yyyy\ h:mm">
                  <c:v>36854.687500001259</c:v>
                </c:pt>
                <c:pt idx="1250" formatCode="m/d/yyyy\ h:mm">
                  <c:v>36854.708333334594</c:v>
                </c:pt>
                <c:pt idx="1251" formatCode="m/d/yyyy\ h:mm">
                  <c:v>36854.72916666793</c:v>
                </c:pt>
                <c:pt idx="1252" formatCode="m/d/yyyy\ h:mm">
                  <c:v>36854.750000001266</c:v>
                </c:pt>
                <c:pt idx="1253" formatCode="m/d/yyyy\ h:mm">
                  <c:v>36854.770833334602</c:v>
                </c:pt>
                <c:pt idx="1254" formatCode="m/d/yyyy\ h:mm">
                  <c:v>36854.791666667938</c:v>
                </c:pt>
                <c:pt idx="1255" formatCode="m/d/yyyy\ h:mm">
                  <c:v>36854.812500001273</c:v>
                </c:pt>
                <c:pt idx="1256" formatCode="m/d/yyyy\ h:mm">
                  <c:v>36854.833333334609</c:v>
                </c:pt>
                <c:pt idx="1257" formatCode="m/d/yyyy\ h:mm">
                  <c:v>36854.854166667945</c:v>
                </c:pt>
                <c:pt idx="1258" formatCode="m/d/yyyy\ h:mm">
                  <c:v>36854.875000001281</c:v>
                </c:pt>
                <c:pt idx="1259" formatCode="m/d/yyyy\ h:mm">
                  <c:v>36854.895833334616</c:v>
                </c:pt>
                <c:pt idx="1260" formatCode="m/d/yyyy\ h:mm">
                  <c:v>36854.916666667952</c:v>
                </c:pt>
                <c:pt idx="1261" formatCode="m/d/yyyy\ h:mm">
                  <c:v>36854.937500001288</c:v>
                </c:pt>
                <c:pt idx="1262" formatCode="m/d/yyyy\ h:mm">
                  <c:v>36854.958333334624</c:v>
                </c:pt>
                <c:pt idx="1263" formatCode="m/d/yyyy\ h:mm">
                  <c:v>36854.979166667959</c:v>
                </c:pt>
                <c:pt idx="1264" formatCode="m/d/yyyy\ h:mm">
                  <c:v>36855.000000001295</c:v>
                </c:pt>
                <c:pt idx="1265" formatCode="m/d/yyyy\ h:mm">
                  <c:v>36855.020833334631</c:v>
                </c:pt>
                <c:pt idx="1266" formatCode="m/d/yyyy\ h:mm">
                  <c:v>36855.041666667967</c:v>
                </c:pt>
                <c:pt idx="1267" formatCode="m/d/yyyy\ h:mm">
                  <c:v>36855.062500001302</c:v>
                </c:pt>
                <c:pt idx="1268" formatCode="m/d/yyyy\ h:mm">
                  <c:v>36855.083333334638</c:v>
                </c:pt>
                <c:pt idx="1269" formatCode="m/d/yyyy\ h:mm">
                  <c:v>36855.104166667974</c:v>
                </c:pt>
                <c:pt idx="1270" formatCode="m/d/yyyy\ h:mm">
                  <c:v>36855.12500000131</c:v>
                </c:pt>
                <c:pt idx="1271" formatCode="m/d/yyyy\ h:mm">
                  <c:v>36855.145833334645</c:v>
                </c:pt>
                <c:pt idx="1272" formatCode="m/d/yyyy\ h:mm">
                  <c:v>36855.166666667981</c:v>
                </c:pt>
                <c:pt idx="1273" formatCode="m/d/yyyy\ h:mm">
                  <c:v>36855.187500001317</c:v>
                </c:pt>
                <c:pt idx="1274" formatCode="m/d/yyyy\ h:mm">
                  <c:v>36855.208333334653</c:v>
                </c:pt>
                <c:pt idx="1275" formatCode="m/d/yyyy\ h:mm">
                  <c:v>36855.229166667988</c:v>
                </c:pt>
                <c:pt idx="1276" formatCode="m/d/yyyy\ h:mm">
                  <c:v>36855.250000001324</c:v>
                </c:pt>
                <c:pt idx="1277" formatCode="m/d/yyyy\ h:mm">
                  <c:v>36855.27083333466</c:v>
                </c:pt>
                <c:pt idx="1278" formatCode="m/d/yyyy\ h:mm">
                  <c:v>36855.291666667996</c:v>
                </c:pt>
                <c:pt idx="1279" formatCode="m/d/yyyy\ h:mm">
                  <c:v>36855.312500001332</c:v>
                </c:pt>
                <c:pt idx="1280" formatCode="m/d/yyyy\ h:mm">
                  <c:v>36855.333333334667</c:v>
                </c:pt>
                <c:pt idx="1281" formatCode="m/d/yyyy\ h:mm">
                  <c:v>36855.354166668003</c:v>
                </c:pt>
                <c:pt idx="1282" formatCode="m/d/yyyy\ h:mm">
                  <c:v>36855.375000001339</c:v>
                </c:pt>
                <c:pt idx="1283" formatCode="m/d/yyyy\ h:mm">
                  <c:v>36855.395833334675</c:v>
                </c:pt>
                <c:pt idx="1284" formatCode="m/d/yyyy\ h:mm">
                  <c:v>36855.41666666801</c:v>
                </c:pt>
                <c:pt idx="1285" formatCode="m/d/yyyy\ h:mm">
                  <c:v>36855.437500001346</c:v>
                </c:pt>
                <c:pt idx="1286" formatCode="m/d/yyyy\ h:mm">
                  <c:v>36855.458333334682</c:v>
                </c:pt>
                <c:pt idx="1287" formatCode="m/d/yyyy\ h:mm">
                  <c:v>36855.479166668018</c:v>
                </c:pt>
                <c:pt idx="1288" formatCode="m/d/yyyy\ h:mm">
                  <c:v>36855.500000001353</c:v>
                </c:pt>
                <c:pt idx="1289" formatCode="m/d/yyyy\ h:mm">
                  <c:v>36855.520833334689</c:v>
                </c:pt>
                <c:pt idx="1290" formatCode="m/d/yyyy\ h:mm">
                  <c:v>36855.541666668025</c:v>
                </c:pt>
                <c:pt idx="1291" formatCode="m/d/yyyy\ h:mm">
                  <c:v>36855.562500001361</c:v>
                </c:pt>
              </c:numCache>
            </c:numRef>
          </c:xVal>
          <c:yVal>
            <c:numRef>
              <c:f>AADATA!$R$6:$R$1292</c:f>
              <c:numCache>
                <c:formatCode>General</c:formatCode>
                <c:ptCount val="1287"/>
                <c:pt idx="0">
                  <c:v>-1.0074890359486397</c:v>
                </c:pt>
                <c:pt idx="1">
                  <c:v>-1.0074890359486397</c:v>
                </c:pt>
                <c:pt idx="2">
                  <c:v>-1.0076566997054672</c:v>
                </c:pt>
                <c:pt idx="3">
                  <c:v>-1.0046636600033718</c:v>
                </c:pt>
                <c:pt idx="4">
                  <c:v>-1.0001743226461883</c:v>
                </c:pt>
                <c:pt idx="5">
                  <c:v>-1.0005070765022801</c:v>
                </c:pt>
                <c:pt idx="6">
                  <c:v>-1.009166088632178</c:v>
                </c:pt>
                <c:pt idx="7">
                  <c:v>-1.0161856057043008</c:v>
                </c:pt>
                <c:pt idx="8">
                  <c:v>-1.0282422051234235</c:v>
                </c:pt>
                <c:pt idx="9">
                  <c:v>-0.98766082328609417</c:v>
                </c:pt>
                <c:pt idx="10">
                  <c:v>-1.0239400731041153</c:v>
                </c:pt>
                <c:pt idx="11">
                  <c:v>-1.0170604786668727</c:v>
                </c:pt>
                <c:pt idx="12">
                  <c:v>-1.0197301633155071</c:v>
                </c:pt>
                <c:pt idx="13">
                  <c:v>-1.0032813493133419</c:v>
                </c:pt>
                <c:pt idx="14">
                  <c:v>-0.99134571662982052</c:v>
                </c:pt>
                <c:pt idx="15">
                  <c:v>-1.0131784875364198</c:v>
                </c:pt>
                <c:pt idx="16">
                  <c:v>-0.98986314625521044</c:v>
                </c:pt>
                <c:pt idx="17">
                  <c:v>-0.99734739632143743</c:v>
                </c:pt>
                <c:pt idx="18">
                  <c:v>-1.0003334663703038</c:v>
                </c:pt>
                <c:pt idx="19">
                  <c:v>-1.0019901163615921</c:v>
                </c:pt>
                <c:pt idx="20">
                  <c:v>-1.0009881491914689</c:v>
                </c:pt>
                <c:pt idx="21">
                  <c:v>-1.0016560901211444</c:v>
                </c:pt>
                <c:pt idx="22">
                  <c:v>-1.002324179736215</c:v>
                </c:pt>
                <c:pt idx="23">
                  <c:v>-1.0008211872260306</c:v>
                </c:pt>
                <c:pt idx="24">
                  <c:v>-1.0029924177395646</c:v>
                </c:pt>
                <c:pt idx="25">
                  <c:v>-1.0057905079173219</c:v>
                </c:pt>
                <c:pt idx="26">
                  <c:v>-1.0026582802078963</c:v>
                </c:pt>
                <c:pt idx="27">
                  <c:v>-1.0089983419074948</c:v>
                </c:pt>
                <c:pt idx="28">
                  <c:v>-1.0033369568873396</c:v>
                </c:pt>
                <c:pt idx="29">
                  <c:v>-0.99718191699467884</c:v>
                </c:pt>
                <c:pt idx="30">
                  <c:v>-0.97626247307199099</c:v>
                </c:pt>
                <c:pt idx="31">
                  <c:v>-0.9785807417691913</c:v>
                </c:pt>
                <c:pt idx="32">
                  <c:v>-1.0123081209455345</c:v>
                </c:pt>
                <c:pt idx="33">
                  <c:v>-0.99252632749395708</c:v>
                </c:pt>
                <c:pt idx="34">
                  <c:v>-1.0008336356159533</c:v>
                </c:pt>
                <c:pt idx="35">
                  <c:v>-1.0227424316194866</c:v>
                </c:pt>
                <c:pt idx="36">
                  <c:v>-1.031052713907664</c:v>
                </c:pt>
                <c:pt idx="37">
                  <c:v>-1.0224016766845552</c:v>
                </c:pt>
                <c:pt idx="38">
                  <c:v>-1.0088121733315432</c:v>
                </c:pt>
                <c:pt idx="39">
                  <c:v>-1.0020010204429755</c:v>
                </c:pt>
                <c:pt idx="40">
                  <c:v>-1.002324179736215</c:v>
                </c:pt>
                <c:pt idx="41">
                  <c:v>-0.9804263327111935</c:v>
                </c:pt>
                <c:pt idx="42">
                  <c:v>-0.98755838682675634</c:v>
                </c:pt>
                <c:pt idx="43">
                  <c:v>-0.94448596270599638</c:v>
                </c:pt>
                <c:pt idx="44">
                  <c:v>-0.95144533295751432</c:v>
                </c:pt>
                <c:pt idx="45">
                  <c:v>-0.94464349155852279</c:v>
                </c:pt>
                <c:pt idx="46">
                  <c:v>-0.93606384207671645</c:v>
                </c:pt>
                <c:pt idx="47">
                  <c:v>-0.99419575021683837</c:v>
                </c:pt>
                <c:pt idx="48">
                  <c:v>-0.98922477146575416</c:v>
                </c:pt>
                <c:pt idx="49">
                  <c:v>-0.91573134541351486</c:v>
                </c:pt>
                <c:pt idx="50">
                  <c:v>-0.96804778644901979</c:v>
                </c:pt>
                <c:pt idx="51">
                  <c:v>-0.96837099975941099</c:v>
                </c:pt>
                <c:pt idx="52">
                  <c:v>-0.80995601446538712</c:v>
                </c:pt>
                <c:pt idx="53">
                  <c:v>-0.77878101572962433</c:v>
                </c:pt>
                <c:pt idx="54">
                  <c:v>-0.86332645130762664</c:v>
                </c:pt>
                <c:pt idx="55">
                  <c:v>-0.95786190811627536</c:v>
                </c:pt>
                <c:pt idx="56">
                  <c:v>-0.97272015901776876</c:v>
                </c:pt>
                <c:pt idx="57">
                  <c:v>-0.9573815119432052</c:v>
                </c:pt>
                <c:pt idx="58">
                  <c:v>-0.90635330499109823</c:v>
                </c:pt>
                <c:pt idx="59">
                  <c:v>-0.95802205825230891</c:v>
                </c:pt>
                <c:pt idx="60">
                  <c:v>-0.93663976522020775</c:v>
                </c:pt>
                <c:pt idx="61">
                  <c:v>-0.97174454567533808</c:v>
                </c:pt>
                <c:pt idx="62">
                  <c:v>-0.96088362962693041</c:v>
                </c:pt>
                <c:pt idx="63">
                  <c:v>-0.94581715356841056</c:v>
                </c:pt>
                <c:pt idx="64">
                  <c:v>-0.934192417692849</c:v>
                </c:pt>
                <c:pt idx="65">
                  <c:v>-0.93450522724506591</c:v>
                </c:pt>
                <c:pt idx="66">
                  <c:v>-0.93695329015251594</c:v>
                </c:pt>
                <c:pt idx="67">
                  <c:v>-0.93528740636014196</c:v>
                </c:pt>
                <c:pt idx="68">
                  <c:v>-0.93356621225341163</c:v>
                </c:pt>
                <c:pt idx="69">
                  <c:v>-0.92876618549492385</c:v>
                </c:pt>
                <c:pt idx="70">
                  <c:v>-0.93031874451562213</c:v>
                </c:pt>
                <c:pt idx="71">
                  <c:v>-0.9300081630151884</c:v>
                </c:pt>
                <c:pt idx="72">
                  <c:v>-0.95675047124829993</c:v>
                </c:pt>
                <c:pt idx="73">
                  <c:v>-0.95468738780561491</c:v>
                </c:pt>
                <c:pt idx="74">
                  <c:v>-0.94125423101207495</c:v>
                </c:pt>
                <c:pt idx="75">
                  <c:v>-0.9712942596613966</c:v>
                </c:pt>
                <c:pt idx="76">
                  <c:v>-0.95311201638472354</c:v>
                </c:pt>
                <c:pt idx="77">
                  <c:v>-0.94780094655328961</c:v>
                </c:pt>
                <c:pt idx="78">
                  <c:v>-0.94043137861162895</c:v>
                </c:pt>
                <c:pt idx="79">
                  <c:v>-0.9446425319781675</c:v>
                </c:pt>
                <c:pt idx="80">
                  <c:v>-0.93151744947676562</c:v>
                </c:pt>
                <c:pt idx="81">
                  <c:v>-0.921244018574499</c:v>
                </c:pt>
                <c:pt idx="82">
                  <c:v>-0.93300693931571366</c:v>
                </c:pt>
                <c:pt idx="83">
                  <c:v>-0.91652505171857845</c:v>
                </c:pt>
                <c:pt idx="84">
                  <c:v>-0.91681621071602926</c:v>
                </c:pt>
                <c:pt idx="85">
                  <c:v>-0.94999715887462921</c:v>
                </c:pt>
                <c:pt idx="86">
                  <c:v>-0.88347344349994095</c:v>
                </c:pt>
                <c:pt idx="87">
                  <c:v>-0.87831593957830845</c:v>
                </c:pt>
                <c:pt idx="88">
                  <c:v>-0.89237117766456542</c:v>
                </c:pt>
                <c:pt idx="89">
                  <c:v>-0.89177928285227481</c:v>
                </c:pt>
                <c:pt idx="90">
                  <c:v>-0.89044798994998431</c:v>
                </c:pt>
                <c:pt idx="91">
                  <c:v>-0.89571173197299947</c:v>
                </c:pt>
                <c:pt idx="92">
                  <c:v>-0.90349289808973732</c:v>
                </c:pt>
                <c:pt idx="93">
                  <c:v>-0.89379149070258324</c:v>
                </c:pt>
                <c:pt idx="94">
                  <c:v>-0.88573959790487444</c:v>
                </c:pt>
                <c:pt idx="95">
                  <c:v>-0.89111536730840135</c:v>
                </c:pt>
                <c:pt idx="96">
                  <c:v>-0.89141167261471765</c:v>
                </c:pt>
                <c:pt idx="97">
                  <c:v>-0.89081909450361696</c:v>
                </c:pt>
                <c:pt idx="98">
                  <c:v>-0.89530179482181238</c:v>
                </c:pt>
                <c:pt idx="99">
                  <c:v>-0.89351788625376616</c:v>
                </c:pt>
                <c:pt idx="100">
                  <c:v>-0.89827757081900517</c:v>
                </c:pt>
                <c:pt idx="101">
                  <c:v>-0.89022664652844075</c:v>
                </c:pt>
                <c:pt idx="102">
                  <c:v>-0.89447217954422698</c:v>
                </c:pt>
                <c:pt idx="103">
                  <c:v>-0.89536563614134823</c:v>
                </c:pt>
                <c:pt idx="104">
                  <c:v>-0.89432329884313355</c:v>
                </c:pt>
                <c:pt idx="105">
                  <c:v>-0.89387670607633873</c:v>
                </c:pt>
                <c:pt idx="106">
                  <c:v>-0.89387670607633873</c:v>
                </c:pt>
                <c:pt idx="107">
                  <c:v>-0.89402556210508177</c:v>
                </c:pt>
                <c:pt idx="108">
                  <c:v>-0.89731434666535137</c:v>
                </c:pt>
                <c:pt idx="109">
                  <c:v>-0.89582101465997377</c:v>
                </c:pt>
                <c:pt idx="110">
                  <c:v>-0.89567172697964981</c:v>
                </c:pt>
                <c:pt idx="111">
                  <c:v>-0.89552244759228694</c:v>
                </c:pt>
                <c:pt idx="112">
                  <c:v>-0.89537317650203319</c:v>
                </c:pt>
                <c:pt idx="113">
                  <c:v>-0.89507465922945673</c:v>
                </c:pt>
                <c:pt idx="114">
                  <c:v>-0.89826063614486562</c:v>
                </c:pt>
                <c:pt idx="115">
                  <c:v>-0.89477617519515451</c:v>
                </c:pt>
                <c:pt idx="116">
                  <c:v>-0.89631590823057139</c:v>
                </c:pt>
                <c:pt idx="117">
                  <c:v>-0.89661500553198126</c:v>
                </c:pt>
                <c:pt idx="118">
                  <c:v>-0.89661500553198126</c:v>
                </c:pt>
                <c:pt idx="119">
                  <c:v>-0.89556831115591373</c:v>
                </c:pt>
                <c:pt idx="120">
                  <c:v>-0.89586732490562948</c:v>
                </c:pt>
                <c:pt idx="121">
                  <c:v>-0.899447045123692</c:v>
                </c:pt>
                <c:pt idx="122">
                  <c:v>-0.8981109918048884</c:v>
                </c:pt>
                <c:pt idx="123">
                  <c:v>-0.89462694565275291</c:v>
                </c:pt>
                <c:pt idx="124">
                  <c:v>-0.8981109918048884</c:v>
                </c:pt>
                <c:pt idx="125">
                  <c:v>-0.89552244759228694</c:v>
                </c:pt>
                <c:pt idx="126">
                  <c:v>-0.89716497628299297</c:v>
                </c:pt>
                <c:pt idx="127">
                  <c:v>-0.89582101465997377</c:v>
                </c:pt>
                <c:pt idx="128">
                  <c:v>-0.89611961488292635</c:v>
                </c:pt>
                <c:pt idx="129">
                  <c:v>-0.89686626027726291</c:v>
                </c:pt>
                <c:pt idx="130">
                  <c:v>-0.89656757731101222</c:v>
                </c:pt>
                <c:pt idx="131">
                  <c:v>-0.89402556210508177</c:v>
                </c:pt>
                <c:pt idx="132">
                  <c:v>-0.89716497628299297</c:v>
                </c:pt>
                <c:pt idx="133">
                  <c:v>-0.89701561415225595</c:v>
                </c:pt>
                <c:pt idx="134">
                  <c:v>-0.89731434666535137</c:v>
                </c:pt>
                <c:pt idx="135">
                  <c:v>-0.89691413619556593</c:v>
                </c:pt>
                <c:pt idx="136">
                  <c:v>-0.89149613201762623</c:v>
                </c:pt>
                <c:pt idx="137">
                  <c:v>-0.89914696979103603</c:v>
                </c:pt>
                <c:pt idx="138">
                  <c:v>-0.89899694469389724</c:v>
                </c:pt>
                <c:pt idx="139">
                  <c:v>-0.8983969281978843</c:v>
                </c:pt>
                <c:pt idx="140">
                  <c:v>-0.89779704613177258</c:v>
                </c:pt>
                <c:pt idx="141">
                  <c:v>-0.89854691972960299</c:v>
                </c:pt>
                <c:pt idx="142">
                  <c:v>-0.89869691965898024</c:v>
                </c:pt>
                <c:pt idx="143">
                  <c:v>-0.90023202118972878</c:v>
                </c:pt>
                <c:pt idx="144">
                  <c:v>-0.89422316407316926</c:v>
                </c:pt>
                <c:pt idx="145">
                  <c:v>-0.89704738300203413</c:v>
                </c:pt>
                <c:pt idx="146">
                  <c:v>-0.89482092332691587</c:v>
                </c:pt>
                <c:pt idx="147">
                  <c:v>-0.88758005995224387</c:v>
                </c:pt>
                <c:pt idx="148">
                  <c:v>-0.89134600859850222</c:v>
                </c:pt>
                <c:pt idx="149">
                  <c:v>-0.89689747567870237</c:v>
                </c:pt>
                <c:pt idx="150">
                  <c:v>-0.88203177166192825</c:v>
                </c:pt>
                <c:pt idx="151">
                  <c:v>-0.88203177166192825</c:v>
                </c:pt>
                <c:pt idx="152">
                  <c:v>-0.87891171339349017</c:v>
                </c:pt>
                <c:pt idx="153">
                  <c:v>-0.86702113778951961</c:v>
                </c:pt>
                <c:pt idx="154">
                  <c:v>-0.85116102589388576</c:v>
                </c:pt>
                <c:pt idx="155">
                  <c:v>-0.83729469877959317</c:v>
                </c:pt>
                <c:pt idx="156">
                  <c:v>-0.83687486362859365</c:v>
                </c:pt>
                <c:pt idx="157">
                  <c:v>-0.82839741706184</c:v>
                </c:pt>
                <c:pt idx="158">
                  <c:v>-0.82812027862476867</c:v>
                </c:pt>
                <c:pt idx="159">
                  <c:v>-0.82655622266023621</c:v>
                </c:pt>
                <c:pt idx="160">
                  <c:v>-0.82174421397400232</c:v>
                </c:pt>
                <c:pt idx="161">
                  <c:v>-0.82188165151444292</c:v>
                </c:pt>
                <c:pt idx="162">
                  <c:v>-0.81184368127552042</c:v>
                </c:pt>
                <c:pt idx="163">
                  <c:v>-0.80365436398352941</c:v>
                </c:pt>
                <c:pt idx="164">
                  <c:v>-0.80087041545362592</c:v>
                </c:pt>
                <c:pt idx="165">
                  <c:v>-0.80635367631921917</c:v>
                </c:pt>
                <c:pt idx="166">
                  <c:v>-0.80154081669758037</c:v>
                </c:pt>
                <c:pt idx="167">
                  <c:v>-0.80662353035292667</c:v>
                </c:pt>
                <c:pt idx="168">
                  <c:v>-0.81048628731969763</c:v>
                </c:pt>
                <c:pt idx="169">
                  <c:v>-0.81246308314242854</c:v>
                </c:pt>
                <c:pt idx="170">
                  <c:v>-0.81259911888203373</c:v>
                </c:pt>
                <c:pt idx="171">
                  <c:v>-0.81570134907313741</c:v>
                </c:pt>
                <c:pt idx="172">
                  <c:v>-0.81395990065647239</c:v>
                </c:pt>
                <c:pt idx="173">
                  <c:v>-0.80221140773865196</c:v>
                </c:pt>
                <c:pt idx="174">
                  <c:v>-0.80608385285582818</c:v>
                </c:pt>
                <c:pt idx="175">
                  <c:v>-0.80797325800402753</c:v>
                </c:pt>
                <c:pt idx="176">
                  <c:v>-0.79725948546866032</c:v>
                </c:pt>
                <c:pt idx="177">
                  <c:v>-0.80365436398352941</c:v>
                </c:pt>
                <c:pt idx="178">
                  <c:v>-0.82276015774380407</c:v>
                </c:pt>
                <c:pt idx="179">
                  <c:v>-0.83641483694172536</c:v>
                </c:pt>
                <c:pt idx="180">
                  <c:v>-0.81293014915742645</c:v>
                </c:pt>
                <c:pt idx="181">
                  <c:v>-0.80288218810126821</c:v>
                </c:pt>
                <c:pt idx="182">
                  <c:v>-0.81464058011921903</c:v>
                </c:pt>
                <c:pt idx="183">
                  <c:v>-0.80526816612427043</c:v>
                </c:pt>
                <c:pt idx="184">
                  <c:v>-0.80473011077470313</c:v>
                </c:pt>
                <c:pt idx="185">
                  <c:v>-0.80689341492627942</c:v>
                </c:pt>
                <c:pt idx="186">
                  <c:v>-0.80873824420768026</c:v>
                </c:pt>
                <c:pt idx="187">
                  <c:v>-0.81211525227863524</c:v>
                </c:pt>
                <c:pt idx="188">
                  <c:v>-0.81211525227863524</c:v>
                </c:pt>
                <c:pt idx="189">
                  <c:v>-0.81049744385597589</c:v>
                </c:pt>
                <c:pt idx="190">
                  <c:v>-0.81063282021340632</c:v>
                </c:pt>
                <c:pt idx="191">
                  <c:v>-0.81036207509864822</c:v>
                </c:pt>
                <c:pt idx="192">
                  <c:v>-0.80824329481684776</c:v>
                </c:pt>
                <c:pt idx="193">
                  <c:v>-0.81009136039954099</c:v>
                </c:pt>
                <c:pt idx="194">
                  <c:v>-0.80846771264434947</c:v>
                </c:pt>
                <c:pt idx="195">
                  <c:v>-0.81464058011921903</c:v>
                </c:pt>
                <c:pt idx="196">
                  <c:v>-0.8086029745991915</c:v>
                </c:pt>
                <c:pt idx="197">
                  <c:v>-0.81116488813096788</c:v>
                </c:pt>
                <c:pt idx="198">
                  <c:v>-0.80473519516975844</c:v>
                </c:pt>
                <c:pt idx="199">
                  <c:v>-0.81123910986917247</c:v>
                </c:pt>
                <c:pt idx="200">
                  <c:v>-0.80433074761967827</c:v>
                </c:pt>
                <c:pt idx="201">
                  <c:v>-0.81379049660467628</c:v>
                </c:pt>
                <c:pt idx="202">
                  <c:v>-0.82645810841360479</c:v>
                </c:pt>
                <c:pt idx="203">
                  <c:v>-0.81803634936727787</c:v>
                </c:pt>
                <c:pt idx="204">
                  <c:v>-0.82452034745449843</c:v>
                </c:pt>
                <c:pt idx="205">
                  <c:v>-0.8236546238362481</c:v>
                </c:pt>
                <c:pt idx="206">
                  <c:v>-0.82213612704107875</c:v>
                </c:pt>
                <c:pt idx="207">
                  <c:v>-0.81748752238824551</c:v>
                </c:pt>
                <c:pt idx="208">
                  <c:v>-0.81494286888344492</c:v>
                </c:pt>
                <c:pt idx="209">
                  <c:v>-0.82410531536932086</c:v>
                </c:pt>
                <c:pt idx="210">
                  <c:v>-0.82369035496158105</c:v>
                </c:pt>
                <c:pt idx="211">
                  <c:v>-0.8329715610868399</c:v>
                </c:pt>
                <c:pt idx="212">
                  <c:v>-0.83227202083630991</c:v>
                </c:pt>
                <c:pt idx="213">
                  <c:v>-0.8307255064782173</c:v>
                </c:pt>
                <c:pt idx="214">
                  <c:v>-0.82622627446274444</c:v>
                </c:pt>
                <c:pt idx="215">
                  <c:v>-0.8057415077754122</c:v>
                </c:pt>
                <c:pt idx="216">
                  <c:v>-0.80628328478486877</c:v>
                </c:pt>
                <c:pt idx="217">
                  <c:v>-0.79685202054587245</c:v>
                </c:pt>
                <c:pt idx="218">
                  <c:v>-0.79671819323193227</c:v>
                </c:pt>
                <c:pt idx="219">
                  <c:v>-0.80400838710108924</c:v>
                </c:pt>
                <c:pt idx="220">
                  <c:v>-0.80628328478486877</c:v>
                </c:pt>
                <c:pt idx="221">
                  <c:v>-0.81693882164291276</c:v>
                </c:pt>
                <c:pt idx="222">
                  <c:v>-0.81639024738580701</c:v>
                </c:pt>
                <c:pt idx="223">
                  <c:v>-0.82650385023784978</c:v>
                </c:pt>
                <c:pt idx="224">
                  <c:v>-0.8194573718397834</c:v>
                </c:pt>
                <c:pt idx="225">
                  <c:v>-0.80204019031504004</c:v>
                </c:pt>
                <c:pt idx="226">
                  <c:v>-0.78860103692171923</c:v>
                </c:pt>
                <c:pt idx="227">
                  <c:v>-0.79030735289543275</c:v>
                </c:pt>
                <c:pt idx="228">
                  <c:v>-0.78577556103819846</c:v>
                </c:pt>
                <c:pt idx="229">
                  <c:v>-0.78899788176010299</c:v>
                </c:pt>
                <c:pt idx="230">
                  <c:v>-0.78110790294250199</c:v>
                </c:pt>
                <c:pt idx="231">
                  <c:v>-0.80392636937310447</c:v>
                </c:pt>
                <c:pt idx="232">
                  <c:v>-0.77472348083613185</c:v>
                </c:pt>
                <c:pt idx="233">
                  <c:v>-0.76875705121262261</c:v>
                </c:pt>
                <c:pt idx="234">
                  <c:v>-0.7939291185211037</c:v>
                </c:pt>
                <c:pt idx="235">
                  <c:v>-0.79899430575731867</c:v>
                </c:pt>
                <c:pt idx="236">
                  <c:v>-0.77861291084355366</c:v>
                </c:pt>
                <c:pt idx="237">
                  <c:v>-0.77407436270768626</c:v>
                </c:pt>
                <c:pt idx="238">
                  <c:v>-0.78564378303326277</c:v>
                </c:pt>
                <c:pt idx="239">
                  <c:v>-0.7763068131247034</c:v>
                </c:pt>
                <c:pt idx="240">
                  <c:v>-0.77407436270768626</c:v>
                </c:pt>
                <c:pt idx="241">
                  <c:v>-0.78110790294250199</c:v>
                </c:pt>
                <c:pt idx="242">
                  <c:v>-0.76927293471610048</c:v>
                </c:pt>
                <c:pt idx="243">
                  <c:v>-0.77472348083613185</c:v>
                </c:pt>
                <c:pt idx="244">
                  <c:v>-0.7670852622739156</c:v>
                </c:pt>
                <c:pt idx="245">
                  <c:v>-0.77708785104122702</c:v>
                </c:pt>
                <c:pt idx="246">
                  <c:v>-0.7672137995667514</c:v>
                </c:pt>
                <c:pt idx="247">
                  <c:v>-0.75240272235503802</c:v>
                </c:pt>
                <c:pt idx="250">
                  <c:v>-0.75055364425264515</c:v>
                </c:pt>
                <c:pt idx="251">
                  <c:v>-0.74042978983968688</c:v>
                </c:pt>
                <c:pt idx="252">
                  <c:v>-0.73734450326814016</c:v>
                </c:pt>
                <c:pt idx="253">
                  <c:v>-0.75708598929941562</c:v>
                </c:pt>
                <c:pt idx="254">
                  <c:v>-0.72759567348246557</c:v>
                </c:pt>
                <c:pt idx="255">
                  <c:v>-0.702796902713408</c:v>
                </c:pt>
                <c:pt idx="256">
                  <c:v>-0.69060467250378221</c:v>
                </c:pt>
                <c:pt idx="257">
                  <c:v>-0.69739379527212864</c:v>
                </c:pt>
                <c:pt idx="258">
                  <c:v>-0.69751071922882013</c:v>
                </c:pt>
                <c:pt idx="259">
                  <c:v>-0.68119540665251188</c:v>
                </c:pt>
                <c:pt idx="260">
                  <c:v>-0.68016839434498277</c:v>
                </c:pt>
                <c:pt idx="261">
                  <c:v>-0.68463756449328128</c:v>
                </c:pt>
                <c:pt idx="262">
                  <c:v>-0.68741440448348967</c:v>
                </c:pt>
                <c:pt idx="263">
                  <c:v>-0.68695341627589479</c:v>
                </c:pt>
                <c:pt idx="264">
                  <c:v>-0.6863773298123218</c:v>
                </c:pt>
                <c:pt idx="265">
                  <c:v>-0.69060467250378221</c:v>
                </c:pt>
                <c:pt idx="266">
                  <c:v>-0.69037314654009008</c:v>
                </c:pt>
                <c:pt idx="267">
                  <c:v>-0.69118360321328953</c:v>
                </c:pt>
                <c:pt idx="268">
                  <c:v>-0.69164686667040964</c:v>
                </c:pt>
                <c:pt idx="269">
                  <c:v>-0.69199438347618447</c:v>
                </c:pt>
                <c:pt idx="270">
                  <c:v>-0.69268959467692126</c:v>
                </c:pt>
                <c:pt idx="271">
                  <c:v>-0.69350097288171275</c:v>
                </c:pt>
                <c:pt idx="272">
                  <c:v>-0.69122156624213849</c:v>
                </c:pt>
                <c:pt idx="273">
                  <c:v>-0.69466064004527872</c:v>
                </c:pt>
                <c:pt idx="274">
                  <c:v>-0.69907328044005812</c:v>
                </c:pt>
                <c:pt idx="275">
                  <c:v>-0.70418633499689398</c:v>
                </c:pt>
                <c:pt idx="276">
                  <c:v>-0.68460791201164406</c:v>
                </c:pt>
                <c:pt idx="277">
                  <c:v>-0.68483593189601799</c:v>
                </c:pt>
                <c:pt idx="278">
                  <c:v>-0.64741317927578657</c:v>
                </c:pt>
                <c:pt idx="279">
                  <c:v>-0.6775194466336163</c:v>
                </c:pt>
                <c:pt idx="280">
                  <c:v>-0.64528409285887767</c:v>
                </c:pt>
                <c:pt idx="281">
                  <c:v>-0.63053369724144093</c:v>
                </c:pt>
                <c:pt idx="282">
                  <c:v>-0.60060330022048636</c:v>
                </c:pt>
                <c:pt idx="283">
                  <c:v>-0.64784461022107376</c:v>
                </c:pt>
                <c:pt idx="284">
                  <c:v>-0.63089317769868269</c:v>
                </c:pt>
                <c:pt idx="285">
                  <c:v>-0.59988405513062704</c:v>
                </c:pt>
                <c:pt idx="286">
                  <c:v>-0.57080467813677727</c:v>
                </c:pt>
                <c:pt idx="287">
                  <c:v>-0.61694640233948495</c:v>
                </c:pt>
                <c:pt idx="288">
                  <c:v>-0.63469412108316881</c:v>
                </c:pt>
                <c:pt idx="289">
                  <c:v>-0.65155318367444048</c:v>
                </c:pt>
                <c:pt idx="290">
                  <c:v>-0.60652072388438205</c:v>
                </c:pt>
                <c:pt idx="291">
                  <c:v>-0.60652072388438205</c:v>
                </c:pt>
                <c:pt idx="292">
                  <c:v>-0.59918259466899315</c:v>
                </c:pt>
                <c:pt idx="293">
                  <c:v>-0.6092901404603619</c:v>
                </c:pt>
                <c:pt idx="294">
                  <c:v>-0.61424371883808848</c:v>
                </c:pt>
                <c:pt idx="295">
                  <c:v>-0.62571366654405969</c:v>
                </c:pt>
                <c:pt idx="296">
                  <c:v>-0.61909378756222555</c:v>
                </c:pt>
                <c:pt idx="297">
                  <c:v>-0.62373356000436331</c:v>
                </c:pt>
                <c:pt idx="298">
                  <c:v>-0.61622515018917901</c:v>
                </c:pt>
                <c:pt idx="299">
                  <c:v>-0.61940433403225292</c:v>
                </c:pt>
                <c:pt idx="300">
                  <c:v>-0.62138642790115617</c:v>
                </c:pt>
                <c:pt idx="301">
                  <c:v>-0.62435956870451104</c:v>
                </c:pt>
                <c:pt idx="302">
                  <c:v>-0.61455179829973605</c:v>
                </c:pt>
                <c:pt idx="303">
                  <c:v>-0.58937728575923876</c:v>
                </c:pt>
                <c:pt idx="304">
                  <c:v>-0.60453863001547892</c:v>
                </c:pt>
                <c:pt idx="305">
                  <c:v>-0.60641935580249828</c:v>
                </c:pt>
                <c:pt idx="306">
                  <c:v>-0.60641935580249828</c:v>
                </c:pt>
                <c:pt idx="307">
                  <c:v>-0.59452878019852773</c:v>
                </c:pt>
                <c:pt idx="308">
                  <c:v>-0.5946281606709628</c:v>
                </c:pt>
                <c:pt idx="309">
                  <c:v>-0.58510864287354625</c:v>
                </c:pt>
                <c:pt idx="310">
                  <c:v>-0.57212082613284598</c:v>
                </c:pt>
                <c:pt idx="311">
                  <c:v>-0.58015009505258397</c:v>
                </c:pt>
                <c:pt idx="312">
                  <c:v>-0.57490329518362404</c:v>
                </c:pt>
                <c:pt idx="313">
                  <c:v>-0.56697359456040164</c:v>
                </c:pt>
                <c:pt idx="314">
                  <c:v>-0.56687884650631781</c:v>
                </c:pt>
                <c:pt idx="315">
                  <c:v>-0.57480722198193068</c:v>
                </c:pt>
                <c:pt idx="316">
                  <c:v>-0.57966556069356445</c:v>
                </c:pt>
                <c:pt idx="317">
                  <c:v>-0.57442298331903474</c:v>
                </c:pt>
                <c:pt idx="318">
                  <c:v>-0.58927875012900977</c:v>
                </c:pt>
                <c:pt idx="319">
                  <c:v>-0.58918022006155846</c:v>
                </c:pt>
                <c:pt idx="320">
                  <c:v>-0.59145725830054641</c:v>
                </c:pt>
                <c:pt idx="321">
                  <c:v>-0.59472754674168005</c:v>
                </c:pt>
                <c:pt idx="322">
                  <c:v>-0.57461509181627624</c:v>
                </c:pt>
                <c:pt idx="323">
                  <c:v>-0.52706073939010167</c:v>
                </c:pt>
                <c:pt idx="324">
                  <c:v>-0.4854506810171989</c:v>
                </c:pt>
                <c:pt idx="325">
                  <c:v>-0.52767763029679426</c:v>
                </c:pt>
                <c:pt idx="326">
                  <c:v>-0.53038735341368681</c:v>
                </c:pt>
                <c:pt idx="327">
                  <c:v>-0.54012057927612467</c:v>
                </c:pt>
                <c:pt idx="328">
                  <c:v>-0.57192965744991564</c:v>
                </c:pt>
                <c:pt idx="329">
                  <c:v>-0.58461996719521891</c:v>
                </c:pt>
                <c:pt idx="330">
                  <c:v>-0.59195170398840391</c:v>
                </c:pt>
                <c:pt idx="331">
                  <c:v>-0.59988405513062704</c:v>
                </c:pt>
                <c:pt idx="332">
                  <c:v>-0.59730839384145729</c:v>
                </c:pt>
                <c:pt idx="333">
                  <c:v>-0.58193902140903575</c:v>
                </c:pt>
                <c:pt idx="334">
                  <c:v>-0.57145182995703969</c:v>
                </c:pt>
                <c:pt idx="335">
                  <c:v>-0.55155190348619854</c:v>
                </c:pt>
                <c:pt idx="336">
                  <c:v>-0.50081332991718785</c:v>
                </c:pt>
                <c:pt idx="337">
                  <c:v>-0.51672137512412375</c:v>
                </c:pt>
                <c:pt idx="338">
                  <c:v>-0.53056461684296141</c:v>
                </c:pt>
                <c:pt idx="339">
                  <c:v>-0.53723721722331774</c:v>
                </c:pt>
                <c:pt idx="340">
                  <c:v>-0.55284369989269999</c:v>
                </c:pt>
                <c:pt idx="341">
                  <c:v>-0.55994151796515668</c:v>
                </c:pt>
                <c:pt idx="342">
                  <c:v>-0.57307699165249237</c:v>
                </c:pt>
                <c:pt idx="343">
                  <c:v>-0.56678410378926303</c:v>
                </c:pt>
                <c:pt idx="344">
                  <c:v>-0.56678410378926303</c:v>
                </c:pt>
                <c:pt idx="345">
                  <c:v>-0.56744741479267835</c:v>
                </c:pt>
                <c:pt idx="346">
                  <c:v>-0.56621575971455707</c:v>
                </c:pt>
                <c:pt idx="347">
                  <c:v>-0.56735264009354558</c:v>
                </c:pt>
                <c:pt idx="348">
                  <c:v>-0.56678410378926303</c:v>
                </c:pt>
                <c:pt idx="349">
                  <c:v>-0.56621575971455707</c:v>
                </c:pt>
                <c:pt idx="350">
                  <c:v>-0.56956628455724745</c:v>
                </c:pt>
                <c:pt idx="351">
                  <c:v>-0.57154738467744659</c:v>
                </c:pt>
                <c:pt idx="352">
                  <c:v>-0.57068758662308328</c:v>
                </c:pt>
                <c:pt idx="353">
                  <c:v>-0.57365476644954649</c:v>
                </c:pt>
                <c:pt idx="354">
                  <c:v>-0.57490329518362404</c:v>
                </c:pt>
                <c:pt idx="355">
                  <c:v>-0.57403883141680667</c:v>
                </c:pt>
                <c:pt idx="356">
                  <c:v>-0.57001915800884462</c:v>
                </c:pt>
                <c:pt idx="357">
                  <c:v>-0.57563288633385523</c:v>
                </c:pt>
                <c:pt idx="358">
                  <c:v>-0.57403883141680667</c:v>
                </c:pt>
                <c:pt idx="359">
                  <c:v>-0.57413486124902635</c:v>
                </c:pt>
                <c:pt idx="360">
                  <c:v>-0.57221641853904437</c:v>
                </c:pt>
                <c:pt idx="361">
                  <c:v>-0.57192965744991564</c:v>
                </c:pt>
                <c:pt idx="362">
                  <c:v>-0.5725032279842539</c:v>
                </c:pt>
                <c:pt idx="363">
                  <c:v>-0.57231201631813955</c:v>
                </c:pt>
                <c:pt idx="364">
                  <c:v>-0.57288571567290703</c:v>
                </c:pt>
                <c:pt idx="365">
                  <c:v>-0.57336394573064264</c:v>
                </c:pt>
                <c:pt idx="366">
                  <c:v>-0.57374662592554482</c:v>
                </c:pt>
                <c:pt idx="367">
                  <c:v>-0.57345960777499472</c:v>
                </c:pt>
                <c:pt idx="368">
                  <c:v>-0.57280706328203557</c:v>
                </c:pt>
                <c:pt idx="369">
                  <c:v>-0.57010325699454489</c:v>
                </c:pt>
                <c:pt idx="370">
                  <c:v>-0.57029311810286765</c:v>
                </c:pt>
                <c:pt idx="371">
                  <c:v>-0.57057794907190285</c:v>
                </c:pt>
                <c:pt idx="372">
                  <c:v>-0.57124273773101886</c:v>
                </c:pt>
                <c:pt idx="373">
                  <c:v>-0.57086282714604042</c:v>
                </c:pt>
                <c:pt idx="374">
                  <c:v>-0.57124273773101886</c:v>
                </c:pt>
                <c:pt idx="375">
                  <c:v>-0.57124273773101886</c:v>
                </c:pt>
                <c:pt idx="376">
                  <c:v>-0.57171774329485558</c:v>
                </c:pt>
                <c:pt idx="377">
                  <c:v>-0.57605394865735327</c:v>
                </c:pt>
                <c:pt idx="378">
                  <c:v>-0.57181276002598092</c:v>
                </c:pt>
                <c:pt idx="379">
                  <c:v>-0.57462075308684146</c:v>
                </c:pt>
                <c:pt idx="380">
                  <c:v>-0.57257308085983594</c:v>
                </c:pt>
                <c:pt idx="381">
                  <c:v>-0.57380930861521773</c:v>
                </c:pt>
                <c:pt idx="382">
                  <c:v>-0.57701006211189476</c:v>
                </c:pt>
                <c:pt idx="383">
                  <c:v>-0.57940097460585271</c:v>
                </c:pt>
                <c:pt idx="384">
                  <c:v>-0.58983324491052824</c:v>
                </c:pt>
                <c:pt idx="385">
                  <c:v>-0.58963790491076484</c:v>
                </c:pt>
                <c:pt idx="386">
                  <c:v>-0.5978718581290704</c:v>
                </c:pt>
                <c:pt idx="387">
                  <c:v>-0.62832867793246217</c:v>
                </c:pt>
                <c:pt idx="388">
                  <c:v>-0.63996858525318046</c:v>
                </c:pt>
                <c:pt idx="389">
                  <c:v>-0.50274615668314582</c:v>
                </c:pt>
                <c:pt idx="390">
                  <c:v>-0.50701736261586938</c:v>
                </c:pt>
                <c:pt idx="391">
                  <c:v>-0.49939884620192937</c:v>
                </c:pt>
                <c:pt idx="392">
                  <c:v>-0.49380174842787766</c:v>
                </c:pt>
                <c:pt idx="393">
                  <c:v>-0.50149841190983557</c:v>
                </c:pt>
                <c:pt idx="394">
                  <c:v>-0.50191421469478759</c:v>
                </c:pt>
                <c:pt idx="395">
                  <c:v>-0.49865473122084591</c:v>
                </c:pt>
                <c:pt idx="396">
                  <c:v>-0.69229731296254249</c:v>
                </c:pt>
                <c:pt idx="397">
                  <c:v>-0.48813553855927905</c:v>
                </c:pt>
                <c:pt idx="398">
                  <c:v>-0.67857856181649279</c:v>
                </c:pt>
                <c:pt idx="399">
                  <c:v>-0.67423738305917191</c:v>
                </c:pt>
                <c:pt idx="400">
                  <c:v>-0.6782409099843969</c:v>
                </c:pt>
                <c:pt idx="401">
                  <c:v>-0.67767827926942126</c:v>
                </c:pt>
                <c:pt idx="402">
                  <c:v>-0.67745326987303522</c:v>
                </c:pt>
                <c:pt idx="403">
                  <c:v>-0.67623724407602359</c:v>
                </c:pt>
                <c:pt idx="404">
                  <c:v>-0.67578845699547108</c:v>
                </c:pt>
                <c:pt idx="405">
                  <c:v>-0.67211494655088311</c:v>
                </c:pt>
                <c:pt idx="406">
                  <c:v>-0.69454160590496494</c:v>
                </c:pt>
                <c:pt idx="407">
                  <c:v>-0.70023604064275824</c:v>
                </c:pt>
                <c:pt idx="408">
                  <c:v>-0.69700342295948814</c:v>
                </c:pt>
                <c:pt idx="409">
                  <c:v>-0.69677184219949073</c:v>
                </c:pt>
                <c:pt idx="410">
                  <c:v>-0.69977086017165491</c:v>
                </c:pt>
                <c:pt idx="411">
                  <c:v>-0.6951188807334282</c:v>
                </c:pt>
                <c:pt idx="412">
                  <c:v>-0.6922333430354124</c:v>
                </c:pt>
                <c:pt idx="413">
                  <c:v>-0.67011460444805315</c:v>
                </c:pt>
                <c:pt idx="414">
                  <c:v>-0.66755741446615957</c:v>
                </c:pt>
                <c:pt idx="415">
                  <c:v>-0.66621891453415649</c:v>
                </c:pt>
                <c:pt idx="416">
                  <c:v>-0.66688230224424483</c:v>
                </c:pt>
                <c:pt idx="417">
                  <c:v>-0.66644001977669209</c:v>
                </c:pt>
                <c:pt idx="418">
                  <c:v>-0.66877705112614061</c:v>
                </c:pt>
                <c:pt idx="419">
                  <c:v>-0.67835345448425854</c:v>
                </c:pt>
                <c:pt idx="420">
                  <c:v>-0.67334345851317834</c:v>
                </c:pt>
                <c:pt idx="421">
                  <c:v>-0.6816986185481444</c:v>
                </c:pt>
                <c:pt idx="422">
                  <c:v>-0.68336345045533875</c:v>
                </c:pt>
                <c:pt idx="423">
                  <c:v>-0.68693891283805675</c:v>
                </c:pt>
                <c:pt idx="424">
                  <c:v>-0.69893283192743416</c:v>
                </c:pt>
                <c:pt idx="425">
                  <c:v>-0.69283232287353536</c:v>
                </c:pt>
                <c:pt idx="426">
                  <c:v>-0.69361353733679898</c:v>
                </c:pt>
                <c:pt idx="427">
                  <c:v>-0.69627390315975746</c:v>
                </c:pt>
                <c:pt idx="428">
                  <c:v>-0.70011973599050314</c:v>
                </c:pt>
                <c:pt idx="429">
                  <c:v>-0.70476922345859527</c:v>
                </c:pt>
                <c:pt idx="430">
                  <c:v>-0.70864851285710528</c:v>
                </c:pt>
                <c:pt idx="431">
                  <c:v>-0.70547201663292436</c:v>
                </c:pt>
                <c:pt idx="432">
                  <c:v>-0.70688601720930089</c:v>
                </c:pt>
                <c:pt idx="433">
                  <c:v>-0.70917794961582581</c:v>
                </c:pt>
                <c:pt idx="434">
                  <c:v>-0.71259502113928874</c:v>
                </c:pt>
                <c:pt idx="435">
                  <c:v>-0.71176693206031183</c:v>
                </c:pt>
                <c:pt idx="436">
                  <c:v>-0.71345982819805986</c:v>
                </c:pt>
                <c:pt idx="437">
                  <c:v>-0.71593171043127235</c:v>
                </c:pt>
                <c:pt idx="438">
                  <c:v>-0.71486042951006323</c:v>
                </c:pt>
                <c:pt idx="439">
                  <c:v>-0.71880768503096271</c:v>
                </c:pt>
                <c:pt idx="440">
                  <c:v>-0.71773198102639435</c:v>
                </c:pt>
                <c:pt idx="441">
                  <c:v>-0.71960585935325416</c:v>
                </c:pt>
                <c:pt idx="442">
                  <c:v>-0.72507192505162921</c:v>
                </c:pt>
                <c:pt idx="443">
                  <c:v>-0.72199441375280216</c:v>
                </c:pt>
                <c:pt idx="444">
                  <c:v>-0.72386551113320829</c:v>
                </c:pt>
                <c:pt idx="445">
                  <c:v>-0.72127283662663777</c:v>
                </c:pt>
                <c:pt idx="446">
                  <c:v>-0.72326255479664237</c:v>
                </c:pt>
                <c:pt idx="447">
                  <c:v>-0.72314198363264348</c:v>
                </c:pt>
                <c:pt idx="448">
                  <c:v>-0.7241898825151315</c:v>
                </c:pt>
                <c:pt idx="449">
                  <c:v>-0.72690181788991548</c:v>
                </c:pt>
                <c:pt idx="450">
                  <c:v>-0.72624713205164915</c:v>
                </c:pt>
                <c:pt idx="451">
                  <c:v>-0.72564185591834396</c:v>
                </c:pt>
                <c:pt idx="452">
                  <c:v>-0.72576289765829194</c:v>
                </c:pt>
                <c:pt idx="453">
                  <c:v>-0.73125628947035548</c:v>
                </c:pt>
                <c:pt idx="454">
                  <c:v>-0.72678049198018713</c:v>
                </c:pt>
                <c:pt idx="455">
                  <c:v>-0.72629525629891489</c:v>
                </c:pt>
                <c:pt idx="456">
                  <c:v>-0.72963728422701102</c:v>
                </c:pt>
                <c:pt idx="457">
                  <c:v>-0.72963728422701102</c:v>
                </c:pt>
                <c:pt idx="458">
                  <c:v>-0.72678049198018713</c:v>
                </c:pt>
                <c:pt idx="459">
                  <c:v>-0.72726583633926889</c:v>
                </c:pt>
                <c:pt idx="460">
                  <c:v>-0.72750854920501939</c:v>
                </c:pt>
                <c:pt idx="461">
                  <c:v>-0.72726583633926889</c:v>
                </c:pt>
                <c:pt idx="462">
                  <c:v>-0.72653786054121439</c:v>
                </c:pt>
                <c:pt idx="463">
                  <c:v>-0.72641655501877722</c:v>
                </c:pt>
                <c:pt idx="464">
                  <c:v>-0.72678049198018713</c:v>
                </c:pt>
                <c:pt idx="465">
                  <c:v>-0.72726583633926889</c:v>
                </c:pt>
                <c:pt idx="466">
                  <c:v>-0.72678049198018713</c:v>
                </c:pt>
                <c:pt idx="467">
                  <c:v>-0.72503674853781541</c:v>
                </c:pt>
                <c:pt idx="468">
                  <c:v>-0.72927187620177925</c:v>
                </c:pt>
                <c:pt idx="469">
                  <c:v>-0.72678049198018713</c:v>
                </c:pt>
                <c:pt idx="470">
                  <c:v>-0.73113416905979711</c:v>
                </c:pt>
                <c:pt idx="471">
                  <c:v>-0.72939367204754268</c:v>
                </c:pt>
                <c:pt idx="472">
                  <c:v>-0.73944085533224679</c:v>
                </c:pt>
                <c:pt idx="473">
                  <c:v>-0.737201161972319</c:v>
                </c:pt>
                <c:pt idx="474">
                  <c:v>-0.73211132402143897</c:v>
                </c:pt>
                <c:pt idx="475">
                  <c:v>-0.7359502753664422</c:v>
                </c:pt>
                <c:pt idx="476">
                  <c:v>-0.737201161972319</c:v>
                </c:pt>
                <c:pt idx="477">
                  <c:v>-0.73944085533224679</c:v>
                </c:pt>
                <c:pt idx="478">
                  <c:v>-0.74303675665897795</c:v>
                </c:pt>
                <c:pt idx="479">
                  <c:v>-0.73337473149418753</c:v>
                </c:pt>
                <c:pt idx="484">
                  <c:v>-0.73944085533224679</c:v>
                </c:pt>
                <c:pt idx="485">
                  <c:v>-0.73509142439059005</c:v>
                </c:pt>
                <c:pt idx="486">
                  <c:v>-0.73707815797002407</c:v>
                </c:pt>
                <c:pt idx="487">
                  <c:v>-0.73545946231108517</c:v>
                </c:pt>
                <c:pt idx="488">
                  <c:v>-0.74130214016260465</c:v>
                </c:pt>
                <c:pt idx="489">
                  <c:v>-0.74465214342232289</c:v>
                </c:pt>
                <c:pt idx="490">
                  <c:v>-0.74452784104797043</c:v>
                </c:pt>
                <c:pt idx="491">
                  <c:v>-0.74613938898467758</c:v>
                </c:pt>
                <c:pt idx="492">
                  <c:v>-0.7439064336890896</c:v>
                </c:pt>
                <c:pt idx="493">
                  <c:v>-0.74589018417892716</c:v>
                </c:pt>
                <c:pt idx="494">
                  <c:v>-0.74303675665897795</c:v>
                </c:pt>
                <c:pt idx="495">
                  <c:v>-0.74564100736897776</c:v>
                </c:pt>
                <c:pt idx="496">
                  <c:v>-0.74353367300984141</c:v>
                </c:pt>
                <c:pt idx="497">
                  <c:v>-0.74080704445176104</c:v>
                </c:pt>
                <c:pt idx="498">
                  <c:v>-0.74080704445176104</c:v>
                </c:pt>
                <c:pt idx="499">
                  <c:v>-0.73820656874650525</c:v>
                </c:pt>
                <c:pt idx="500">
                  <c:v>-0.74291254507467075</c:v>
                </c:pt>
                <c:pt idx="501">
                  <c:v>-0.74216742286812987</c:v>
                </c:pt>
                <c:pt idx="502">
                  <c:v>-0.74378217314433848</c:v>
                </c:pt>
                <c:pt idx="503">
                  <c:v>-0.7388236253233762</c:v>
                </c:pt>
                <c:pt idx="504">
                  <c:v>-0.73795979477417284</c:v>
                </c:pt>
                <c:pt idx="505">
                  <c:v>-0.740064609632342</c:v>
                </c:pt>
                <c:pt idx="506">
                  <c:v>-0.73894705746449563</c:v>
                </c:pt>
                <c:pt idx="507">
                  <c:v>-0.73931739547676101</c:v>
                </c:pt>
                <c:pt idx="508">
                  <c:v>-0.73572556844119885</c:v>
                </c:pt>
                <c:pt idx="509">
                  <c:v>-0.73931739547676101</c:v>
                </c:pt>
                <c:pt idx="510">
                  <c:v>-0.73584849663079888</c:v>
                </c:pt>
                <c:pt idx="511">
                  <c:v>-0.73670918722581813</c:v>
                </c:pt>
                <c:pt idx="512">
                  <c:v>-0.73769324666089409</c:v>
                </c:pt>
                <c:pt idx="513">
                  <c:v>-0.73496875879175805</c:v>
                </c:pt>
                <c:pt idx="514">
                  <c:v>-0.73272226790980988</c:v>
                </c:pt>
                <c:pt idx="515">
                  <c:v>-0.73223349915579394</c:v>
                </c:pt>
                <c:pt idx="516">
                  <c:v>-0.73296669316901064</c:v>
                </c:pt>
                <c:pt idx="517">
                  <c:v>-0.73223349915579394</c:v>
                </c:pt>
                <c:pt idx="518">
                  <c:v>-0.73223349915579394</c:v>
                </c:pt>
                <c:pt idx="519">
                  <c:v>-0.7330889160072328</c:v>
                </c:pt>
                <c:pt idx="520">
                  <c:v>-0.73012459044200495</c:v>
                </c:pt>
                <c:pt idx="521">
                  <c:v>-0.73198915571557532</c:v>
                </c:pt>
                <c:pt idx="522">
                  <c:v>-0.73223349915579394</c:v>
                </c:pt>
                <c:pt idx="523">
                  <c:v>-0.73211132402143897</c:v>
                </c:pt>
                <c:pt idx="524">
                  <c:v>-0.73211132402143897</c:v>
                </c:pt>
                <c:pt idx="525">
                  <c:v>-0.73198915571557532</c:v>
                </c:pt>
                <c:pt idx="526">
                  <c:v>-0.73211132402143897</c:v>
                </c:pt>
                <c:pt idx="527">
                  <c:v>-0.73174483960300263</c:v>
                </c:pt>
                <c:pt idx="528">
                  <c:v>-0.73150055084545762</c:v>
                </c:pt>
                <c:pt idx="529">
                  <c:v>-0.73137841673338633</c:v>
                </c:pt>
                <c:pt idx="530">
                  <c:v>-0.7343555337621519</c:v>
                </c:pt>
                <c:pt idx="531">
                  <c:v>-0.73411029186465382</c:v>
                </c:pt>
                <c:pt idx="532">
                  <c:v>-0.73597143172973922</c:v>
                </c:pt>
                <c:pt idx="533">
                  <c:v>-0.73584849663079888</c:v>
                </c:pt>
                <c:pt idx="534">
                  <c:v>-0.73523392484551264</c:v>
                </c:pt>
                <c:pt idx="535">
                  <c:v>-0.73572556844119885</c:v>
                </c:pt>
                <c:pt idx="536">
                  <c:v>-0.73572556844119885</c:v>
                </c:pt>
                <c:pt idx="537">
                  <c:v>-0.73572556844119885</c:v>
                </c:pt>
                <c:pt idx="538">
                  <c:v>-0.73361989070304345</c:v>
                </c:pt>
                <c:pt idx="539">
                  <c:v>-0.73374248065564307</c:v>
                </c:pt>
                <c:pt idx="540">
                  <c:v>-0.73349730764807208</c:v>
                </c:pt>
                <c:pt idx="541">
                  <c:v>-0.73361989070304345</c:v>
                </c:pt>
                <c:pt idx="542">
                  <c:v>-0.73325216224485079</c:v>
                </c:pt>
                <c:pt idx="543">
                  <c:v>-0.73361989070304345</c:v>
                </c:pt>
                <c:pt idx="544">
                  <c:v>-0.73547973280387768</c:v>
                </c:pt>
                <c:pt idx="545">
                  <c:v>-0.73312959990352489</c:v>
                </c:pt>
                <c:pt idx="546">
                  <c:v>-0.73312959990352489</c:v>
                </c:pt>
                <c:pt idx="547">
                  <c:v>-0.72829775574319644</c:v>
                </c:pt>
                <c:pt idx="548">
                  <c:v>-0.72829775574319644</c:v>
                </c:pt>
                <c:pt idx="549">
                  <c:v>-0.72025029612143598</c:v>
                </c:pt>
                <c:pt idx="550">
                  <c:v>-0.71802872914879334</c:v>
                </c:pt>
                <c:pt idx="551">
                  <c:v>-0.72310154387267944</c:v>
                </c:pt>
                <c:pt idx="552">
                  <c:v>-0.70848012973657881</c:v>
                </c:pt>
                <c:pt idx="553">
                  <c:v>-0.70621517438217563</c:v>
                </c:pt>
                <c:pt idx="554">
                  <c:v>-0.70668709932424123</c:v>
                </c:pt>
                <c:pt idx="555">
                  <c:v>-0.70715913008071851</c:v>
                </c:pt>
                <c:pt idx="556">
                  <c:v>-0.71037578276308366</c:v>
                </c:pt>
                <c:pt idx="557">
                  <c:v>-0.71049431749984315</c:v>
                </c:pt>
                <c:pt idx="558">
                  <c:v>-0.71037578276308366</c:v>
                </c:pt>
                <c:pt idx="559">
                  <c:v>-0.71224398822709867</c:v>
                </c:pt>
                <c:pt idx="560">
                  <c:v>-0.71248171419215045</c:v>
                </c:pt>
                <c:pt idx="561">
                  <c:v>-0.71260058713114593</c:v>
                </c:pt>
                <c:pt idx="562">
                  <c:v>-0.71570155652220224</c:v>
                </c:pt>
                <c:pt idx="563">
                  <c:v>-0.71283835290547304</c:v>
                </c:pt>
                <c:pt idx="564">
                  <c:v>-0.71331396394661972</c:v>
                </c:pt>
                <c:pt idx="565">
                  <c:v>-0.7117986356664624</c:v>
                </c:pt>
                <c:pt idx="566">
                  <c:v>-0.71037578276308366</c:v>
                </c:pt>
                <c:pt idx="567">
                  <c:v>-0.71486605768542999</c:v>
                </c:pt>
                <c:pt idx="568">
                  <c:v>-0.71236284788969373</c:v>
                </c:pt>
                <c:pt idx="569">
                  <c:v>-0.71534344557960872</c:v>
                </c:pt>
                <c:pt idx="570">
                  <c:v>-0.72738718938445479</c:v>
                </c:pt>
                <c:pt idx="571">
                  <c:v>-0.71745020592291853</c:v>
                </c:pt>
                <c:pt idx="572">
                  <c:v>-0.71733051070621878</c:v>
                </c:pt>
                <c:pt idx="581">
                  <c:v>-0.71673213498217947</c:v>
                </c:pt>
                <c:pt idx="582">
                  <c:v>-0.71661247993272781</c:v>
                </c:pt>
                <c:pt idx="583">
                  <c:v>-0.72641655501877722</c:v>
                </c:pt>
                <c:pt idx="584">
                  <c:v>-0.72079191890720784</c:v>
                </c:pt>
                <c:pt idx="585">
                  <c:v>-0.7241898825151315</c:v>
                </c:pt>
                <c:pt idx="586">
                  <c:v>-0.72629525629891489</c:v>
                </c:pt>
                <c:pt idx="587">
                  <c:v>-0.72605267928055139</c:v>
                </c:pt>
                <c:pt idx="588">
                  <c:v>-0.72358518186904408</c:v>
                </c:pt>
                <c:pt idx="589">
                  <c:v>-0.72310154387267944</c:v>
                </c:pt>
                <c:pt idx="590">
                  <c:v>-0.72298065141878509</c:v>
                </c:pt>
                <c:pt idx="591">
                  <c:v>-0.7256888648576052</c:v>
                </c:pt>
                <c:pt idx="592">
                  <c:v>-0.72817602152579841</c:v>
                </c:pt>
                <c:pt idx="593">
                  <c:v>-0.72406892879071383</c:v>
                </c:pt>
                <c:pt idx="594">
                  <c:v>-0.72346426214967141</c:v>
                </c:pt>
                <c:pt idx="595">
                  <c:v>-0.72520387449916246</c:v>
                </c:pt>
                <c:pt idx="596">
                  <c:v>-0.72520387449916246</c:v>
                </c:pt>
                <c:pt idx="597">
                  <c:v>-0.72817602152579841</c:v>
                </c:pt>
                <c:pt idx="598">
                  <c:v>-0.72793257368877673</c:v>
                </c:pt>
                <c:pt idx="599">
                  <c:v>-0.72942520474859751</c:v>
                </c:pt>
                <c:pt idx="600">
                  <c:v>-0.72793257368877673</c:v>
                </c:pt>
                <c:pt idx="601">
                  <c:v>-0.73349730764807208</c:v>
                </c:pt>
                <c:pt idx="602">
                  <c:v>-0.73040159069083266</c:v>
                </c:pt>
                <c:pt idx="603">
                  <c:v>-0.73003539429337638</c:v>
                </c:pt>
                <c:pt idx="604">
                  <c:v>-0.72979129779053553</c:v>
                </c:pt>
                <c:pt idx="605">
                  <c:v>-0.72979129779053553</c:v>
                </c:pt>
                <c:pt idx="606">
                  <c:v>-0.73795979477417284</c:v>
                </c:pt>
                <c:pt idx="607">
                  <c:v>-0.73064575601100412</c:v>
                </c:pt>
                <c:pt idx="608">
                  <c:v>-0.73064575601100412</c:v>
                </c:pt>
                <c:pt idx="609">
                  <c:v>-0.73288449595876848</c:v>
                </c:pt>
                <c:pt idx="610">
                  <c:v>-0.72979129779053553</c:v>
                </c:pt>
                <c:pt idx="611">
                  <c:v>-0.73027951834385818</c:v>
                </c:pt>
                <c:pt idx="612">
                  <c:v>-0.7308899488098366</c:v>
                </c:pt>
                <c:pt idx="613">
                  <c:v>-0.73523392484551264</c:v>
                </c:pt>
                <c:pt idx="614">
                  <c:v>-0.73547973280387768</c:v>
                </c:pt>
                <c:pt idx="615">
                  <c:v>-0.72927187620177925</c:v>
                </c:pt>
                <c:pt idx="616">
                  <c:v>-0.7307678489773094</c:v>
                </c:pt>
                <c:pt idx="617">
                  <c:v>-0.71790867150357973</c:v>
                </c:pt>
                <c:pt idx="618">
                  <c:v>-0.72744576050233267</c:v>
                </c:pt>
                <c:pt idx="619">
                  <c:v>-0.72939367204754268</c:v>
                </c:pt>
                <c:pt idx="620">
                  <c:v>-0.72043130096137942</c:v>
                </c:pt>
                <c:pt idx="621">
                  <c:v>-0.72406892879071383</c:v>
                </c:pt>
                <c:pt idx="622">
                  <c:v>-0.73423290937321994</c:v>
                </c:pt>
                <c:pt idx="623">
                  <c:v>-0.72951547472376033</c:v>
                </c:pt>
                <c:pt idx="624">
                  <c:v>-0.72927187620177925</c:v>
                </c:pt>
                <c:pt idx="625">
                  <c:v>-0.72939367204754268</c:v>
                </c:pt>
                <c:pt idx="626">
                  <c:v>-0.72991334259677343</c:v>
                </c:pt>
                <c:pt idx="627">
                  <c:v>-0.7307678489773094</c:v>
                </c:pt>
                <c:pt idx="628">
                  <c:v>-0.7263508339704523</c:v>
                </c:pt>
                <c:pt idx="629">
                  <c:v>-0.73263941968766477</c:v>
                </c:pt>
                <c:pt idx="630">
                  <c:v>-0.73214935027757322</c:v>
                </c:pt>
                <c:pt idx="631">
                  <c:v>-0.72966925987812015</c:v>
                </c:pt>
                <c:pt idx="632">
                  <c:v>-0.73251689193841296</c:v>
                </c:pt>
                <c:pt idx="633">
                  <c:v>-0.73052366991436368</c:v>
                </c:pt>
                <c:pt idx="634">
                  <c:v>-0.73027951834385818</c:v>
                </c:pt>
                <c:pt idx="635">
                  <c:v>-0.73214935027757322</c:v>
                </c:pt>
                <c:pt idx="636">
                  <c:v>-0.73423290937321994</c:v>
                </c:pt>
                <c:pt idx="637">
                  <c:v>-0.72756745347936969</c:v>
                </c:pt>
                <c:pt idx="638">
                  <c:v>-0.73276195436227443</c:v>
                </c:pt>
                <c:pt idx="639">
                  <c:v>-0.73027951834385818</c:v>
                </c:pt>
                <c:pt idx="640">
                  <c:v>-0.72954722886298695</c:v>
                </c:pt>
                <c:pt idx="641">
                  <c:v>-0.73043498315719368</c:v>
                </c:pt>
                <c:pt idx="642">
                  <c:v>-0.73312959990352489</c:v>
                </c:pt>
                <c:pt idx="643">
                  <c:v>-0.73312959990352489</c:v>
                </c:pt>
                <c:pt idx="644">
                  <c:v>-0.73003539429337638</c:v>
                </c:pt>
                <c:pt idx="645">
                  <c:v>-0.72893717736778585</c:v>
                </c:pt>
                <c:pt idx="646">
                  <c:v>-0.73300704447367504</c:v>
                </c:pt>
                <c:pt idx="647">
                  <c:v>-0.72979129779053553</c:v>
                </c:pt>
                <c:pt idx="648">
                  <c:v>-0.72893717736778585</c:v>
                </c:pt>
                <c:pt idx="649">
                  <c:v>-0.72954722886298695</c:v>
                </c:pt>
                <c:pt idx="650">
                  <c:v>-0.73003539429337638</c:v>
                </c:pt>
                <c:pt idx="651">
                  <c:v>-0.73027951834385818</c:v>
                </c:pt>
                <c:pt idx="652">
                  <c:v>-0.72702315058860389</c:v>
                </c:pt>
                <c:pt idx="653">
                  <c:v>-0.72302141917757223</c:v>
                </c:pt>
                <c:pt idx="654">
                  <c:v>-0.72398612248039618</c:v>
                </c:pt>
                <c:pt idx="655">
                  <c:v>-0.72452181910949587</c:v>
                </c:pt>
                <c:pt idx="656">
                  <c:v>-0.72235529236672325</c:v>
                </c:pt>
                <c:pt idx="657">
                  <c:v>-0.7237994050658999</c:v>
                </c:pt>
                <c:pt idx="658">
                  <c:v>-0.72307722924681039</c:v>
                </c:pt>
                <c:pt idx="659">
                  <c:v>-0.72721592381893208</c:v>
                </c:pt>
                <c:pt idx="660">
                  <c:v>-0.72896539429938101</c:v>
                </c:pt>
                <c:pt idx="661">
                  <c:v>-0.72872251931167908</c:v>
                </c:pt>
                <c:pt idx="662">
                  <c:v>-0.72932975725853988</c:v>
                </c:pt>
                <c:pt idx="663">
                  <c:v>-0.73054473683724053</c:v>
                </c:pt>
                <c:pt idx="664">
                  <c:v>-0.72920829621295657</c:v>
                </c:pt>
                <c:pt idx="665">
                  <c:v>-0.72860109192344524</c:v>
                </c:pt>
                <c:pt idx="666">
                  <c:v>-0.72920829621295657</c:v>
                </c:pt>
                <c:pt idx="667">
                  <c:v>-0.72847967127678181</c:v>
                </c:pt>
                <c:pt idx="668">
                  <c:v>-0.72884395343811337</c:v>
                </c:pt>
                <c:pt idx="669">
                  <c:v>-0.72945122502550719</c:v>
                </c:pt>
                <c:pt idx="670">
                  <c:v>-0.72872251931167908</c:v>
                </c:pt>
                <c:pt idx="671">
                  <c:v>-0.72860109192344524</c:v>
                </c:pt>
                <c:pt idx="674">
                  <c:v>-0.73247786989631047</c:v>
                </c:pt>
                <c:pt idx="675">
                  <c:v>-0.72750854920501939</c:v>
                </c:pt>
                <c:pt idx="676">
                  <c:v>-0.73061200561641482</c:v>
                </c:pt>
                <c:pt idx="677">
                  <c:v>-0.73558215531448568</c:v>
                </c:pt>
                <c:pt idx="678">
                  <c:v>-0.73049014161979398</c:v>
                </c:pt>
                <c:pt idx="679">
                  <c:v>-0.72738718938445479</c:v>
                </c:pt>
                <c:pt idx="680">
                  <c:v>-0.72738718938445479</c:v>
                </c:pt>
                <c:pt idx="681">
                  <c:v>-0.72738718938445479</c:v>
                </c:pt>
                <c:pt idx="682">
                  <c:v>-0.72726583633926889</c:v>
                </c:pt>
                <c:pt idx="683">
                  <c:v>-0.72750854920501939</c:v>
                </c:pt>
                <c:pt idx="684">
                  <c:v>-0.72738718938445479</c:v>
                </c:pt>
                <c:pt idx="685">
                  <c:v>-0.72750854920501939</c:v>
                </c:pt>
                <c:pt idx="686">
                  <c:v>-0.72750854920501939</c:v>
                </c:pt>
                <c:pt idx="687">
                  <c:v>-0.72690181788991548</c:v>
                </c:pt>
                <c:pt idx="688">
                  <c:v>-0.72951547472376033</c:v>
                </c:pt>
                <c:pt idx="689">
                  <c:v>-0.73000275366478673</c:v>
                </c:pt>
                <c:pt idx="690">
                  <c:v>-0.72750854920501939</c:v>
                </c:pt>
                <c:pt idx="691">
                  <c:v>-0.72726583633926889</c:v>
                </c:pt>
                <c:pt idx="692">
                  <c:v>-0.73036828442291568</c:v>
                </c:pt>
                <c:pt idx="693">
                  <c:v>-0.7253997926921476</c:v>
                </c:pt>
                <c:pt idx="694">
                  <c:v>-0.72714449007285387</c:v>
                </c:pt>
                <c:pt idx="695">
                  <c:v>-0.72564185591834396</c:v>
                </c:pt>
                <c:pt idx="696">
                  <c:v>-0.72738718938445479</c:v>
                </c:pt>
                <c:pt idx="697">
                  <c:v>-0.72455278441951698</c:v>
                </c:pt>
                <c:pt idx="698">
                  <c:v>-0.72205714546163258</c:v>
                </c:pt>
                <c:pt idx="699">
                  <c:v>-0.72133422312747419</c:v>
                </c:pt>
                <c:pt idx="700">
                  <c:v>-0.72503674853781541</c:v>
                </c:pt>
                <c:pt idx="701">
                  <c:v>-0.72169565392249924</c:v>
                </c:pt>
                <c:pt idx="702">
                  <c:v>-0.72443181033293358</c:v>
                </c:pt>
                <c:pt idx="703">
                  <c:v>-0.72157517023697104</c:v>
                </c:pt>
                <c:pt idx="704">
                  <c:v>-0.7223762915916464</c:v>
                </c:pt>
                <c:pt idx="705">
                  <c:v>-0.69985059810872696</c:v>
                </c:pt>
                <c:pt idx="706">
                  <c:v>-0.663557584178885</c:v>
                </c:pt>
                <c:pt idx="707">
                  <c:v>-0.65530565197733703</c:v>
                </c:pt>
                <c:pt idx="708">
                  <c:v>-0.71874921724284657</c:v>
                </c:pt>
                <c:pt idx="709">
                  <c:v>-0.71493801493184073</c:v>
                </c:pt>
                <c:pt idx="710">
                  <c:v>-0.71649283158955901</c:v>
                </c:pt>
                <c:pt idx="711">
                  <c:v>-0.71673213498217947</c:v>
                </c:pt>
                <c:pt idx="712">
                  <c:v>-0.71541629883889502</c:v>
                </c:pt>
                <c:pt idx="713">
                  <c:v>-0.70576125712606053</c:v>
                </c:pt>
                <c:pt idx="714">
                  <c:v>-0.73125628947035548</c:v>
                </c:pt>
                <c:pt idx="715">
                  <c:v>-0.71236284788969373</c:v>
                </c:pt>
                <c:pt idx="716">
                  <c:v>-0.70656910816034069</c:v>
                </c:pt>
                <c:pt idx="717">
                  <c:v>-0.71534344557960872</c:v>
                </c:pt>
                <c:pt idx="720">
                  <c:v>-0.71522408859624975</c:v>
                </c:pt>
                <c:pt idx="721">
                  <c:v>-0.71438877668745726</c:v>
                </c:pt>
                <c:pt idx="722">
                  <c:v>-0.71355379280515541</c:v>
                </c:pt>
                <c:pt idx="723">
                  <c:v>-0.71553588667405865</c:v>
                </c:pt>
                <c:pt idx="724">
                  <c:v>-0.71434031202757819</c:v>
                </c:pt>
                <c:pt idx="725">
                  <c:v>-0.71766857656128302</c:v>
                </c:pt>
                <c:pt idx="726">
                  <c:v>-0.71838894273988763</c:v>
                </c:pt>
                <c:pt idx="727">
                  <c:v>-0.71517714339188299</c:v>
                </c:pt>
                <c:pt idx="728">
                  <c:v>-0.71386227155249116</c:v>
                </c:pt>
                <c:pt idx="729">
                  <c:v>-0.71826886477034535</c:v>
                </c:pt>
                <c:pt idx="730">
                  <c:v>-0.71565548124582168</c:v>
                </c:pt>
                <c:pt idx="731">
                  <c:v>-0.7152967177437094</c:v>
                </c:pt>
                <c:pt idx="732">
                  <c:v>-0.71541629883889502</c:v>
                </c:pt>
                <c:pt idx="733">
                  <c:v>-0.71493801493184073</c:v>
                </c:pt>
                <c:pt idx="734">
                  <c:v>-0.71505757578679841</c:v>
                </c:pt>
                <c:pt idx="735">
                  <c:v>-0.7152967177437094</c:v>
                </c:pt>
                <c:pt idx="736">
                  <c:v>-0.7152967177437094</c:v>
                </c:pt>
                <c:pt idx="737">
                  <c:v>-0.71505757578679841</c:v>
                </c:pt>
                <c:pt idx="738">
                  <c:v>-0.72346426214967141</c:v>
                </c:pt>
                <c:pt idx="739">
                  <c:v>-0.71838894273988763</c:v>
                </c:pt>
                <c:pt idx="740">
                  <c:v>-0.71850902747741341</c:v>
                </c:pt>
                <c:pt idx="741">
                  <c:v>-0.71862911897953008</c:v>
                </c:pt>
                <c:pt idx="742">
                  <c:v>-0.71577508255080724</c:v>
                </c:pt>
                <c:pt idx="743">
                  <c:v>-0.71874921724284657</c:v>
                </c:pt>
                <c:pt idx="744">
                  <c:v>-0.71601430534694976</c:v>
                </c:pt>
                <c:pt idx="745">
                  <c:v>-0.72443181033293358</c:v>
                </c:pt>
                <c:pt idx="746">
                  <c:v>-0.72975910055387638</c:v>
                </c:pt>
                <c:pt idx="747">
                  <c:v>-0.72181614435737163</c:v>
                </c:pt>
                <c:pt idx="748">
                  <c:v>-0.73174483960300263</c:v>
                </c:pt>
                <c:pt idx="749">
                  <c:v>-0.72491574734923259</c:v>
                </c:pt>
                <c:pt idx="750">
                  <c:v>-0.72019092254483474</c:v>
                </c:pt>
                <c:pt idx="751">
                  <c:v>-0.72043130096137942</c:v>
                </c:pt>
                <c:pt idx="752">
                  <c:v>-0.66312856539463128</c:v>
                </c:pt>
                <c:pt idx="753">
                  <c:v>-0.69616917940068856</c:v>
                </c:pt>
                <c:pt idx="754">
                  <c:v>-0.54916221492124706</c:v>
                </c:pt>
                <c:pt idx="755">
                  <c:v>-0.54436937184207612</c:v>
                </c:pt>
                <c:pt idx="756">
                  <c:v>-0.53251582538120668</c:v>
                </c:pt>
                <c:pt idx="757">
                  <c:v>-0.47785083233552722</c:v>
                </c:pt>
                <c:pt idx="758">
                  <c:v>-0.37039610748494289</c:v>
                </c:pt>
                <c:pt idx="759">
                  <c:v>-0.43824892135591703</c:v>
                </c:pt>
                <c:pt idx="760">
                  <c:v>-0.42558407471445919</c:v>
                </c:pt>
                <c:pt idx="761">
                  <c:v>-0.43092600349486376</c:v>
                </c:pt>
                <c:pt idx="762">
                  <c:v>-0.52104889862406223</c:v>
                </c:pt>
                <c:pt idx="763">
                  <c:v>-0.5015855212805479</c:v>
                </c:pt>
                <c:pt idx="764">
                  <c:v>-0.50150214617580435</c:v>
                </c:pt>
                <c:pt idx="765">
                  <c:v>-0.48611266978911549</c:v>
                </c:pt>
                <c:pt idx="766">
                  <c:v>-0.48603181262259038</c:v>
                </c:pt>
                <c:pt idx="767">
                  <c:v>-0.50374451797431985</c:v>
                </c:pt>
                <c:pt idx="768">
                  <c:v>-0.51380514885971851</c:v>
                </c:pt>
                <c:pt idx="769">
                  <c:v>-0.51064212603360959</c:v>
                </c:pt>
                <c:pt idx="770">
                  <c:v>-0.51055714150127562</c:v>
                </c:pt>
                <c:pt idx="771">
                  <c:v>-0.51038718650765824</c:v>
                </c:pt>
                <c:pt idx="772">
                  <c:v>-0.4735825718511576</c:v>
                </c:pt>
                <c:pt idx="773">
                  <c:v>-0.4355509148717065</c:v>
                </c:pt>
                <c:pt idx="774">
                  <c:v>-0.43533336809434703</c:v>
                </c:pt>
                <c:pt idx="775">
                  <c:v>-0.41818915361203229</c:v>
                </c:pt>
                <c:pt idx="776">
                  <c:v>-0.42018053053399435</c:v>
                </c:pt>
                <c:pt idx="777">
                  <c:v>-0.40026676131437378</c:v>
                </c:pt>
                <c:pt idx="778">
                  <c:v>-0.3932969420875066</c:v>
                </c:pt>
                <c:pt idx="779">
                  <c:v>-0.39030987670456346</c:v>
                </c:pt>
                <c:pt idx="780">
                  <c:v>-0.39200000000000002</c:v>
                </c:pt>
                <c:pt idx="781">
                  <c:v>-0.39290382879627811</c:v>
                </c:pt>
                <c:pt idx="782">
                  <c:v>-0.4016423734979428</c:v>
                </c:pt>
                <c:pt idx="783">
                  <c:v>-0.40144109405063411</c:v>
                </c:pt>
                <c:pt idx="784">
                  <c:v>-0.40197791464370469</c:v>
                </c:pt>
                <c:pt idx="785">
                  <c:v>-0.40264927883781959</c:v>
                </c:pt>
                <c:pt idx="786">
                  <c:v>-0.39973335116476444</c:v>
                </c:pt>
                <c:pt idx="787">
                  <c:v>-0.40291792942591492</c:v>
                </c:pt>
                <c:pt idx="788">
                  <c:v>-0.41990052542660566</c:v>
                </c:pt>
                <c:pt idx="789">
                  <c:v>-0.39761197584566799</c:v>
                </c:pt>
                <c:pt idx="790">
                  <c:v>-0.43788395541227326</c:v>
                </c:pt>
                <c:pt idx="791">
                  <c:v>-0.44278609908729744</c:v>
                </c:pt>
                <c:pt idx="792">
                  <c:v>-0.43994765386634266</c:v>
                </c:pt>
                <c:pt idx="793">
                  <c:v>-0.44002097477563135</c:v>
                </c:pt>
                <c:pt idx="794">
                  <c:v>-0.4401676287982601</c:v>
                </c:pt>
                <c:pt idx="795">
                  <c:v>-0.44024096190753487</c:v>
                </c:pt>
                <c:pt idx="796">
                  <c:v>-0.43839493605704583</c:v>
                </c:pt>
                <c:pt idx="797">
                  <c:v>-0.44126805108845213</c:v>
                </c:pt>
                <c:pt idx="798">
                  <c:v>-0.43671177234599956</c:v>
                </c:pt>
                <c:pt idx="799">
                  <c:v>-0.43970979366645263</c:v>
                </c:pt>
                <c:pt idx="800">
                  <c:v>-0.43956363409831462</c:v>
                </c:pt>
                <c:pt idx="801">
                  <c:v>-0.43092600349486376</c:v>
                </c:pt>
                <c:pt idx="802">
                  <c:v>-0.43377413389268532</c:v>
                </c:pt>
                <c:pt idx="803">
                  <c:v>-0.43868701392528286</c:v>
                </c:pt>
                <c:pt idx="804">
                  <c:v>-0.43868701392528286</c:v>
                </c:pt>
                <c:pt idx="805">
                  <c:v>-0.44053433495033018</c:v>
                </c:pt>
                <c:pt idx="806">
                  <c:v>-0.44038764031185057</c:v>
                </c:pt>
                <c:pt idx="807">
                  <c:v>-0.44053433495033018</c:v>
                </c:pt>
                <c:pt idx="808">
                  <c:v>-0.44060768835231434</c:v>
                </c:pt>
                <c:pt idx="809">
                  <c:v>-0.44053433495033018</c:v>
                </c:pt>
                <c:pt idx="810">
                  <c:v>-0.44046098560283353</c:v>
                </c:pt>
                <c:pt idx="811">
                  <c:v>-0.44038764031185057</c:v>
                </c:pt>
                <c:pt idx="812">
                  <c:v>-0.44038764031185057</c:v>
                </c:pt>
                <c:pt idx="813">
                  <c:v>-0.44024096190753487</c:v>
                </c:pt>
                <c:pt idx="814">
                  <c:v>-0.44009429975361491</c:v>
                </c:pt>
                <c:pt idx="815">
                  <c:v>-0.44002097477563135</c:v>
                </c:pt>
                <c:pt idx="816">
                  <c:v>-0.44300754247772839</c:v>
                </c:pt>
                <c:pt idx="817">
                  <c:v>-0.44300754247772839</c:v>
                </c:pt>
                <c:pt idx="818">
                  <c:v>-0.43972771557099849</c:v>
                </c:pt>
                <c:pt idx="819">
                  <c:v>-0.4424171088464931</c:v>
                </c:pt>
                <c:pt idx="820">
                  <c:v>-0.44197445630044913</c:v>
                </c:pt>
                <c:pt idx="821">
                  <c:v>-0.44182693843057824</c:v>
                </c:pt>
                <c:pt idx="822">
                  <c:v>-0.44153195225822012</c:v>
                </c:pt>
                <c:pt idx="823">
                  <c:v>-0.44108959716674606</c:v>
                </c:pt>
                <c:pt idx="824">
                  <c:v>-0.44079477674430462</c:v>
                </c:pt>
                <c:pt idx="825">
                  <c:v>-0.44064739147461102</c:v>
                </c:pt>
                <c:pt idx="826">
                  <c:v>-0.4422577832082098</c:v>
                </c:pt>
                <c:pt idx="827">
                  <c:v>-0.43991071520986014</c:v>
                </c:pt>
                <c:pt idx="828">
                  <c:v>-0.44166592771667595</c:v>
                </c:pt>
                <c:pt idx="829">
                  <c:v>-0.44063082938001058</c:v>
                </c:pt>
                <c:pt idx="830">
                  <c:v>-0.44100041229884385</c:v>
                </c:pt>
                <c:pt idx="831">
                  <c:v>-0.44129615474445338</c:v>
                </c:pt>
                <c:pt idx="832">
                  <c:v>-0.44144405129070047</c:v>
                </c:pt>
                <c:pt idx="833">
                  <c:v>-0.44262782918910365</c:v>
                </c:pt>
                <c:pt idx="834">
                  <c:v>-0.44094217864724139</c:v>
                </c:pt>
                <c:pt idx="835">
                  <c:v>-0.44094217864724139</c:v>
                </c:pt>
                <c:pt idx="836">
                  <c:v>-0.44094217864724139</c:v>
                </c:pt>
                <c:pt idx="837">
                  <c:v>-0.44108959716674606</c:v>
                </c:pt>
                <c:pt idx="838">
                  <c:v>-0.44108959716674606</c:v>
                </c:pt>
                <c:pt idx="839">
                  <c:v>-0.44108959716674606</c:v>
                </c:pt>
                <c:pt idx="840">
                  <c:v>-0.44108959716674606</c:v>
                </c:pt>
                <c:pt idx="841">
                  <c:v>-0.44138448398885982</c:v>
                </c:pt>
                <c:pt idx="842">
                  <c:v>-0.44160569260021298</c:v>
                </c:pt>
                <c:pt idx="843">
                  <c:v>-0.44190069530192949</c:v>
                </c:pt>
                <c:pt idx="844">
                  <c:v>-0.44204822142407102</c:v>
                </c:pt>
                <c:pt idx="845">
                  <c:v>-0.44226954152490933</c:v>
                </c:pt>
                <c:pt idx="846">
                  <c:v>-0.4423433231283056</c:v>
                </c:pt>
                <c:pt idx="847">
                  <c:v>-0.44271229282600527</c:v>
                </c:pt>
                <c:pt idx="848">
                  <c:v>-0.44477614897083589</c:v>
                </c:pt>
                <c:pt idx="849">
                  <c:v>-0.44536940094886246</c:v>
                </c:pt>
                <c:pt idx="850">
                  <c:v>-0.44559193822055315</c:v>
                </c:pt>
                <c:pt idx="851">
                  <c:v>-0.44352438699750435</c:v>
                </c:pt>
                <c:pt idx="852">
                  <c:v>-0.4452210632865794</c:v>
                </c:pt>
                <c:pt idx="853">
                  <c:v>-0.43362973853677994</c:v>
                </c:pt>
                <c:pt idx="854">
                  <c:v>-0.42394340621601179</c:v>
                </c:pt>
                <c:pt idx="855">
                  <c:v>-0.43890611467069457</c:v>
                </c:pt>
                <c:pt idx="856">
                  <c:v>-0.43598611660523684</c:v>
                </c:pt>
                <c:pt idx="857">
                  <c:v>-0.44404143153585551</c:v>
                </c:pt>
                <c:pt idx="858">
                  <c:v>-0.4390522019680369</c:v>
                </c:pt>
                <c:pt idx="859">
                  <c:v>-0.4161017459560713</c:v>
                </c:pt>
                <c:pt idx="860">
                  <c:v>-0.42102091809475956</c:v>
                </c:pt>
                <c:pt idx="861">
                  <c:v>-0.42130117094870312</c:v>
                </c:pt>
                <c:pt idx="862">
                  <c:v>-0.41410605412894386</c:v>
                </c:pt>
                <c:pt idx="863">
                  <c:v>-0.41424385618579657</c:v>
                </c:pt>
                <c:pt idx="864">
                  <c:v>-0.41403715878987019</c:v>
                </c:pt>
                <c:pt idx="865">
                  <c:v>-0.41369273906382453</c:v>
                </c:pt>
                <c:pt idx="866">
                  <c:v>-0.41389937949989836</c:v>
                </c:pt>
                <c:pt idx="867">
                  <c:v>-0.41410605412894386</c:v>
                </c:pt>
                <c:pt idx="868">
                  <c:v>-0.41362386652576244</c:v>
                </c:pt>
                <c:pt idx="869">
                  <c:v>-0.41362386652576244</c:v>
                </c:pt>
                <c:pt idx="870">
                  <c:v>-0.41341727176007781</c:v>
                </c:pt>
                <c:pt idx="871">
                  <c:v>-0.41327956097574192</c:v>
                </c:pt>
                <c:pt idx="872">
                  <c:v>-0.41513291059148927</c:v>
                </c:pt>
                <c:pt idx="873">
                  <c:v>-0.41513291059148927</c:v>
                </c:pt>
                <c:pt idx="874">
                  <c:v>-0.41506373679245445</c:v>
                </c:pt>
                <c:pt idx="875">
                  <c:v>-0.41478708002037457</c:v>
                </c:pt>
                <c:pt idx="876">
                  <c:v>-0.41948063451717965</c:v>
                </c:pt>
                <c:pt idx="877">
                  <c:v>-0.41763185942587322</c:v>
                </c:pt>
                <c:pt idx="878">
                  <c:v>-0.41749257463795131</c:v>
                </c:pt>
                <c:pt idx="879">
                  <c:v>-0.41735330538452325</c:v>
                </c:pt>
                <c:pt idx="880">
                  <c:v>-0.41721405168114567</c:v>
                </c:pt>
                <c:pt idx="881">
                  <c:v>-0.41815190873963115</c:v>
                </c:pt>
                <c:pt idx="882">
                  <c:v>-0.41672678640101668</c:v>
                </c:pt>
                <c:pt idx="883">
                  <c:v>-0.41672678640101668</c:v>
                </c:pt>
                <c:pt idx="884">
                  <c:v>-0.41700520031650079</c:v>
                </c:pt>
                <c:pt idx="885">
                  <c:v>-0.41665719267993861</c:v>
                </c:pt>
                <c:pt idx="886">
                  <c:v>-0.41651801696082952</c:v>
                </c:pt>
                <c:pt idx="887">
                  <c:v>-0.41651801696082952</c:v>
                </c:pt>
                <c:pt idx="888">
                  <c:v>-0.41665719267993861</c:v>
                </c:pt>
                <c:pt idx="889">
                  <c:v>-0.41679638402716729</c:v>
                </c:pt>
                <c:pt idx="890">
                  <c:v>-0.4170748135433941</c:v>
                </c:pt>
                <c:pt idx="891">
                  <c:v>-0.41749257463795131</c:v>
                </c:pt>
                <c:pt idx="892">
                  <c:v>-0.41478708002037457</c:v>
                </c:pt>
                <c:pt idx="893">
                  <c:v>-0.41547883712679112</c:v>
                </c:pt>
                <c:pt idx="894">
                  <c:v>-0.41596329504018098</c:v>
                </c:pt>
                <c:pt idx="895">
                  <c:v>-0.41582485938678104</c:v>
                </c:pt>
                <c:pt idx="896">
                  <c:v>-0.4233791337302002</c:v>
                </c:pt>
                <c:pt idx="897">
                  <c:v>-0.41561723455721195</c:v>
                </c:pt>
                <c:pt idx="898">
                  <c:v>-0.41630945091376587</c:v>
                </c:pt>
                <c:pt idx="899">
                  <c:v>-0.4167942289404804</c:v>
                </c:pt>
                <c:pt idx="900">
                  <c:v>-0.42200207243745191</c:v>
                </c:pt>
                <c:pt idx="901">
                  <c:v>-0.4170713284400569</c:v>
                </c:pt>
                <c:pt idx="902">
                  <c:v>-0.42007184159430194</c:v>
                </c:pt>
                <c:pt idx="903">
                  <c:v>-0.41186513484388831</c:v>
                </c:pt>
                <c:pt idx="904">
                  <c:v>-0.4107021891428812</c:v>
                </c:pt>
                <c:pt idx="905">
                  <c:v>-0.41036035363326778</c:v>
                </c:pt>
                <c:pt idx="906">
                  <c:v>-0.40850437223497449</c:v>
                </c:pt>
                <c:pt idx="907">
                  <c:v>-0.40619085777699027</c:v>
                </c:pt>
                <c:pt idx="908">
                  <c:v>-0.40392590047580446</c:v>
                </c:pt>
                <c:pt idx="909">
                  <c:v>-0.40884458596781831</c:v>
                </c:pt>
                <c:pt idx="910">
                  <c:v>-0.40830028915675709</c:v>
                </c:pt>
                <c:pt idx="911">
                  <c:v>-0.40325382669731685</c:v>
                </c:pt>
                <c:pt idx="912">
                  <c:v>-0.39820902694627275</c:v>
                </c:pt>
                <c:pt idx="913">
                  <c:v>-0.395156603133344</c:v>
                </c:pt>
                <c:pt idx="914">
                  <c:v>-0.40332101733777231</c:v>
                </c:pt>
                <c:pt idx="915">
                  <c:v>-0.39310036906329077</c:v>
                </c:pt>
                <c:pt idx="916">
                  <c:v>-0.39456406288851464</c:v>
                </c:pt>
                <c:pt idx="917">
                  <c:v>-0.39694893716873075</c:v>
                </c:pt>
                <c:pt idx="918">
                  <c:v>-0.40204503416590404</c:v>
                </c:pt>
                <c:pt idx="919">
                  <c:v>-0.39423500232554159</c:v>
                </c:pt>
                <c:pt idx="920">
                  <c:v>-0.39257633461199815</c:v>
                </c:pt>
                <c:pt idx="921">
                  <c:v>-0.39264182614759713</c:v>
                </c:pt>
                <c:pt idx="922">
                  <c:v>-0.39277282017433318</c:v>
                </c:pt>
                <c:pt idx="923">
                  <c:v>-0.39146353910838388</c:v>
                </c:pt>
                <c:pt idx="924">
                  <c:v>-0.39370869698440319</c:v>
                </c:pt>
                <c:pt idx="925">
                  <c:v>-0.39403761015691546</c:v>
                </c:pt>
                <c:pt idx="926">
                  <c:v>-0.39192162054381335</c:v>
                </c:pt>
                <c:pt idx="927">
                  <c:v>-0.39251084673068259</c:v>
                </c:pt>
                <c:pt idx="928">
                  <c:v>-0.3943666155176544</c:v>
                </c:pt>
                <c:pt idx="929">
                  <c:v>-0.39237988193822038</c:v>
                </c:pt>
                <c:pt idx="930">
                  <c:v>-0.3943666155176544</c:v>
                </c:pt>
                <c:pt idx="931">
                  <c:v>-0.39237988193822038</c:v>
                </c:pt>
                <c:pt idx="932">
                  <c:v>-0.39211799628526445</c:v>
                </c:pt>
                <c:pt idx="933">
                  <c:v>-0.38939978156906929</c:v>
                </c:pt>
                <c:pt idx="934">
                  <c:v>-0.39403761015691546</c:v>
                </c:pt>
                <c:pt idx="935">
                  <c:v>-0.3839198418265149</c:v>
                </c:pt>
                <c:pt idx="936">
                  <c:v>-0.38411222954842889</c:v>
                </c:pt>
                <c:pt idx="937">
                  <c:v>-0.40376066052555959</c:v>
                </c:pt>
                <c:pt idx="938">
                  <c:v>-0.4067367833304163</c:v>
                </c:pt>
                <c:pt idx="939">
                  <c:v>-0.40369322468194591</c:v>
                </c:pt>
                <c:pt idx="941">
                  <c:v>-0.40369322468194591</c:v>
                </c:pt>
                <c:pt idx="942">
                  <c:v>-0.4067367833304163</c:v>
                </c:pt>
                <c:pt idx="943">
                  <c:v>-0.40680472005813534</c:v>
                </c:pt>
                <c:pt idx="944">
                  <c:v>-0.40382810015527093</c:v>
                </c:pt>
                <c:pt idx="945">
                  <c:v>-0.35217453190804338</c:v>
                </c:pt>
                <c:pt idx="946">
                  <c:v>-0.4040304417420319</c:v>
                </c:pt>
                <c:pt idx="947">
                  <c:v>-0.40477265145154318</c:v>
                </c:pt>
                <c:pt idx="948">
                  <c:v>-0.40436775326513991</c:v>
                </c:pt>
                <c:pt idx="949">
                  <c:v>-0.4049751513000675</c:v>
                </c:pt>
                <c:pt idx="950">
                  <c:v>-0.40531272606536617</c:v>
                </c:pt>
                <c:pt idx="951">
                  <c:v>-0.4050426587563527</c:v>
                </c:pt>
                <c:pt idx="952">
                  <c:v>-0.4050426587563527</c:v>
                </c:pt>
                <c:pt idx="953">
                  <c:v>-0.40585304021683427</c:v>
                </c:pt>
                <c:pt idx="954">
                  <c:v>-0.40463767033825321</c:v>
                </c:pt>
                <c:pt idx="955">
                  <c:v>-0.40802823117961823</c:v>
                </c:pt>
                <c:pt idx="956">
                  <c:v>-0.40802823117961823</c:v>
                </c:pt>
                <c:pt idx="957">
                  <c:v>-0.40789222485092619</c:v>
                </c:pt>
                <c:pt idx="958">
                  <c:v>-0.40768824372525719</c:v>
                </c:pt>
                <c:pt idx="959">
                  <c:v>-0.40940371861529423</c:v>
                </c:pt>
                <c:pt idx="960">
                  <c:v>-0.40741632192298699</c:v>
                </c:pt>
                <c:pt idx="961">
                  <c:v>-0.40919882246243827</c:v>
                </c:pt>
                <c:pt idx="962">
                  <c:v>-0.40892568106964522</c:v>
                </c:pt>
                <c:pt idx="972">
                  <c:v>-0.411215739637315</c:v>
                </c:pt>
                <c:pt idx="973">
                  <c:v>-0.411215739637315</c:v>
                </c:pt>
                <c:pt idx="974">
                  <c:v>-0.41114700535130111</c:v>
                </c:pt>
                <c:pt idx="975">
                  <c:v>-0.41114700535130111</c:v>
                </c:pt>
                <c:pt idx="976">
                  <c:v>-0.41107827494131777</c:v>
                </c:pt>
                <c:pt idx="977">
                  <c:v>-0.41100954840930931</c:v>
                </c:pt>
                <c:pt idx="978">
                  <c:v>-0.41087210698700116</c:v>
                </c:pt>
                <c:pt idx="979">
                  <c:v>-0.41107827494131777</c:v>
                </c:pt>
                <c:pt idx="980">
                  <c:v>-0.41107827494131777</c:v>
                </c:pt>
                <c:pt idx="981">
                  <c:v>-0.41087210698700116</c:v>
                </c:pt>
                <c:pt idx="982">
                  <c:v>-0.41087210698700116</c:v>
                </c:pt>
                <c:pt idx="983">
                  <c:v>-0.41100954840930931</c:v>
                </c:pt>
                <c:pt idx="984">
                  <c:v>-0.41087210698700116</c:v>
                </c:pt>
                <c:pt idx="985">
                  <c:v>-0.41107827494131777</c:v>
                </c:pt>
                <c:pt idx="986">
                  <c:v>-0.41107827494131777</c:v>
                </c:pt>
                <c:pt idx="987">
                  <c:v>-0.41107827494131777</c:v>
                </c:pt>
                <c:pt idx="988">
                  <c:v>-0.41114700535130111</c:v>
                </c:pt>
                <c:pt idx="989">
                  <c:v>-0.41128447779741595</c:v>
                </c:pt>
                <c:pt idx="990">
                  <c:v>-0.41714443066559243</c:v>
                </c:pt>
                <c:pt idx="991">
                  <c:v>-0.41409570773236987</c:v>
                </c:pt>
                <c:pt idx="992">
                  <c:v>-0.41361197713113379</c:v>
                </c:pt>
                <c:pt idx="993">
                  <c:v>-0.41333564498546765</c:v>
                </c:pt>
                <c:pt idx="994">
                  <c:v>-0.41155946913986724</c:v>
                </c:pt>
                <c:pt idx="995">
                  <c:v>-0.41238481365375512</c:v>
                </c:pt>
                <c:pt idx="996">
                  <c:v>-0.40899396068235172</c:v>
                </c:pt>
                <c:pt idx="997">
                  <c:v>-0.40940371861529423</c:v>
                </c:pt>
                <c:pt idx="998">
                  <c:v>-0.41008695337767687</c:v>
                </c:pt>
                <c:pt idx="999">
                  <c:v>-0.40947202496238794</c:v>
                </c:pt>
                <c:pt idx="1000">
                  <c:v>-0.40748429668587149</c:v>
                </c:pt>
                <c:pt idx="1001">
                  <c:v>-0.40762025758890369</c:v>
                </c:pt>
                <c:pt idx="1002">
                  <c:v>-0.40789222485092619</c:v>
                </c:pt>
                <c:pt idx="1003">
                  <c:v>-0.40789222485092619</c:v>
                </c:pt>
                <c:pt idx="1004">
                  <c:v>-0.40775623364897473</c:v>
                </c:pt>
                <c:pt idx="1005">
                  <c:v>-0.40789222485092619</c:v>
                </c:pt>
                <c:pt idx="1006">
                  <c:v>-0.40796022612537514</c:v>
                </c:pt>
                <c:pt idx="1007">
                  <c:v>-0.40490764759591941</c:v>
                </c:pt>
                <c:pt idx="1008">
                  <c:v>-0.40470515901507237</c:v>
                </c:pt>
                <c:pt idx="1009">
                  <c:v>-0.40954033512103794</c:v>
                </c:pt>
                <c:pt idx="1010">
                  <c:v>-0.40960864908933736</c:v>
                </c:pt>
                <c:pt idx="1011">
                  <c:v>-0.40933541608166502</c:v>
                </c:pt>
                <c:pt idx="1012">
                  <c:v>-0.40947202496238794</c:v>
                </c:pt>
                <c:pt idx="1013">
                  <c:v>-0.40940371861529423</c:v>
                </c:pt>
                <c:pt idx="1014">
                  <c:v>-0.40926711736340954</c:v>
                </c:pt>
                <c:pt idx="1015">
                  <c:v>-0.40926711736340954</c:v>
                </c:pt>
                <c:pt idx="1016">
                  <c:v>-0.40940371861529423</c:v>
                </c:pt>
                <c:pt idx="1017">
                  <c:v>-0.4070085531062238</c:v>
                </c:pt>
                <c:pt idx="1018">
                  <c:v>-0.40687266059794897</c:v>
                </c:pt>
                <c:pt idx="1019">
                  <c:v>-0.40748429668587149</c:v>
                </c:pt>
                <c:pt idx="1020">
                  <c:v>-0.40967696686538041</c:v>
                </c:pt>
                <c:pt idx="1021">
                  <c:v>-0.40768824372525719</c:v>
                </c:pt>
                <c:pt idx="1022">
                  <c:v>-0.40762025758890369</c:v>
                </c:pt>
                <c:pt idx="1023">
                  <c:v>-0.40960864908933736</c:v>
                </c:pt>
                <c:pt idx="1024">
                  <c:v>-0.40762025758890369</c:v>
                </c:pt>
                <c:pt idx="1025">
                  <c:v>-0.40954033512103794</c:v>
                </c:pt>
                <c:pt idx="1026">
                  <c:v>-0.4098136138330799</c:v>
                </c:pt>
                <c:pt idx="1027">
                  <c:v>-0.40802823117961823</c:v>
                </c:pt>
                <c:pt idx="1028">
                  <c:v>-0.40823226900222198</c:v>
                </c:pt>
                <c:pt idx="1029">
                  <c:v>-0.40823226900222198</c:v>
                </c:pt>
                <c:pt idx="1030">
                  <c:v>-0.40721242041164973</c:v>
                </c:pt>
                <c:pt idx="1031">
                  <c:v>-0.40687266059794897</c:v>
                </c:pt>
                <c:pt idx="1032">
                  <c:v>-0.40885740528379266</c:v>
                </c:pt>
                <c:pt idx="1033">
                  <c:v>-0.40305227714084241</c:v>
                </c:pt>
                <c:pt idx="1034">
                  <c:v>-0.40020007208100411</c:v>
                </c:pt>
                <c:pt idx="1035">
                  <c:v>-0.40033345424638139</c:v>
                </c:pt>
                <c:pt idx="1036">
                  <c:v>-0.4006002629238441</c:v>
                </c:pt>
                <c:pt idx="1037">
                  <c:v>-0.39847447880489434</c:v>
                </c:pt>
                <c:pt idx="1038">
                  <c:v>-0.40053355521575551</c:v>
                </c:pt>
                <c:pt idx="1039">
                  <c:v>-0.37829857559895907</c:v>
                </c:pt>
                <c:pt idx="1040">
                  <c:v>-0.3804797453590007</c:v>
                </c:pt>
                <c:pt idx="1041">
                  <c:v>-0.37867686545039991</c:v>
                </c:pt>
                <c:pt idx="1042">
                  <c:v>-0.38028962073369044</c:v>
                </c:pt>
                <c:pt idx="1043">
                  <c:v>-0.38073329400684641</c:v>
                </c:pt>
                <c:pt idx="1044">
                  <c:v>-0.37899220291556956</c:v>
                </c:pt>
                <c:pt idx="1045">
                  <c:v>-0.38073329400684641</c:v>
                </c:pt>
                <c:pt idx="1046">
                  <c:v>-0.38060651266770795</c:v>
                </c:pt>
                <c:pt idx="1047">
                  <c:v>-0.38041636697044201</c:v>
                </c:pt>
                <c:pt idx="1048">
                  <c:v>-0.38410676176891573</c:v>
                </c:pt>
                <c:pt idx="1049">
                  <c:v>-0.38346780618642745</c:v>
                </c:pt>
                <c:pt idx="1050">
                  <c:v>-0.38429851718441371</c:v>
                </c:pt>
                <c:pt idx="1051">
                  <c:v>-0.38436244269016756</c:v>
                </c:pt>
                <c:pt idx="1052">
                  <c:v>-0.38410676176891573</c:v>
                </c:pt>
                <c:pt idx="1053">
                  <c:v>-0.38455424028463797</c:v>
                </c:pt>
                <c:pt idx="1054">
                  <c:v>-0.38455424028463797</c:v>
                </c:pt>
                <c:pt idx="1055">
                  <c:v>-0.38525776794847649</c:v>
                </c:pt>
                <c:pt idx="1056">
                  <c:v>-0.38506585479477679</c:v>
                </c:pt>
                <c:pt idx="1057">
                  <c:v>-0.3820653416405318</c:v>
                </c:pt>
                <c:pt idx="1058">
                  <c:v>-0.38725910700275429</c:v>
                </c:pt>
                <c:pt idx="1059">
                  <c:v>-0.38519379340533033</c:v>
                </c:pt>
                <c:pt idx="1060">
                  <c:v>-0.3866804715848049</c:v>
                </c:pt>
                <c:pt idx="1061">
                  <c:v>-0.37993873626525371</c:v>
                </c:pt>
                <c:pt idx="1062">
                  <c:v>-0.37700185144293691</c:v>
                </c:pt>
                <c:pt idx="1063">
                  <c:v>-0.40267002272226071</c:v>
                </c:pt>
                <c:pt idx="1064">
                  <c:v>-0.3904555529307166</c:v>
                </c:pt>
                <c:pt idx="1065">
                  <c:v>-0.38263668825846664</c:v>
                </c:pt>
                <c:pt idx="1066">
                  <c:v>-0.38082286844382407</c:v>
                </c:pt>
                <c:pt idx="1067">
                  <c:v>-0.3783806080433128</c:v>
                </c:pt>
                <c:pt idx="1068">
                  <c:v>-0.37737771238489187</c:v>
                </c:pt>
                <c:pt idx="1069">
                  <c:v>-0.38113879305147502</c:v>
                </c:pt>
                <c:pt idx="1070">
                  <c:v>-0.38044387208633923</c:v>
                </c:pt>
                <c:pt idx="1071">
                  <c:v>-0.38044387208633923</c:v>
                </c:pt>
                <c:pt idx="1072">
                  <c:v>-0.38384378118538637</c:v>
                </c:pt>
                <c:pt idx="1073">
                  <c:v>-0.37974936725739095</c:v>
                </c:pt>
                <c:pt idx="1074">
                  <c:v>-0.38289070991713475</c:v>
                </c:pt>
                <c:pt idx="1075">
                  <c:v>-0.38168459985890302</c:v>
                </c:pt>
                <c:pt idx="1076">
                  <c:v>-0.38143084154078943</c:v>
                </c:pt>
                <c:pt idx="1077">
                  <c:v>-0.3847460694581461</c:v>
                </c:pt>
                <c:pt idx="1078">
                  <c:v>-0.38429851718441371</c:v>
                </c:pt>
                <c:pt idx="1079">
                  <c:v>-0.38525776794847649</c:v>
                </c:pt>
                <c:pt idx="1080">
                  <c:v>-0.38436244269016756</c:v>
                </c:pt>
                <c:pt idx="1081">
                  <c:v>-0.38404285033685776</c:v>
                </c:pt>
                <c:pt idx="1082">
                  <c:v>-0.38629487311783922</c:v>
                </c:pt>
                <c:pt idx="1083">
                  <c:v>-0.38616636854915976</c:v>
                </c:pt>
                <c:pt idx="1084">
                  <c:v>-0.38635913070414246</c:v>
                </c:pt>
                <c:pt idx="1085">
                  <c:v>-0.38954845119742548</c:v>
                </c:pt>
                <c:pt idx="1086">
                  <c:v>-0.38928940701797754</c:v>
                </c:pt>
                <c:pt idx="1087">
                  <c:v>-0.38928940701797754</c:v>
                </c:pt>
                <c:pt idx="1088">
                  <c:v>-0.39154613556254048</c:v>
                </c:pt>
                <c:pt idx="1089">
                  <c:v>-0.39161123765122574</c:v>
                </c:pt>
                <c:pt idx="1090">
                  <c:v>-0.39291402693067229</c:v>
                </c:pt>
                <c:pt idx="1091">
                  <c:v>-0.3925230410178015</c:v>
                </c:pt>
                <c:pt idx="1092">
                  <c:v>-0.38928940701797754</c:v>
                </c:pt>
                <c:pt idx="1093">
                  <c:v>-0.39388685721289818</c:v>
                </c:pt>
                <c:pt idx="1094">
                  <c:v>-0.39057003394173173</c:v>
                </c:pt>
                <c:pt idx="1095">
                  <c:v>-0.38978973546414836</c:v>
                </c:pt>
                <c:pt idx="1096">
                  <c:v>-0.38760701392070707</c:v>
                </c:pt>
                <c:pt idx="1097">
                  <c:v>-0.38767167644952627</c:v>
                </c:pt>
                <c:pt idx="1098">
                  <c:v>-0.38773634258456696</c:v>
                </c:pt>
                <c:pt idx="1099">
                  <c:v>-0.38838320188081776</c:v>
                </c:pt>
                <c:pt idx="1100">
                  <c:v>-0.38896568193966352</c:v>
                </c:pt>
                <c:pt idx="1101">
                  <c:v>-0.38896568193966352</c:v>
                </c:pt>
                <c:pt idx="1102">
                  <c:v>-0.39161123765122574</c:v>
                </c:pt>
                <c:pt idx="1103">
                  <c:v>-0.39050498922879645</c:v>
                </c:pt>
                <c:pt idx="1104">
                  <c:v>-0.39083024876979749</c:v>
                </c:pt>
                <c:pt idx="1105">
                  <c:v>-0.39017981971856636</c:v>
                </c:pt>
                <c:pt idx="1106">
                  <c:v>-0.38985474046438562</c:v>
                </c:pt>
                <c:pt idx="1107">
                  <c:v>-0.39369018621126795</c:v>
                </c:pt>
                <c:pt idx="1108">
                  <c:v>-0.39198707545412165</c:v>
                </c:pt>
                <c:pt idx="1109">
                  <c:v>-0.3943666155176544</c:v>
                </c:pt>
                <c:pt idx="1110">
                  <c:v>-0.39364292543282475</c:v>
                </c:pt>
                <c:pt idx="1111">
                  <c:v>-0.39403761015691546</c:v>
                </c:pt>
                <c:pt idx="1112">
                  <c:v>-0.3935113934274117</c:v>
                </c:pt>
                <c:pt idx="1113">
                  <c:v>-0.39370869698440319</c:v>
                </c:pt>
                <c:pt idx="1114">
                  <c:v>-0.39675009796751448</c:v>
                </c:pt>
                <c:pt idx="1115">
                  <c:v>-0.39384025117603727</c:v>
                </c:pt>
                <c:pt idx="1116">
                  <c:v>-0.39721410813656588</c:v>
                </c:pt>
                <c:pt idx="1117">
                  <c:v>-0.39403761015691546</c:v>
                </c:pt>
                <c:pt idx="1118">
                  <c:v>-0.39489321527119597</c:v>
                </c:pt>
                <c:pt idx="1119">
                  <c:v>-0.3939524214517105</c:v>
                </c:pt>
                <c:pt idx="1120">
                  <c:v>-0.39807632310206659</c:v>
                </c:pt>
                <c:pt idx="1121">
                  <c:v>-0.39754565530328928</c:v>
                </c:pt>
                <c:pt idx="1122">
                  <c:v>-0.39708151522558421</c:v>
                </c:pt>
                <c:pt idx="1123">
                  <c:v>-0.39754565530328928</c:v>
                </c:pt>
                <c:pt idx="1124">
                  <c:v>-0.39462988602682547</c:v>
                </c:pt>
                <c:pt idx="1125">
                  <c:v>-0.39423500232554159</c:v>
                </c:pt>
                <c:pt idx="1126">
                  <c:v>-0.39794363400090366</c:v>
                </c:pt>
                <c:pt idx="1127">
                  <c:v>-0.39947044596574754</c:v>
                </c:pt>
                <c:pt idx="1128">
                  <c:v>-0.39535418242739656</c:v>
                </c:pt>
                <c:pt idx="1129">
                  <c:v>-0.39779368010376753</c:v>
                </c:pt>
                <c:pt idx="1130">
                  <c:v>-0.3932969420875066</c:v>
                </c:pt>
                <c:pt idx="1131">
                  <c:v>-0.39847447880489434</c:v>
                </c:pt>
                <c:pt idx="1132">
                  <c:v>-0.39548592021385764</c:v>
                </c:pt>
                <c:pt idx="1133">
                  <c:v>-0.39555179457874362</c:v>
                </c:pt>
                <c:pt idx="1134">
                  <c:v>-0.39867360628989157</c:v>
                </c:pt>
                <c:pt idx="1135">
                  <c:v>-0.39920477422800033</c:v>
                </c:pt>
                <c:pt idx="1136">
                  <c:v>-0.39640849238663201</c:v>
                </c:pt>
                <c:pt idx="1137">
                  <c:v>-0.39621073842129034</c:v>
                </c:pt>
                <c:pt idx="1138">
                  <c:v>-0.39627665278496688</c:v>
                </c:pt>
                <c:pt idx="1139">
                  <c:v>-0.39654034647532799</c:v>
                </c:pt>
                <c:pt idx="1140">
                  <c:v>-0.39719983371926271</c:v>
                </c:pt>
                <c:pt idx="1141">
                  <c:v>-0.39680409805604494</c:v>
                </c:pt>
                <c:pt idx="1142">
                  <c:v>-0.39654034647532799</c:v>
                </c:pt>
                <c:pt idx="1143">
                  <c:v>-0.39980261768871028</c:v>
                </c:pt>
                <c:pt idx="1144">
                  <c:v>-0.40079967768641567</c:v>
                </c:pt>
                <c:pt idx="1145">
                  <c:v>-0.39960330372574054</c:v>
                </c:pt>
                <c:pt idx="1146">
                  <c:v>-0.40013488036729045</c:v>
                </c:pt>
                <c:pt idx="1147">
                  <c:v>-0.40106732008078999</c:v>
                </c:pt>
                <c:pt idx="1148">
                  <c:v>-0.4052711584912545</c:v>
                </c:pt>
                <c:pt idx="1149">
                  <c:v>-0.40634842282584027</c:v>
                </c:pt>
                <c:pt idx="1150">
                  <c:v>-0.40506927582307689</c:v>
                </c:pt>
                <c:pt idx="1151">
                  <c:v>-0.40930311164671324</c:v>
                </c:pt>
                <c:pt idx="1152">
                  <c:v>-0.40652876830090295</c:v>
                </c:pt>
                <c:pt idx="1153">
                  <c:v>-0.40891263998785138</c:v>
                </c:pt>
                <c:pt idx="1154">
                  <c:v>-0.408980697761329</c:v>
                </c:pt>
                <c:pt idx="1155">
                  <c:v>-0.41083894980180768</c:v>
                </c:pt>
                <c:pt idx="1156">
                  <c:v>-0.41396826724622326</c:v>
                </c:pt>
                <c:pt idx="1157">
                  <c:v>-0.41568643901112007</c:v>
                </c:pt>
                <c:pt idx="1158">
                  <c:v>-0.41901271401650814</c:v>
                </c:pt>
                <c:pt idx="1159">
                  <c:v>-0.41645074048075886</c:v>
                </c:pt>
                <c:pt idx="1160">
                  <c:v>-0.41693277111213362</c:v>
                </c:pt>
                <c:pt idx="1161">
                  <c:v>-0.4178336639880883</c:v>
                </c:pt>
                <c:pt idx="1162">
                  <c:v>-0.42035099561587258</c:v>
                </c:pt>
                <c:pt idx="1163">
                  <c:v>-0.41965322497575724</c:v>
                </c:pt>
                <c:pt idx="1164">
                  <c:v>-0.41853758812938935</c:v>
                </c:pt>
                <c:pt idx="1165">
                  <c:v>-0.4203905751391635</c:v>
                </c:pt>
                <c:pt idx="1166">
                  <c:v>-0.42046059776380301</c:v>
                </c:pt>
                <c:pt idx="1167">
                  <c:v>-0.42046059776380301</c:v>
                </c:pt>
                <c:pt idx="1168">
                  <c:v>-0.42130117094870312</c:v>
                </c:pt>
                <c:pt idx="1169">
                  <c:v>-0.42130117094870312</c:v>
                </c:pt>
                <c:pt idx="1170">
                  <c:v>-0.42144132049386362</c:v>
                </c:pt>
                <c:pt idx="1171">
                  <c:v>-0.42130117094870312</c:v>
                </c:pt>
                <c:pt idx="1172">
                  <c:v>-0.42137124379636948</c:v>
                </c:pt>
                <c:pt idx="1173">
                  <c:v>-0.42151140103926549</c:v>
                </c:pt>
                <c:pt idx="1174">
                  <c:v>-0.41951371667415049</c:v>
                </c:pt>
                <c:pt idx="1175">
                  <c:v>-0.4212311019527859</c:v>
                </c:pt>
                <c:pt idx="1176">
                  <c:v>-0.41431276289979097</c:v>
                </c:pt>
                <c:pt idx="1177">
                  <c:v>-0.41451950576136298</c:v>
                </c:pt>
                <c:pt idx="1178">
                  <c:v>-0.41458842761545578</c:v>
                </c:pt>
                <c:pt idx="1179">
                  <c:v>-0.41179669621937154</c:v>
                </c:pt>
                <c:pt idx="1180">
                  <c:v>-0.41013825237647267</c:v>
                </c:pt>
                <c:pt idx="1181">
                  <c:v>-0.41234430998509403</c:v>
                </c:pt>
                <c:pt idx="1182">
                  <c:v>-0.41027450612694893</c:v>
                </c:pt>
                <c:pt idx="1183">
                  <c:v>-0.41241277852142028</c:v>
                </c:pt>
                <c:pt idx="1184">
                  <c:v>-0.41061520550411224</c:v>
                </c:pt>
                <c:pt idx="1185">
                  <c:v>-0.41289216262856709</c:v>
                </c:pt>
                <c:pt idx="1186">
                  <c:v>-0.41116051717314339</c:v>
                </c:pt>
                <c:pt idx="1187">
                  <c:v>-0.41282366801700809</c:v>
                </c:pt>
                <c:pt idx="1188">
                  <c:v>-0.41027450612694893</c:v>
                </c:pt>
                <c:pt idx="1189">
                  <c:v>-0.41268668995415769</c:v>
                </c:pt>
                <c:pt idx="1190">
                  <c:v>-0.4121389267783091</c:v>
                </c:pt>
                <c:pt idx="1191">
                  <c:v>-0.4120020233275597</c:v>
                </c:pt>
                <c:pt idx="1192">
                  <c:v>-0.41534681709663601</c:v>
                </c:pt>
                <c:pt idx="1193">
                  <c:v>-0.41541578419026559</c:v>
                </c:pt>
                <c:pt idx="1194">
                  <c:v>-0.41548475504165994</c:v>
                </c:pt>
                <c:pt idx="1195">
                  <c:v>-0.41493309355284286</c:v>
                </c:pt>
                <c:pt idx="1196">
                  <c:v>-0.41527785376264342</c:v>
                </c:pt>
                <c:pt idx="1197">
                  <c:v>-0.41479521585203688</c:v>
                </c:pt>
                <c:pt idx="1198">
                  <c:v>-0.41479521585203688</c:v>
                </c:pt>
                <c:pt idx="1199">
                  <c:v>-0.41451950576136298</c:v>
                </c:pt>
                <c:pt idx="1200">
                  <c:v>-0.41431276289979097</c:v>
                </c:pt>
                <c:pt idx="1201">
                  <c:v>-0.41438167340164295</c:v>
                </c:pt>
                <c:pt idx="1202">
                  <c:v>-0.41431276289979097</c:v>
                </c:pt>
                <c:pt idx="1203">
                  <c:v>-0.41410605412894386</c:v>
                </c:pt>
                <c:pt idx="1204">
                  <c:v>-0.41624021211922207</c:v>
                </c:pt>
                <c:pt idx="1205">
                  <c:v>-0.41603251859126716</c:v>
                </c:pt>
                <c:pt idx="1206">
                  <c:v>-0.41582485938678104</c:v>
                </c:pt>
                <c:pt idx="1207">
                  <c:v>-0.41582485938678104</c:v>
                </c:pt>
                <c:pt idx="1208">
                  <c:v>-0.41888611901194533</c:v>
                </c:pt>
                <c:pt idx="1209">
                  <c:v>-0.41860728660438612</c:v>
                </c:pt>
                <c:pt idx="1210">
                  <c:v>-0.41930448293472822</c:v>
                </c:pt>
                <c:pt idx="1211">
                  <c:v>-0.43035243710928583</c:v>
                </c:pt>
                <c:pt idx="1212">
                  <c:v>-0.41540964415410231</c:v>
                </c:pt>
                <c:pt idx="1213">
                  <c:v>-0.4203905751391635</c:v>
                </c:pt>
                <c:pt idx="1214">
                  <c:v>-0.418398202745139</c:v>
                </c:pt>
                <c:pt idx="1215">
                  <c:v>-0.42330861721878349</c:v>
                </c:pt>
                <c:pt idx="1216">
                  <c:v>-0.42330861721878349</c:v>
                </c:pt>
                <c:pt idx="1217">
                  <c:v>-0.41832851583973901</c:v>
                </c:pt>
                <c:pt idx="1218">
                  <c:v>-0.42025054152232072</c:v>
                </c:pt>
                <c:pt idx="1219">
                  <c:v>-0.43013741514380466</c:v>
                </c:pt>
                <c:pt idx="1220">
                  <c:v>-0.42316759591693742</c:v>
                </c:pt>
                <c:pt idx="1221">
                  <c:v>-0.42330861721878349</c:v>
                </c:pt>
                <c:pt idx="1222">
                  <c:v>-0.42316759591693742</c:v>
                </c:pt>
                <c:pt idx="1223">
                  <c:v>-0.42018053053399435</c:v>
                </c:pt>
                <c:pt idx="1224">
                  <c:v>-0.42323810461371164</c:v>
                </c:pt>
                <c:pt idx="1225">
                  <c:v>-0.4233791337302002</c:v>
                </c:pt>
                <c:pt idx="1226">
                  <c:v>-0.42032055639135679</c:v>
                </c:pt>
                <c:pt idx="1227">
                  <c:v>-0.42344965414601016</c:v>
                </c:pt>
                <c:pt idx="1228">
                  <c:v>-0.41853758812938935</c:v>
                </c:pt>
                <c:pt idx="1229">
                  <c:v>-0.41909528369676247</c:v>
                </c:pt>
                <c:pt idx="1230">
                  <c:v>-0.42053062426333881</c:v>
                </c:pt>
                <c:pt idx="1231">
                  <c:v>-0.42081076897175446</c:v>
                </c:pt>
                <c:pt idx="1232">
                  <c:v>-0.42380231472273849</c:v>
                </c:pt>
                <c:pt idx="1233">
                  <c:v>-0.4161709771326903</c:v>
                </c:pt>
                <c:pt idx="1234">
                  <c:v>-0.41417495326155029</c:v>
                </c:pt>
                <c:pt idx="1235">
                  <c:v>-0.40938912311969544</c:v>
                </c:pt>
                <c:pt idx="1236">
                  <c:v>-0.4091848935837003</c:v>
                </c:pt>
                <c:pt idx="1237">
                  <c:v>-0.41424385618579657</c:v>
                </c:pt>
                <c:pt idx="1238">
                  <c:v>-0.41403715878987019</c:v>
                </c:pt>
                <c:pt idx="1239">
                  <c:v>-0.41575564728827941</c:v>
                </c:pt>
                <c:pt idx="1240">
                  <c:v>-0.41637869351442197</c:v>
                </c:pt>
                <c:pt idx="1241">
                  <c:v>-0.41867698893206334</c:v>
                </c:pt>
                <c:pt idx="1242">
                  <c:v>-0.41944396826403491</c:v>
                </c:pt>
                <c:pt idx="1243">
                  <c:v>-0.42116103681054029</c:v>
                </c:pt>
                <c:pt idx="1244">
                  <c:v>-0.4212311019527859</c:v>
                </c:pt>
                <c:pt idx="1245">
                  <c:v>-0.42429620296966547</c:v>
                </c:pt>
                <c:pt idx="1246">
                  <c:v>-0.42387285852399231</c:v>
                </c:pt>
                <c:pt idx="1247">
                  <c:v>-0.42408451326458108</c:v>
                </c:pt>
                <c:pt idx="1248">
                  <c:v>-0.42565493874759774</c:v>
                </c:pt>
                <c:pt idx="1249">
                  <c:v>-0.426009317598252</c:v>
                </c:pt>
                <c:pt idx="1250">
                  <c:v>-0.42565493874759774</c:v>
                </c:pt>
                <c:pt idx="1251">
                  <c:v>-0.4254423584008149</c:v>
                </c:pt>
                <c:pt idx="1252">
                  <c:v>-0.42565493874759774</c:v>
                </c:pt>
                <c:pt idx="1253">
                  <c:v>-0.4254423584008149</c:v>
                </c:pt>
                <c:pt idx="1254">
                  <c:v>-0.42558407471445919</c:v>
                </c:pt>
                <c:pt idx="1255">
                  <c:v>-0.42558407471445919</c:v>
                </c:pt>
                <c:pt idx="1256">
                  <c:v>-0.42508813626514613</c:v>
                </c:pt>
                <c:pt idx="1257">
                  <c:v>-0.42537150612422464</c:v>
                </c:pt>
                <c:pt idx="1258">
                  <c:v>-0.4254423584008149</c:v>
                </c:pt>
                <c:pt idx="1259">
                  <c:v>-0.42522981334130555</c:v>
                </c:pt>
                <c:pt idx="1260">
                  <c:v>-0.42530065777040132</c:v>
                </c:pt>
                <c:pt idx="1261">
                  <c:v>-0.42501730362200973</c:v>
                </c:pt>
                <c:pt idx="1262">
                  <c:v>-0.42807470396724318</c:v>
                </c:pt>
                <c:pt idx="1263">
                  <c:v>-0.42778940655097136</c:v>
                </c:pt>
                <c:pt idx="1264">
                  <c:v>-0.42757547512648925</c:v>
                </c:pt>
                <c:pt idx="1265">
                  <c:v>-0.42515897283889947</c:v>
                </c:pt>
                <c:pt idx="1266">
                  <c:v>-0.42494647491145604</c:v>
                </c:pt>
                <c:pt idx="1267">
                  <c:v>-0.42565493874759774</c:v>
                </c:pt>
                <c:pt idx="1268">
                  <c:v>-0.4259384340099695</c:v>
                </c:pt>
                <c:pt idx="1269">
                  <c:v>-0.42387285852399231</c:v>
                </c:pt>
                <c:pt idx="1270">
                  <c:v>-0.42380231472273849</c:v>
                </c:pt>
                <c:pt idx="1271">
                  <c:v>-0.42450792758693801</c:v>
                </c:pt>
                <c:pt idx="1272">
                  <c:v>-0.42436677396553801</c:v>
                </c:pt>
                <c:pt idx="1273">
                  <c:v>-0.42486087938993339</c:v>
                </c:pt>
                <c:pt idx="1274">
                  <c:v>-0.42471968706418722</c:v>
                </c:pt>
                <c:pt idx="1275">
                  <c:v>-0.42563771302255538</c:v>
                </c:pt>
                <c:pt idx="1276">
                  <c:v>-0.42592031339111902</c:v>
                </c:pt>
                <c:pt idx="1277">
                  <c:v>-0.42513307794222882</c:v>
                </c:pt>
                <c:pt idx="1278">
                  <c:v>-0.44486646222610993</c:v>
                </c:pt>
                <c:pt idx="1279">
                  <c:v>-0.44632695742822764</c:v>
                </c:pt>
                <c:pt idx="1280">
                  <c:v>-0.45494436103991975</c:v>
                </c:pt>
                <c:pt idx="1281">
                  <c:v>-0.45434884683994992</c:v>
                </c:pt>
                <c:pt idx="1282">
                  <c:v>-0.46096683819627604</c:v>
                </c:pt>
                <c:pt idx="1283">
                  <c:v>-0.47453573056578985</c:v>
                </c:pt>
                <c:pt idx="1284">
                  <c:v>-0.48191608024372212</c:v>
                </c:pt>
                <c:pt idx="1285">
                  <c:v>-0.48558581765127029</c:v>
                </c:pt>
                <c:pt idx="1286">
                  <c:v>-0.55730284333996594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F9-4A8E-900A-E52D52BF5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258288"/>
        <c:axId val="1"/>
      </c:scatterChart>
      <c:valAx>
        <c:axId val="701258288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125828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116182572614103"/>
          <c:y val="0.48431105047748974"/>
          <c:w val="7.551867219917012E-2"/>
          <c:h val="3.274215552523874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132" workbookViewId="0" zoomToFit="1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34400" cy="581406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43636" cy="581313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82100" cy="558546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182100" cy="558546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182100" cy="558546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03"/>
  <sheetViews>
    <sheetView topLeftCell="I1" workbookViewId="0">
      <selection activeCell="R32" sqref="R32"/>
    </sheetView>
  </sheetViews>
  <sheetFormatPr defaultRowHeight="13.2" x14ac:dyDescent="0.25"/>
  <cols>
    <col min="8" max="8" width="18.44140625" customWidth="1"/>
    <col min="9" max="9" width="15.5546875" customWidth="1"/>
    <col min="10" max="10" width="16.44140625" customWidth="1"/>
    <col min="12" max="12" width="12" customWidth="1"/>
    <col min="13" max="13" width="12.5546875" customWidth="1"/>
    <col min="17" max="17" width="16.21875" customWidth="1"/>
    <col min="18" max="18" width="17.44140625" customWidth="1"/>
  </cols>
  <sheetData>
    <row r="1" spans="1:18" x14ac:dyDescent="0.25">
      <c r="I1" t="s">
        <v>0</v>
      </c>
      <c r="J1" t="s">
        <v>1</v>
      </c>
      <c r="K1" t="s">
        <v>2</v>
      </c>
      <c r="L1" t="s">
        <v>3</v>
      </c>
      <c r="M1" t="s">
        <v>4</v>
      </c>
      <c r="Q1" t="s">
        <v>6</v>
      </c>
      <c r="R1" t="s">
        <v>7</v>
      </c>
    </row>
    <row r="3" spans="1:18" x14ac:dyDescent="0.25">
      <c r="A3">
        <v>711</v>
      </c>
      <c r="B3">
        <v>896</v>
      </c>
      <c r="C3">
        <v>0</v>
      </c>
      <c r="D3">
        <v>992</v>
      </c>
      <c r="E3">
        <v>492</v>
      </c>
      <c r="F3">
        <v>769</v>
      </c>
      <c r="G3" t="s">
        <v>5</v>
      </c>
      <c r="H3" s="1">
        <v>36828.708333333336</v>
      </c>
    </row>
    <row r="4" spans="1:18" x14ac:dyDescent="0.25">
      <c r="A4">
        <v>711</v>
      </c>
      <c r="B4">
        <v>22</v>
      </c>
      <c r="C4">
        <v>88</v>
      </c>
      <c r="D4">
        <v>224</v>
      </c>
      <c r="E4">
        <v>501</v>
      </c>
      <c r="F4">
        <v>753</v>
      </c>
      <c r="G4" t="s">
        <v>5</v>
      </c>
      <c r="H4" s="1">
        <f>H3+1/48</f>
        <v>36828.729166666672</v>
      </c>
      <c r="I4">
        <f t="shared" ref="I4:I64" si="0">0.4+0.0746*B4</f>
        <v>2.0411999999999999</v>
      </c>
      <c r="J4">
        <f t="shared" ref="J4:J64" si="1">0.4+0.0746*C4</f>
        <v>6.9648000000000003</v>
      </c>
      <c r="K4">
        <f t="shared" ref="K4:K64" si="2">-2.146+0.1022*D4</f>
        <v>20.7468</v>
      </c>
      <c r="L4">
        <f t="shared" ref="L4:L64" si="3">-43.84+0.0805*E4+0.00001002*E4^2</f>
        <v>-0.99446998000000253</v>
      </c>
      <c r="M4">
        <f t="shared" ref="M4:M64" si="4">1.5+0.349*F4</f>
        <v>264.29699999999997</v>
      </c>
    </row>
    <row r="5" spans="1:18" x14ac:dyDescent="0.25">
      <c r="A5">
        <v>711</v>
      </c>
      <c r="B5">
        <v>57</v>
      </c>
      <c r="C5">
        <v>100</v>
      </c>
      <c r="D5">
        <v>307</v>
      </c>
      <c r="E5">
        <v>502</v>
      </c>
      <c r="F5">
        <v>776</v>
      </c>
      <c r="G5" t="s">
        <v>5</v>
      </c>
      <c r="H5" s="1">
        <f t="shared" ref="H5:H66" si="5">H4+1/48</f>
        <v>36828.750000000007</v>
      </c>
      <c r="I5">
        <f t="shared" si="0"/>
        <v>4.6522000000000006</v>
      </c>
      <c r="J5">
        <f t="shared" si="1"/>
        <v>7.86</v>
      </c>
      <c r="K5">
        <f t="shared" si="2"/>
        <v>29.229399999999998</v>
      </c>
      <c r="L5">
        <f t="shared" si="3"/>
        <v>-0.9039199200000021</v>
      </c>
      <c r="M5">
        <f t="shared" si="4"/>
        <v>272.32399999999996</v>
      </c>
    </row>
    <row r="6" spans="1:18" x14ac:dyDescent="0.25">
      <c r="A6">
        <v>711</v>
      </c>
      <c r="B6">
        <v>48</v>
      </c>
      <c r="C6">
        <v>88</v>
      </c>
      <c r="D6">
        <v>73</v>
      </c>
      <c r="E6">
        <v>497</v>
      </c>
      <c r="F6">
        <v>833</v>
      </c>
      <c r="G6" t="s">
        <v>5</v>
      </c>
      <c r="H6" s="1">
        <f t="shared" si="5"/>
        <v>36828.770833333343</v>
      </c>
      <c r="I6">
        <f t="shared" si="0"/>
        <v>3.9807999999999999</v>
      </c>
      <c r="J6">
        <f t="shared" si="1"/>
        <v>6.9648000000000003</v>
      </c>
      <c r="K6">
        <f t="shared" si="2"/>
        <v>5.3146000000000004</v>
      </c>
      <c r="L6">
        <f t="shared" si="3"/>
        <v>-1.3564698200000054</v>
      </c>
      <c r="M6">
        <f t="shared" si="4"/>
        <v>292.21699999999998</v>
      </c>
      <c r="O6">
        <v>303</v>
      </c>
      <c r="P6">
        <v>1830</v>
      </c>
      <c r="Q6">
        <v>1.01</v>
      </c>
      <c r="R6">
        <f>-SQRT((L6+273.15)/273.15)*Q6</f>
        <v>-1.0074890359486397</v>
      </c>
    </row>
    <row r="7" spans="1:18" x14ac:dyDescent="0.25">
      <c r="A7">
        <v>711</v>
      </c>
      <c r="B7">
        <v>48</v>
      </c>
      <c r="C7">
        <v>156</v>
      </c>
      <c r="D7">
        <v>924</v>
      </c>
      <c r="E7">
        <v>497</v>
      </c>
      <c r="F7">
        <v>857</v>
      </c>
      <c r="G7" t="s">
        <v>5</v>
      </c>
      <c r="H7" s="1">
        <f t="shared" si="5"/>
        <v>36828.791666666679</v>
      </c>
      <c r="I7">
        <f t="shared" si="0"/>
        <v>3.9807999999999999</v>
      </c>
      <c r="J7">
        <f t="shared" si="1"/>
        <v>12.037599999999999</v>
      </c>
      <c r="K7">
        <f t="shared" si="2"/>
        <v>92.286799999999999</v>
      </c>
      <c r="L7">
        <f t="shared" si="3"/>
        <v>-1.3564698200000054</v>
      </c>
      <c r="M7">
        <f t="shared" si="4"/>
        <v>300.59299999999996</v>
      </c>
      <c r="O7">
        <v>303</v>
      </c>
      <c r="P7">
        <v>1900</v>
      </c>
      <c r="Q7">
        <v>1.01</v>
      </c>
      <c r="R7">
        <f t="shared" ref="R7:R70" si="6">-SQRT((L7+273.15)/273.15)*Q7</f>
        <v>-1.0074890359486397</v>
      </c>
    </row>
    <row r="8" spans="1:18" x14ac:dyDescent="0.25">
      <c r="A8">
        <v>711</v>
      </c>
      <c r="B8">
        <v>30</v>
      </c>
      <c r="C8">
        <v>80</v>
      </c>
      <c r="D8">
        <v>927</v>
      </c>
      <c r="E8">
        <v>498</v>
      </c>
      <c r="F8">
        <v>841</v>
      </c>
      <c r="G8" t="s">
        <v>5</v>
      </c>
      <c r="H8" s="1">
        <f t="shared" si="5"/>
        <v>36828.812500000015</v>
      </c>
      <c r="I8">
        <f t="shared" si="0"/>
        <v>2.6379999999999999</v>
      </c>
      <c r="J8">
        <f t="shared" si="1"/>
        <v>6.3680000000000003</v>
      </c>
      <c r="K8">
        <f t="shared" si="2"/>
        <v>92.593400000000003</v>
      </c>
      <c r="L8">
        <f t="shared" si="3"/>
        <v>-1.2659999200000045</v>
      </c>
      <c r="M8">
        <f t="shared" si="4"/>
        <v>295.00899999999996</v>
      </c>
      <c r="O8">
        <v>303</v>
      </c>
      <c r="P8">
        <v>1930</v>
      </c>
      <c r="Q8">
        <v>1.01</v>
      </c>
      <c r="R8">
        <f t="shared" si="6"/>
        <v>-1.0076566997054672</v>
      </c>
    </row>
    <row r="9" spans="1:18" x14ac:dyDescent="0.25">
      <c r="A9">
        <v>711</v>
      </c>
      <c r="B9">
        <v>41</v>
      </c>
      <c r="C9">
        <v>192</v>
      </c>
      <c r="D9">
        <v>134</v>
      </c>
      <c r="E9">
        <v>498</v>
      </c>
      <c r="F9">
        <v>825</v>
      </c>
      <c r="G9" t="s">
        <v>5</v>
      </c>
      <c r="H9" s="1">
        <f>H8+1/48</f>
        <v>36828.83333333335</v>
      </c>
      <c r="I9">
        <f t="shared" si="0"/>
        <v>3.4586000000000001</v>
      </c>
      <c r="J9">
        <f t="shared" si="1"/>
        <v>14.7232</v>
      </c>
      <c r="K9">
        <f t="shared" si="2"/>
        <v>11.5488</v>
      </c>
      <c r="L9">
        <f t="shared" si="3"/>
        <v>-1.2659999200000045</v>
      </c>
      <c r="M9">
        <f t="shared" si="4"/>
        <v>289.42499999999995</v>
      </c>
      <c r="O9">
        <v>303</v>
      </c>
      <c r="P9">
        <v>2000</v>
      </c>
      <c r="Q9">
        <v>1.0069999999999999</v>
      </c>
      <c r="R9">
        <f t="shared" si="6"/>
        <v>-1.0046636600033718</v>
      </c>
    </row>
    <row r="10" spans="1:18" x14ac:dyDescent="0.25">
      <c r="A10">
        <v>711</v>
      </c>
      <c r="B10">
        <v>56</v>
      </c>
      <c r="C10">
        <v>152</v>
      </c>
      <c r="D10">
        <v>576</v>
      </c>
      <c r="E10">
        <v>501</v>
      </c>
      <c r="F10">
        <v>761</v>
      </c>
      <c r="G10" t="s">
        <v>5</v>
      </c>
      <c r="H10" s="1">
        <f t="shared" si="5"/>
        <v>36828.854166666686</v>
      </c>
      <c r="I10">
        <f t="shared" si="0"/>
        <v>4.5776000000000003</v>
      </c>
      <c r="J10">
        <f t="shared" si="1"/>
        <v>11.7392</v>
      </c>
      <c r="K10">
        <f t="shared" si="2"/>
        <v>56.721199999999996</v>
      </c>
      <c r="L10">
        <f t="shared" si="3"/>
        <v>-0.99446998000000253</v>
      </c>
      <c r="M10">
        <f t="shared" si="4"/>
        <v>267.089</v>
      </c>
      <c r="O10">
        <v>303</v>
      </c>
      <c r="P10">
        <v>2030</v>
      </c>
      <c r="Q10">
        <v>1.002</v>
      </c>
      <c r="R10">
        <f t="shared" si="6"/>
        <v>-1.0001743226461883</v>
      </c>
    </row>
    <row r="11" spans="1:18" x14ac:dyDescent="0.25">
      <c r="A11">
        <v>711</v>
      </c>
      <c r="B11">
        <v>103</v>
      </c>
      <c r="C11">
        <v>340</v>
      </c>
      <c r="D11">
        <v>617</v>
      </c>
      <c r="E11">
        <v>503</v>
      </c>
      <c r="F11">
        <v>701</v>
      </c>
      <c r="G11" t="s">
        <v>5</v>
      </c>
      <c r="H11" s="1">
        <f t="shared" si="5"/>
        <v>36828.875000000022</v>
      </c>
      <c r="I11">
        <f t="shared" si="0"/>
        <v>8.0838000000000001</v>
      </c>
      <c r="J11">
        <f t="shared" si="1"/>
        <v>25.763999999999999</v>
      </c>
      <c r="K11">
        <f t="shared" si="2"/>
        <v>60.9114</v>
      </c>
      <c r="L11">
        <f t="shared" si="3"/>
        <v>-0.81334982000000133</v>
      </c>
      <c r="M11">
        <f t="shared" si="4"/>
        <v>246.14899999999997</v>
      </c>
      <c r="O11">
        <v>303</v>
      </c>
      <c r="P11">
        <v>2100</v>
      </c>
      <c r="Q11">
        <v>1.002</v>
      </c>
      <c r="R11">
        <f t="shared" si="6"/>
        <v>-1.0005070765022801</v>
      </c>
    </row>
    <row r="12" spans="1:18" x14ac:dyDescent="0.25">
      <c r="A12">
        <v>711</v>
      </c>
      <c r="B12">
        <v>225</v>
      </c>
      <c r="C12">
        <v>340</v>
      </c>
      <c r="D12">
        <v>570</v>
      </c>
      <c r="E12">
        <v>507</v>
      </c>
      <c r="F12">
        <v>665</v>
      </c>
      <c r="G12" t="s">
        <v>5</v>
      </c>
      <c r="H12" s="1">
        <f t="shared" si="5"/>
        <v>36828.895833333358</v>
      </c>
      <c r="I12">
        <f t="shared" si="0"/>
        <v>17.184999999999999</v>
      </c>
      <c r="J12">
        <f t="shared" si="1"/>
        <v>25.763999999999999</v>
      </c>
      <c r="K12">
        <f t="shared" si="2"/>
        <v>56.107999999999997</v>
      </c>
      <c r="L12">
        <f t="shared" si="3"/>
        <v>-0.45086902000000562</v>
      </c>
      <c r="M12">
        <f t="shared" si="4"/>
        <v>233.58499999999998</v>
      </c>
      <c r="O12">
        <v>303</v>
      </c>
      <c r="P12">
        <v>2130</v>
      </c>
      <c r="Q12">
        <v>1.01</v>
      </c>
      <c r="R12">
        <f t="shared" si="6"/>
        <v>-1.009166088632178</v>
      </c>
    </row>
    <row r="13" spans="1:18" x14ac:dyDescent="0.25">
      <c r="A13">
        <v>711</v>
      </c>
      <c r="B13">
        <v>178</v>
      </c>
      <c r="C13">
        <v>300</v>
      </c>
      <c r="D13">
        <v>546</v>
      </c>
      <c r="E13">
        <v>519</v>
      </c>
      <c r="F13">
        <v>609</v>
      </c>
      <c r="G13" t="s">
        <v>5</v>
      </c>
      <c r="H13" s="1">
        <f t="shared" si="5"/>
        <v>36828.916666666693</v>
      </c>
      <c r="I13">
        <f t="shared" si="0"/>
        <v>13.678800000000001</v>
      </c>
      <c r="J13">
        <f t="shared" si="1"/>
        <v>22.779999999999998</v>
      </c>
      <c r="K13">
        <f t="shared" si="2"/>
        <v>53.655200000000001</v>
      </c>
      <c r="L13">
        <f t="shared" si="3"/>
        <v>0.63849721999999565</v>
      </c>
      <c r="M13">
        <f t="shared" si="4"/>
        <v>214.041</v>
      </c>
      <c r="O13">
        <v>303</v>
      </c>
      <c r="P13">
        <v>2200</v>
      </c>
      <c r="Q13">
        <v>1.0149999999999999</v>
      </c>
      <c r="R13">
        <f t="shared" si="6"/>
        <v>-1.0161856057043008</v>
      </c>
    </row>
    <row r="14" spans="1:18" x14ac:dyDescent="0.25">
      <c r="A14">
        <v>711</v>
      </c>
      <c r="B14">
        <v>118</v>
      </c>
      <c r="C14">
        <v>272</v>
      </c>
      <c r="D14">
        <v>543</v>
      </c>
      <c r="E14">
        <v>531</v>
      </c>
      <c r="F14">
        <v>504</v>
      </c>
      <c r="G14" t="s">
        <v>5</v>
      </c>
      <c r="H14" s="1">
        <f t="shared" si="5"/>
        <v>36828.937500000029</v>
      </c>
      <c r="I14">
        <f t="shared" si="0"/>
        <v>9.2027999999999999</v>
      </c>
      <c r="J14">
        <f t="shared" si="1"/>
        <v>20.691199999999998</v>
      </c>
      <c r="K14">
        <f t="shared" si="2"/>
        <v>53.348599999999998</v>
      </c>
      <c r="L14">
        <f t="shared" si="3"/>
        <v>1.7307492199999968</v>
      </c>
      <c r="M14">
        <f t="shared" si="4"/>
        <v>177.39599999999999</v>
      </c>
      <c r="O14">
        <v>303</v>
      </c>
      <c r="P14">
        <v>2230</v>
      </c>
      <c r="Q14">
        <v>1.0249999999999999</v>
      </c>
      <c r="R14">
        <f t="shared" si="6"/>
        <v>-1.0282422051234235</v>
      </c>
    </row>
    <row r="15" spans="1:18" x14ac:dyDescent="0.25">
      <c r="A15">
        <v>711</v>
      </c>
      <c r="B15">
        <v>216</v>
      </c>
      <c r="C15">
        <v>308</v>
      </c>
      <c r="D15">
        <v>575</v>
      </c>
      <c r="E15">
        <v>516</v>
      </c>
      <c r="F15">
        <v>565</v>
      </c>
      <c r="G15" t="s">
        <v>5</v>
      </c>
      <c r="H15" s="1">
        <f t="shared" si="5"/>
        <v>36828.958333333365</v>
      </c>
      <c r="I15">
        <f t="shared" si="0"/>
        <v>16.513599999999997</v>
      </c>
      <c r="J15">
        <f t="shared" si="1"/>
        <v>23.376799999999999</v>
      </c>
      <c r="K15">
        <f t="shared" si="2"/>
        <v>56.619</v>
      </c>
      <c r="L15">
        <f t="shared" si="3"/>
        <v>0.36588512000000062</v>
      </c>
      <c r="M15">
        <f t="shared" si="4"/>
        <v>198.68499999999997</v>
      </c>
      <c r="O15">
        <v>303</v>
      </c>
      <c r="P15">
        <v>2300</v>
      </c>
      <c r="Q15">
        <v>0.98699999999999999</v>
      </c>
      <c r="R15">
        <f t="shared" si="6"/>
        <v>-0.98766082328609417</v>
      </c>
    </row>
    <row r="16" spans="1:18" x14ac:dyDescent="0.25">
      <c r="A16">
        <v>711</v>
      </c>
      <c r="B16">
        <v>142</v>
      </c>
      <c r="C16">
        <v>268</v>
      </c>
      <c r="D16">
        <v>619</v>
      </c>
      <c r="E16">
        <v>553</v>
      </c>
      <c r="F16">
        <v>386</v>
      </c>
      <c r="G16" t="s">
        <v>5</v>
      </c>
      <c r="H16" s="1">
        <f t="shared" si="5"/>
        <v>36828.979166666701</v>
      </c>
      <c r="I16">
        <f t="shared" si="0"/>
        <v>10.9932</v>
      </c>
      <c r="J16">
        <f t="shared" si="1"/>
        <v>20.392799999999998</v>
      </c>
      <c r="K16">
        <f t="shared" si="2"/>
        <v>61.1158</v>
      </c>
      <c r="L16">
        <f t="shared" si="3"/>
        <v>3.7407061799999974</v>
      </c>
      <c r="M16">
        <f t="shared" si="4"/>
        <v>136.214</v>
      </c>
      <c r="O16">
        <v>303</v>
      </c>
      <c r="P16">
        <v>2330</v>
      </c>
      <c r="Q16">
        <v>1.0169999999999999</v>
      </c>
      <c r="R16">
        <f t="shared" si="6"/>
        <v>-1.0239400731041153</v>
      </c>
    </row>
    <row r="17" spans="1:18" x14ac:dyDescent="0.25">
      <c r="A17">
        <v>711</v>
      </c>
      <c r="B17">
        <v>185</v>
      </c>
      <c r="C17">
        <v>320</v>
      </c>
      <c r="D17">
        <v>601</v>
      </c>
      <c r="E17">
        <v>554</v>
      </c>
      <c r="F17">
        <v>424</v>
      </c>
      <c r="G17" t="s">
        <v>5</v>
      </c>
      <c r="H17" s="1">
        <f t="shared" si="5"/>
        <v>36829.000000000036</v>
      </c>
      <c r="I17">
        <f t="shared" si="0"/>
        <v>14.201000000000001</v>
      </c>
      <c r="J17">
        <f t="shared" si="1"/>
        <v>24.271999999999998</v>
      </c>
      <c r="K17">
        <f t="shared" si="2"/>
        <v>59.276199999999996</v>
      </c>
      <c r="L17">
        <f t="shared" si="3"/>
        <v>3.8322983199999983</v>
      </c>
      <c r="M17">
        <f t="shared" si="4"/>
        <v>149.476</v>
      </c>
      <c r="O17">
        <v>303</v>
      </c>
      <c r="P17">
        <v>2400</v>
      </c>
      <c r="Q17">
        <v>1.01</v>
      </c>
      <c r="R17">
        <f t="shared" si="6"/>
        <v>-1.0170604786668727</v>
      </c>
    </row>
    <row r="18" spans="1:18" x14ac:dyDescent="0.25">
      <c r="A18">
        <v>711</v>
      </c>
      <c r="B18">
        <v>93</v>
      </c>
      <c r="C18">
        <v>320</v>
      </c>
      <c r="D18">
        <v>484</v>
      </c>
      <c r="E18">
        <v>540</v>
      </c>
      <c r="F18">
        <v>392</v>
      </c>
      <c r="G18" t="s">
        <v>5</v>
      </c>
      <c r="H18" s="1">
        <f t="shared" si="5"/>
        <v>36829.020833333372</v>
      </c>
      <c r="I18">
        <f t="shared" si="0"/>
        <v>7.3378000000000005</v>
      </c>
      <c r="J18">
        <f t="shared" si="1"/>
        <v>24.271999999999998</v>
      </c>
      <c r="K18">
        <f t="shared" si="2"/>
        <v>47.318799999999996</v>
      </c>
      <c r="L18">
        <f t="shared" si="3"/>
        <v>2.5518319999999957</v>
      </c>
      <c r="M18">
        <f t="shared" si="4"/>
        <v>138.30799999999999</v>
      </c>
      <c r="O18">
        <v>304</v>
      </c>
      <c r="P18">
        <v>30</v>
      </c>
      <c r="Q18">
        <v>1.0149999999999999</v>
      </c>
      <c r="R18">
        <f t="shared" si="6"/>
        <v>-1.0197301633155071</v>
      </c>
    </row>
    <row r="19" spans="1:18" x14ac:dyDescent="0.25">
      <c r="A19">
        <v>711</v>
      </c>
      <c r="B19">
        <v>119</v>
      </c>
      <c r="C19">
        <v>204</v>
      </c>
      <c r="D19">
        <v>561</v>
      </c>
      <c r="E19">
        <v>562</v>
      </c>
      <c r="F19">
        <v>290</v>
      </c>
      <c r="G19" t="s">
        <v>5</v>
      </c>
      <c r="H19" s="1">
        <f t="shared" si="5"/>
        <v>36829.041666666708</v>
      </c>
      <c r="I19">
        <f t="shared" si="0"/>
        <v>9.2774000000000001</v>
      </c>
      <c r="J19">
        <f t="shared" si="1"/>
        <v>15.618399999999999</v>
      </c>
      <c r="K19">
        <f t="shared" si="2"/>
        <v>55.188200000000002</v>
      </c>
      <c r="L19">
        <f t="shared" si="3"/>
        <v>4.5657568799999968</v>
      </c>
      <c r="M19">
        <f t="shared" si="4"/>
        <v>102.71</v>
      </c>
      <c r="O19">
        <v>304</v>
      </c>
      <c r="P19">
        <v>100</v>
      </c>
      <c r="Q19">
        <v>0.995</v>
      </c>
      <c r="R19">
        <f t="shared" si="6"/>
        <v>-1.0032813493133419</v>
      </c>
    </row>
    <row r="20" spans="1:18" x14ac:dyDescent="0.25">
      <c r="A20">
        <v>711</v>
      </c>
      <c r="B20">
        <v>61</v>
      </c>
      <c r="C20">
        <v>172</v>
      </c>
      <c r="D20">
        <v>691</v>
      </c>
      <c r="E20">
        <v>508</v>
      </c>
      <c r="F20">
        <v>637</v>
      </c>
      <c r="G20" t="s">
        <v>5</v>
      </c>
      <c r="H20" s="1">
        <f t="shared" si="5"/>
        <v>36829.062500000044</v>
      </c>
      <c r="I20">
        <f t="shared" si="0"/>
        <v>4.9506000000000006</v>
      </c>
      <c r="J20">
        <f t="shared" si="1"/>
        <v>13.231199999999999</v>
      </c>
      <c r="K20">
        <f t="shared" si="2"/>
        <v>68.474199999999996</v>
      </c>
      <c r="L20">
        <f t="shared" si="3"/>
        <v>-0.36019872000000497</v>
      </c>
      <c r="M20">
        <f t="shared" si="4"/>
        <v>223.81299999999999</v>
      </c>
      <c r="O20">
        <v>304</v>
      </c>
      <c r="P20">
        <v>130</v>
      </c>
      <c r="Q20">
        <v>0.99199999999999999</v>
      </c>
      <c r="R20">
        <f t="shared" si="6"/>
        <v>-0.99134571662982052</v>
      </c>
    </row>
    <row r="21" spans="1:18" x14ac:dyDescent="0.25">
      <c r="A21">
        <v>711</v>
      </c>
      <c r="B21">
        <v>65</v>
      </c>
      <c r="C21">
        <v>196</v>
      </c>
      <c r="D21">
        <v>382</v>
      </c>
      <c r="E21">
        <v>579</v>
      </c>
      <c r="F21">
        <v>207</v>
      </c>
      <c r="G21" t="s">
        <v>5</v>
      </c>
      <c r="H21" s="1">
        <f t="shared" si="5"/>
        <v>36829.083333333379</v>
      </c>
      <c r="I21">
        <f t="shared" si="0"/>
        <v>5.2490000000000006</v>
      </c>
      <c r="J21">
        <f t="shared" si="1"/>
        <v>15.021600000000001</v>
      </c>
      <c r="K21">
        <f t="shared" si="2"/>
        <v>36.894399999999997</v>
      </c>
      <c r="L21">
        <f t="shared" si="3"/>
        <v>6.128614820000001</v>
      </c>
      <c r="M21">
        <f t="shared" si="4"/>
        <v>73.742999999999995</v>
      </c>
      <c r="O21">
        <v>304</v>
      </c>
      <c r="P21">
        <v>200</v>
      </c>
      <c r="Q21">
        <v>1.002</v>
      </c>
      <c r="R21">
        <f t="shared" si="6"/>
        <v>-1.0131784875364198</v>
      </c>
    </row>
    <row r="22" spans="1:18" x14ac:dyDescent="0.25">
      <c r="A22">
        <v>711</v>
      </c>
      <c r="B22">
        <v>50</v>
      </c>
      <c r="C22">
        <v>128</v>
      </c>
      <c r="D22">
        <v>271</v>
      </c>
      <c r="E22">
        <v>499</v>
      </c>
      <c r="F22">
        <v>711</v>
      </c>
      <c r="G22" t="s">
        <v>5</v>
      </c>
      <c r="H22" s="1">
        <f t="shared" si="5"/>
        <v>36829.104166666715</v>
      </c>
      <c r="I22">
        <f t="shared" si="0"/>
        <v>4.13</v>
      </c>
      <c r="J22">
        <f t="shared" si="1"/>
        <v>9.9488000000000003</v>
      </c>
      <c r="K22">
        <f t="shared" si="2"/>
        <v>25.5502</v>
      </c>
      <c r="L22">
        <f t="shared" si="3"/>
        <v>-1.1755099800000037</v>
      </c>
      <c r="M22">
        <f t="shared" si="4"/>
        <v>249.63899999999998</v>
      </c>
      <c r="O22">
        <v>304</v>
      </c>
      <c r="P22">
        <v>230</v>
      </c>
      <c r="Q22">
        <v>0.99199999999999999</v>
      </c>
      <c r="R22">
        <f t="shared" si="6"/>
        <v>-0.98986314625521044</v>
      </c>
    </row>
    <row r="23" spans="1:18" x14ac:dyDescent="0.25">
      <c r="A23">
        <v>711</v>
      </c>
      <c r="B23">
        <v>33</v>
      </c>
      <c r="C23">
        <v>104</v>
      </c>
      <c r="D23">
        <v>178</v>
      </c>
      <c r="E23">
        <v>484</v>
      </c>
      <c r="F23">
        <v>800</v>
      </c>
      <c r="G23" t="s">
        <v>5</v>
      </c>
      <c r="H23" s="1">
        <f t="shared" si="5"/>
        <v>36829.125000000051</v>
      </c>
      <c r="I23">
        <f t="shared" si="0"/>
        <v>2.8618000000000001</v>
      </c>
      <c r="J23">
        <f t="shared" si="1"/>
        <v>8.1584000000000003</v>
      </c>
      <c r="K23">
        <f t="shared" si="2"/>
        <v>16.0456</v>
      </c>
      <c r="L23">
        <f t="shared" si="3"/>
        <v>-2.5307548799999999</v>
      </c>
      <c r="M23">
        <f t="shared" si="4"/>
        <v>280.7</v>
      </c>
      <c r="O23">
        <v>304</v>
      </c>
      <c r="P23">
        <v>300</v>
      </c>
      <c r="Q23">
        <v>1.002</v>
      </c>
      <c r="R23">
        <f t="shared" si="6"/>
        <v>-0.99734739632143743</v>
      </c>
    </row>
    <row r="24" spans="1:18" x14ac:dyDescent="0.25">
      <c r="A24">
        <v>711</v>
      </c>
      <c r="B24">
        <v>71</v>
      </c>
      <c r="C24">
        <v>120</v>
      </c>
      <c r="D24">
        <v>327</v>
      </c>
      <c r="E24">
        <v>484</v>
      </c>
      <c r="F24">
        <v>773</v>
      </c>
      <c r="G24" t="s">
        <v>5</v>
      </c>
      <c r="H24" s="1">
        <f t="shared" si="5"/>
        <v>36829.145833333387</v>
      </c>
      <c r="I24">
        <f t="shared" si="0"/>
        <v>5.6966000000000001</v>
      </c>
      <c r="J24">
        <f t="shared" si="1"/>
        <v>9.3520000000000003</v>
      </c>
      <c r="K24">
        <f t="shared" si="2"/>
        <v>31.273400000000002</v>
      </c>
      <c r="L24">
        <f t="shared" si="3"/>
        <v>-2.5307548799999999</v>
      </c>
      <c r="M24">
        <f t="shared" si="4"/>
        <v>271.27699999999999</v>
      </c>
      <c r="O24">
        <v>304</v>
      </c>
      <c r="P24">
        <v>330</v>
      </c>
      <c r="Q24">
        <v>1.0049999999999999</v>
      </c>
      <c r="R24">
        <f t="shared" si="6"/>
        <v>-1.0003334663703038</v>
      </c>
    </row>
    <row r="25" spans="1:18" x14ac:dyDescent="0.25">
      <c r="A25">
        <v>711</v>
      </c>
      <c r="B25">
        <v>46</v>
      </c>
      <c r="C25">
        <v>124</v>
      </c>
      <c r="D25">
        <v>711</v>
      </c>
      <c r="E25">
        <v>482</v>
      </c>
      <c r="F25">
        <v>816</v>
      </c>
      <c r="G25" t="s">
        <v>5</v>
      </c>
      <c r="H25" s="1">
        <f t="shared" si="5"/>
        <v>36829.166666666722</v>
      </c>
      <c r="I25">
        <f t="shared" si="0"/>
        <v>3.8315999999999999</v>
      </c>
      <c r="J25">
        <f t="shared" si="1"/>
        <v>9.6503999999999994</v>
      </c>
      <c r="K25">
        <f t="shared" si="2"/>
        <v>70.518199999999993</v>
      </c>
      <c r="L25">
        <f t="shared" si="3"/>
        <v>-2.7111135200000014</v>
      </c>
      <c r="M25">
        <f t="shared" si="4"/>
        <v>286.28399999999999</v>
      </c>
      <c r="O25">
        <v>304</v>
      </c>
      <c r="P25">
        <v>400</v>
      </c>
      <c r="Q25">
        <v>1.0069999999999999</v>
      </c>
      <c r="R25">
        <f t="shared" si="6"/>
        <v>-1.0019901163615921</v>
      </c>
    </row>
    <row r="26" spans="1:18" x14ac:dyDescent="0.25">
      <c r="A26">
        <v>711</v>
      </c>
      <c r="B26">
        <v>60</v>
      </c>
      <c r="C26">
        <v>100</v>
      </c>
      <c r="D26">
        <v>615</v>
      </c>
      <c r="E26">
        <v>476</v>
      </c>
      <c r="F26">
        <v>861</v>
      </c>
      <c r="G26" t="s">
        <v>5</v>
      </c>
      <c r="H26" s="1">
        <f t="shared" si="5"/>
        <v>36829.187500000058</v>
      </c>
      <c r="I26">
        <f t="shared" si="0"/>
        <v>4.8760000000000003</v>
      </c>
      <c r="J26">
        <f t="shared" si="1"/>
        <v>7.86</v>
      </c>
      <c r="K26">
        <f t="shared" si="2"/>
        <v>60.707000000000001</v>
      </c>
      <c r="L26">
        <f t="shared" si="3"/>
        <v>-3.2517084800000053</v>
      </c>
      <c r="M26">
        <f t="shared" si="4"/>
        <v>301.98899999999998</v>
      </c>
      <c r="O26">
        <v>304</v>
      </c>
      <c r="P26">
        <v>430</v>
      </c>
      <c r="Q26">
        <v>1.0069999999999999</v>
      </c>
      <c r="R26">
        <f t="shared" si="6"/>
        <v>-1.0009881491914689</v>
      </c>
    </row>
    <row r="27" spans="1:18" x14ac:dyDescent="0.25">
      <c r="A27">
        <v>711</v>
      </c>
      <c r="B27">
        <v>53</v>
      </c>
      <c r="C27">
        <v>108</v>
      </c>
      <c r="D27">
        <v>337</v>
      </c>
      <c r="E27">
        <v>480</v>
      </c>
      <c r="F27">
        <v>833</v>
      </c>
      <c r="G27" t="s">
        <v>5</v>
      </c>
      <c r="H27" s="1">
        <f t="shared" si="5"/>
        <v>36829.208333333394</v>
      </c>
      <c r="I27">
        <f t="shared" si="0"/>
        <v>4.3538000000000006</v>
      </c>
      <c r="J27">
        <f t="shared" si="1"/>
        <v>8.4567999999999994</v>
      </c>
      <c r="K27">
        <f t="shared" si="2"/>
        <v>32.295400000000001</v>
      </c>
      <c r="L27">
        <f t="shared" si="3"/>
        <v>-2.8913920000000028</v>
      </c>
      <c r="M27">
        <f t="shared" si="4"/>
        <v>292.21699999999998</v>
      </c>
      <c r="O27">
        <v>304</v>
      </c>
      <c r="P27">
        <v>500</v>
      </c>
      <c r="Q27">
        <v>1.0069999999999999</v>
      </c>
      <c r="R27">
        <f t="shared" si="6"/>
        <v>-1.0016560901211444</v>
      </c>
    </row>
    <row r="28" spans="1:18" x14ac:dyDescent="0.25">
      <c r="A28">
        <v>711</v>
      </c>
      <c r="B28">
        <v>54</v>
      </c>
      <c r="C28">
        <v>124</v>
      </c>
      <c r="D28">
        <v>791</v>
      </c>
      <c r="E28">
        <v>484</v>
      </c>
      <c r="F28">
        <v>769</v>
      </c>
      <c r="G28" t="s">
        <v>5</v>
      </c>
      <c r="H28" s="1">
        <f t="shared" si="5"/>
        <v>36829.22916666673</v>
      </c>
      <c r="I28">
        <f t="shared" si="0"/>
        <v>4.4283999999999999</v>
      </c>
      <c r="J28">
        <f t="shared" si="1"/>
        <v>9.6503999999999994</v>
      </c>
      <c r="K28">
        <f t="shared" si="2"/>
        <v>78.694199999999995</v>
      </c>
      <c r="L28">
        <f t="shared" si="3"/>
        <v>-2.5307548799999999</v>
      </c>
      <c r="M28">
        <f t="shared" si="4"/>
        <v>269.88099999999997</v>
      </c>
      <c r="O28">
        <v>304</v>
      </c>
      <c r="P28">
        <v>530</v>
      </c>
      <c r="Q28">
        <v>1.0069999999999999</v>
      </c>
      <c r="R28">
        <f t="shared" si="6"/>
        <v>-1.002324179736215</v>
      </c>
    </row>
    <row r="29" spans="1:18" x14ac:dyDescent="0.25">
      <c r="A29">
        <v>711</v>
      </c>
      <c r="B29">
        <v>44</v>
      </c>
      <c r="C29">
        <v>92</v>
      </c>
      <c r="D29">
        <v>339</v>
      </c>
      <c r="E29">
        <v>475</v>
      </c>
      <c r="F29">
        <v>881</v>
      </c>
      <c r="G29" t="s">
        <v>5</v>
      </c>
      <c r="H29" s="1">
        <f t="shared" si="5"/>
        <v>36829.250000000065</v>
      </c>
      <c r="I29">
        <f t="shared" si="0"/>
        <v>3.6823999999999999</v>
      </c>
      <c r="J29">
        <f t="shared" si="1"/>
        <v>7.2632000000000003</v>
      </c>
      <c r="K29">
        <f t="shared" si="2"/>
        <v>32.4998</v>
      </c>
      <c r="L29">
        <f t="shared" si="3"/>
        <v>-3.3417374999999989</v>
      </c>
      <c r="M29">
        <f t="shared" si="4"/>
        <v>308.96899999999999</v>
      </c>
      <c r="O29">
        <v>304</v>
      </c>
      <c r="P29">
        <v>600</v>
      </c>
      <c r="Q29">
        <v>1.0069999999999999</v>
      </c>
      <c r="R29">
        <f t="shared" si="6"/>
        <v>-1.0008211872260306</v>
      </c>
    </row>
    <row r="30" spans="1:18" x14ac:dyDescent="0.25">
      <c r="A30">
        <v>711</v>
      </c>
      <c r="B30">
        <v>87</v>
      </c>
      <c r="C30">
        <v>224</v>
      </c>
      <c r="D30">
        <v>306</v>
      </c>
      <c r="E30">
        <v>488</v>
      </c>
      <c r="F30">
        <v>713</v>
      </c>
      <c r="G30" t="s">
        <v>5</v>
      </c>
      <c r="H30" s="1">
        <f t="shared" si="5"/>
        <v>36829.270833333401</v>
      </c>
      <c r="I30">
        <f t="shared" si="0"/>
        <v>6.8902000000000001</v>
      </c>
      <c r="J30">
        <f t="shared" si="1"/>
        <v>17.110399999999998</v>
      </c>
      <c r="K30">
        <f t="shared" si="2"/>
        <v>29.127199999999998</v>
      </c>
      <c r="L30">
        <f t="shared" si="3"/>
        <v>-2.1697971200000041</v>
      </c>
      <c r="M30">
        <f t="shared" si="4"/>
        <v>250.33699999999999</v>
      </c>
      <c r="O30">
        <v>304</v>
      </c>
      <c r="P30">
        <v>630</v>
      </c>
      <c r="Q30">
        <v>1.0069999999999999</v>
      </c>
      <c r="R30">
        <f t="shared" si="6"/>
        <v>-1.0029924177395646</v>
      </c>
    </row>
    <row r="31" spans="1:18" x14ac:dyDescent="0.25">
      <c r="A31">
        <v>711</v>
      </c>
      <c r="B31">
        <v>59</v>
      </c>
      <c r="C31">
        <v>168</v>
      </c>
      <c r="D31">
        <v>997</v>
      </c>
      <c r="E31">
        <v>475</v>
      </c>
      <c r="F31">
        <v>845</v>
      </c>
      <c r="G31" t="s">
        <v>5</v>
      </c>
      <c r="H31" s="1">
        <f t="shared" si="5"/>
        <v>36829.291666666737</v>
      </c>
      <c r="I31">
        <f t="shared" si="0"/>
        <v>4.8014000000000001</v>
      </c>
      <c r="J31">
        <f t="shared" si="1"/>
        <v>12.9328</v>
      </c>
      <c r="K31">
        <f t="shared" si="2"/>
        <v>99.747399999999999</v>
      </c>
      <c r="L31">
        <f t="shared" si="3"/>
        <v>-3.3417374999999989</v>
      </c>
      <c r="M31">
        <f t="shared" si="4"/>
        <v>296.40499999999997</v>
      </c>
      <c r="O31">
        <v>304</v>
      </c>
      <c r="P31">
        <v>700</v>
      </c>
      <c r="Q31">
        <v>1.012</v>
      </c>
      <c r="R31">
        <f t="shared" si="6"/>
        <v>-1.0057905079173219</v>
      </c>
    </row>
    <row r="32" spans="1:18" x14ac:dyDescent="0.25">
      <c r="A32">
        <v>711</v>
      </c>
      <c r="B32">
        <v>66</v>
      </c>
      <c r="C32">
        <v>188</v>
      </c>
      <c r="D32">
        <v>739</v>
      </c>
      <c r="E32">
        <v>486</v>
      </c>
      <c r="F32">
        <v>741</v>
      </c>
      <c r="G32" t="s">
        <v>5</v>
      </c>
      <c r="H32" s="1">
        <f t="shared" si="5"/>
        <v>36829.312500000073</v>
      </c>
      <c r="I32">
        <f t="shared" si="0"/>
        <v>5.3236000000000008</v>
      </c>
      <c r="J32">
        <f t="shared" si="1"/>
        <v>14.424799999999999</v>
      </c>
      <c r="K32">
        <f t="shared" si="2"/>
        <v>73.379800000000003</v>
      </c>
      <c r="L32">
        <f t="shared" si="3"/>
        <v>-2.3503160800000056</v>
      </c>
      <c r="M32">
        <f t="shared" si="4"/>
        <v>260.10899999999998</v>
      </c>
      <c r="O32">
        <v>304</v>
      </c>
      <c r="P32">
        <v>730</v>
      </c>
      <c r="Q32">
        <v>1.0069999999999999</v>
      </c>
      <c r="R32">
        <f t="shared" si="6"/>
        <v>-1.0026582802078963</v>
      </c>
    </row>
    <row r="33" spans="1:18" x14ac:dyDescent="0.25">
      <c r="A33">
        <v>711</v>
      </c>
      <c r="B33">
        <v>70</v>
      </c>
      <c r="C33">
        <v>196</v>
      </c>
      <c r="D33">
        <v>868</v>
      </c>
      <c r="E33">
        <v>506</v>
      </c>
      <c r="F33">
        <v>659</v>
      </c>
      <c r="G33" t="s">
        <v>5</v>
      </c>
      <c r="H33" s="1">
        <f t="shared" si="5"/>
        <v>36829.333333333409</v>
      </c>
      <c r="I33">
        <f t="shared" si="0"/>
        <v>5.6219999999999999</v>
      </c>
      <c r="J33">
        <f t="shared" si="1"/>
        <v>15.021600000000001</v>
      </c>
      <c r="K33">
        <f t="shared" si="2"/>
        <v>86.563599999999994</v>
      </c>
      <c r="L33">
        <f t="shared" si="3"/>
        <v>-0.54151927999999927</v>
      </c>
      <c r="M33">
        <f t="shared" si="4"/>
        <v>231.49099999999999</v>
      </c>
      <c r="O33">
        <v>304</v>
      </c>
      <c r="P33">
        <v>800</v>
      </c>
      <c r="Q33">
        <v>1.01</v>
      </c>
      <c r="R33">
        <f t="shared" si="6"/>
        <v>-1.0089983419074948</v>
      </c>
    </row>
    <row r="34" spans="1:18" x14ac:dyDescent="0.25">
      <c r="A34">
        <v>711</v>
      </c>
      <c r="B34">
        <v>54</v>
      </c>
      <c r="C34">
        <v>180</v>
      </c>
      <c r="D34">
        <v>683</v>
      </c>
      <c r="E34">
        <v>520</v>
      </c>
      <c r="F34">
        <v>601</v>
      </c>
      <c r="G34" t="s">
        <v>5</v>
      </c>
      <c r="H34" s="1">
        <f t="shared" si="5"/>
        <v>36829.354166666744</v>
      </c>
      <c r="I34">
        <f t="shared" si="0"/>
        <v>4.4283999999999999</v>
      </c>
      <c r="J34">
        <f t="shared" si="1"/>
        <v>13.828000000000001</v>
      </c>
      <c r="K34">
        <f t="shared" si="2"/>
        <v>67.656599999999997</v>
      </c>
      <c r="L34">
        <f t="shared" si="3"/>
        <v>0.72940799999999628</v>
      </c>
      <c r="M34">
        <f t="shared" si="4"/>
        <v>211.249</v>
      </c>
      <c r="O34">
        <v>304</v>
      </c>
      <c r="P34">
        <v>830</v>
      </c>
      <c r="Q34">
        <v>1.002</v>
      </c>
      <c r="R34">
        <f t="shared" si="6"/>
        <v>-1.0033369568873396</v>
      </c>
    </row>
    <row r="35" spans="1:18" x14ac:dyDescent="0.25">
      <c r="A35">
        <v>711</v>
      </c>
      <c r="B35">
        <v>129</v>
      </c>
      <c r="C35">
        <v>284</v>
      </c>
      <c r="D35">
        <v>694</v>
      </c>
      <c r="E35">
        <v>495</v>
      </c>
      <c r="F35">
        <v>741</v>
      </c>
      <c r="G35" t="s">
        <v>5</v>
      </c>
      <c r="H35" s="1">
        <f t="shared" si="5"/>
        <v>36829.37500000008</v>
      </c>
      <c r="I35">
        <f t="shared" si="0"/>
        <v>10.023400000000001</v>
      </c>
      <c r="J35">
        <f t="shared" si="1"/>
        <v>21.586399999999998</v>
      </c>
      <c r="K35">
        <f t="shared" si="2"/>
        <v>68.780799999999999</v>
      </c>
      <c r="L35">
        <f t="shared" si="3"/>
        <v>-1.5373494999999995</v>
      </c>
      <c r="M35">
        <f t="shared" si="4"/>
        <v>260.10899999999998</v>
      </c>
      <c r="O35">
        <v>304</v>
      </c>
      <c r="P35">
        <v>900</v>
      </c>
      <c r="Q35">
        <v>1</v>
      </c>
      <c r="R35">
        <f t="shared" si="6"/>
        <v>-0.99718191699467884</v>
      </c>
    </row>
    <row r="36" spans="1:18" x14ac:dyDescent="0.25">
      <c r="A36">
        <v>711</v>
      </c>
      <c r="B36">
        <v>71</v>
      </c>
      <c r="C36">
        <v>180</v>
      </c>
      <c r="D36">
        <v>759</v>
      </c>
      <c r="E36">
        <v>489</v>
      </c>
      <c r="F36">
        <v>777</v>
      </c>
      <c r="G36" t="s">
        <v>5</v>
      </c>
      <c r="H36" s="1">
        <f t="shared" si="5"/>
        <v>36829.395833333416</v>
      </c>
      <c r="I36">
        <f t="shared" si="0"/>
        <v>5.6966000000000001</v>
      </c>
      <c r="J36">
        <f t="shared" si="1"/>
        <v>13.828000000000001</v>
      </c>
      <c r="K36">
        <f t="shared" si="2"/>
        <v>75.4238</v>
      </c>
      <c r="L36">
        <f t="shared" si="3"/>
        <v>-2.0795075800000036</v>
      </c>
      <c r="M36">
        <f t="shared" si="4"/>
        <v>272.673</v>
      </c>
      <c r="O36">
        <v>304</v>
      </c>
      <c r="P36">
        <v>930</v>
      </c>
      <c r="Q36">
        <v>0.98</v>
      </c>
      <c r="R36">
        <f t="shared" si="6"/>
        <v>-0.97626247307199099</v>
      </c>
    </row>
    <row r="37" spans="1:18" x14ac:dyDescent="0.25">
      <c r="A37">
        <v>711</v>
      </c>
      <c r="B37">
        <v>126</v>
      </c>
      <c r="C37">
        <v>244</v>
      </c>
      <c r="D37">
        <v>611</v>
      </c>
      <c r="E37">
        <v>491</v>
      </c>
      <c r="F37">
        <v>741</v>
      </c>
      <c r="G37" t="s">
        <v>5</v>
      </c>
      <c r="H37" s="1">
        <f t="shared" si="5"/>
        <v>36829.416666666752</v>
      </c>
      <c r="I37">
        <f t="shared" si="0"/>
        <v>9.7995999999999999</v>
      </c>
      <c r="J37">
        <f t="shared" si="1"/>
        <v>18.602399999999999</v>
      </c>
      <c r="K37">
        <f t="shared" si="2"/>
        <v>60.298200000000001</v>
      </c>
      <c r="L37">
        <f t="shared" si="3"/>
        <v>-1.8988683800000024</v>
      </c>
      <c r="M37">
        <f t="shared" si="4"/>
        <v>260.10899999999998</v>
      </c>
      <c r="O37">
        <v>304</v>
      </c>
      <c r="P37">
        <v>1000</v>
      </c>
      <c r="Q37">
        <v>0.98199999999999998</v>
      </c>
      <c r="R37">
        <f t="shared" si="6"/>
        <v>-0.9785807417691913</v>
      </c>
    </row>
    <row r="38" spans="1:18" x14ac:dyDescent="0.25">
      <c r="A38">
        <v>711</v>
      </c>
      <c r="B38">
        <v>84</v>
      </c>
      <c r="C38">
        <v>216</v>
      </c>
      <c r="D38">
        <v>291</v>
      </c>
      <c r="E38">
        <v>496</v>
      </c>
      <c r="F38">
        <v>777</v>
      </c>
      <c r="G38" t="s">
        <v>5</v>
      </c>
      <c r="H38" s="1">
        <f t="shared" si="5"/>
        <v>36829.437500000087</v>
      </c>
      <c r="I38">
        <f t="shared" si="0"/>
        <v>6.6664000000000003</v>
      </c>
      <c r="J38">
        <f t="shared" si="1"/>
        <v>16.513599999999997</v>
      </c>
      <c r="K38">
        <f t="shared" si="2"/>
        <v>27.594200000000001</v>
      </c>
      <c r="L38">
        <f t="shared" si="3"/>
        <v>-1.4469196799999988</v>
      </c>
      <c r="M38">
        <f t="shared" si="4"/>
        <v>272.673</v>
      </c>
      <c r="O38">
        <v>304</v>
      </c>
      <c r="P38">
        <v>1030</v>
      </c>
      <c r="Q38">
        <v>1.0149999999999999</v>
      </c>
      <c r="R38">
        <f t="shared" si="6"/>
        <v>-1.0123081209455345</v>
      </c>
    </row>
    <row r="39" spans="1:18" x14ac:dyDescent="0.25">
      <c r="A39">
        <v>711</v>
      </c>
      <c r="B39">
        <v>30</v>
      </c>
      <c r="C39">
        <v>68</v>
      </c>
      <c r="D39">
        <v>90</v>
      </c>
      <c r="E39">
        <v>497</v>
      </c>
      <c r="F39">
        <v>849</v>
      </c>
      <c r="G39" t="s">
        <v>5</v>
      </c>
      <c r="H39" s="1">
        <f t="shared" si="5"/>
        <v>36829.458333333423</v>
      </c>
      <c r="I39">
        <f t="shared" si="0"/>
        <v>2.6379999999999999</v>
      </c>
      <c r="J39">
        <f t="shared" si="1"/>
        <v>5.4728000000000003</v>
      </c>
      <c r="K39">
        <f t="shared" si="2"/>
        <v>7.0520000000000005</v>
      </c>
      <c r="L39">
        <f t="shared" si="3"/>
        <v>-1.3564698200000054</v>
      </c>
      <c r="M39">
        <f t="shared" si="4"/>
        <v>297.80099999999999</v>
      </c>
      <c r="O39">
        <v>304</v>
      </c>
      <c r="P39">
        <v>1100</v>
      </c>
      <c r="Q39">
        <v>0.995</v>
      </c>
      <c r="R39">
        <f t="shared" si="6"/>
        <v>-0.99252632749395708</v>
      </c>
    </row>
    <row r="40" spans="1:18" x14ac:dyDescent="0.25">
      <c r="A40">
        <v>711</v>
      </c>
      <c r="B40">
        <v>37</v>
      </c>
      <c r="C40">
        <v>76</v>
      </c>
      <c r="D40">
        <v>310</v>
      </c>
      <c r="E40">
        <v>487</v>
      </c>
      <c r="F40">
        <v>849</v>
      </c>
      <c r="G40" t="s">
        <v>5</v>
      </c>
      <c r="H40" s="1">
        <f t="shared" si="5"/>
        <v>36829.479166666759</v>
      </c>
      <c r="I40">
        <f t="shared" si="0"/>
        <v>3.1602000000000001</v>
      </c>
      <c r="J40">
        <f t="shared" si="1"/>
        <v>6.0696000000000003</v>
      </c>
      <c r="K40">
        <f t="shared" si="2"/>
        <v>29.535999999999998</v>
      </c>
      <c r="L40">
        <f t="shared" si="3"/>
        <v>-2.2600666200000052</v>
      </c>
      <c r="M40">
        <f t="shared" si="4"/>
        <v>297.80099999999999</v>
      </c>
      <c r="O40">
        <v>304</v>
      </c>
      <c r="P40">
        <v>1130</v>
      </c>
      <c r="Q40">
        <v>1.0049999999999999</v>
      </c>
      <c r="R40">
        <f t="shared" si="6"/>
        <v>-1.0008336356159533</v>
      </c>
    </row>
    <row r="41" spans="1:18" x14ac:dyDescent="0.25">
      <c r="A41">
        <v>711</v>
      </c>
      <c r="B41">
        <v>41</v>
      </c>
      <c r="C41">
        <v>72</v>
      </c>
      <c r="D41">
        <v>461</v>
      </c>
      <c r="E41">
        <v>487</v>
      </c>
      <c r="F41">
        <v>873</v>
      </c>
      <c r="G41" t="s">
        <v>5</v>
      </c>
      <c r="H41" s="1">
        <f t="shared" si="5"/>
        <v>36829.500000000095</v>
      </c>
      <c r="I41">
        <f t="shared" ref="I41:I47" si="7">0.4+0.0746*B41</f>
        <v>3.4586000000000001</v>
      </c>
      <c r="J41">
        <f t="shared" ref="J41:J47" si="8">0.4+0.0746*C41</f>
        <v>5.7712000000000003</v>
      </c>
      <c r="K41">
        <f t="shared" ref="K41:K47" si="9">-2.146+0.1022*D41</f>
        <v>44.968199999999996</v>
      </c>
      <c r="L41">
        <f t="shared" ref="L41:L47" si="10">-43.84+0.0805*E41+0.00001002*E41^2</f>
        <v>-2.2600666200000052</v>
      </c>
      <c r="M41">
        <f t="shared" ref="M41:M47" si="11">1.5+0.349*F41</f>
        <v>306.17699999999996</v>
      </c>
      <c r="O41">
        <v>304</v>
      </c>
      <c r="P41">
        <v>1200</v>
      </c>
      <c r="Q41">
        <v>1.0269999999999999</v>
      </c>
      <c r="R41">
        <f t="shared" si="6"/>
        <v>-1.0227424316194866</v>
      </c>
    </row>
    <row r="42" spans="1:18" x14ac:dyDescent="0.25">
      <c r="A42">
        <v>711</v>
      </c>
      <c r="B42">
        <v>40</v>
      </c>
      <c r="C42">
        <v>80</v>
      </c>
      <c r="D42">
        <v>212</v>
      </c>
      <c r="E42">
        <v>489</v>
      </c>
      <c r="F42">
        <v>865</v>
      </c>
      <c r="G42" t="s">
        <v>5</v>
      </c>
      <c r="H42" s="1">
        <f t="shared" si="5"/>
        <v>36829.52083333343</v>
      </c>
      <c r="I42">
        <f t="shared" si="7"/>
        <v>3.3839999999999999</v>
      </c>
      <c r="J42">
        <f t="shared" si="8"/>
        <v>6.3680000000000003</v>
      </c>
      <c r="K42">
        <f t="shared" si="9"/>
        <v>19.520399999999999</v>
      </c>
      <c r="L42">
        <f t="shared" si="10"/>
        <v>-2.0795075800000036</v>
      </c>
      <c r="M42">
        <f t="shared" si="11"/>
        <v>303.38499999999999</v>
      </c>
      <c r="O42">
        <v>304</v>
      </c>
      <c r="P42">
        <v>1230</v>
      </c>
      <c r="Q42">
        <v>1.0349999999999999</v>
      </c>
      <c r="R42">
        <f t="shared" si="6"/>
        <v>-1.031052713907664</v>
      </c>
    </row>
    <row r="43" spans="1:18" x14ac:dyDescent="0.25">
      <c r="A43">
        <v>711</v>
      </c>
      <c r="B43">
        <v>36</v>
      </c>
      <c r="C43">
        <v>56</v>
      </c>
      <c r="D43">
        <v>385</v>
      </c>
      <c r="E43">
        <v>485</v>
      </c>
      <c r="F43">
        <v>896</v>
      </c>
      <c r="G43" t="s">
        <v>5</v>
      </c>
      <c r="H43" s="1">
        <f t="shared" si="5"/>
        <v>36829.541666666766</v>
      </c>
      <c r="I43">
        <f t="shared" si="7"/>
        <v>3.0855999999999999</v>
      </c>
      <c r="J43">
        <f t="shared" si="8"/>
        <v>4.5776000000000003</v>
      </c>
      <c r="K43">
        <f t="shared" si="9"/>
        <v>37.201000000000001</v>
      </c>
      <c r="L43">
        <f t="shared" si="10"/>
        <v>-2.4405454999999994</v>
      </c>
      <c r="M43">
        <f t="shared" si="11"/>
        <v>314.20399999999995</v>
      </c>
      <c r="O43">
        <v>304</v>
      </c>
      <c r="P43">
        <v>1300</v>
      </c>
      <c r="Q43">
        <v>1.0269999999999999</v>
      </c>
      <c r="R43">
        <f t="shared" si="6"/>
        <v>-1.0224016766845552</v>
      </c>
    </row>
    <row r="44" spans="1:18" x14ac:dyDescent="0.25">
      <c r="A44">
        <v>711</v>
      </c>
      <c r="B44">
        <v>31</v>
      </c>
      <c r="C44">
        <v>56</v>
      </c>
      <c r="D44">
        <v>385</v>
      </c>
      <c r="E44">
        <v>493</v>
      </c>
      <c r="F44">
        <v>904</v>
      </c>
      <c r="G44" t="s">
        <v>5</v>
      </c>
      <c r="H44" s="1">
        <f t="shared" si="5"/>
        <v>36829.562500000102</v>
      </c>
      <c r="I44">
        <f t="shared" si="7"/>
        <v>2.7125999999999997</v>
      </c>
      <c r="J44">
        <f t="shared" si="8"/>
        <v>4.5776000000000003</v>
      </c>
      <c r="K44">
        <f t="shared" si="9"/>
        <v>37.201000000000001</v>
      </c>
      <c r="L44">
        <f t="shared" si="10"/>
        <v>-1.7181490200000011</v>
      </c>
      <c r="M44">
        <f t="shared" si="11"/>
        <v>316.99599999999998</v>
      </c>
      <c r="O44">
        <v>304</v>
      </c>
      <c r="P44">
        <v>1330</v>
      </c>
      <c r="Q44">
        <v>1.012</v>
      </c>
      <c r="R44">
        <f t="shared" si="6"/>
        <v>-1.0088121733315432</v>
      </c>
    </row>
    <row r="45" spans="1:18" x14ac:dyDescent="0.25">
      <c r="A45">
        <v>711</v>
      </c>
      <c r="B45">
        <v>7</v>
      </c>
      <c r="C45">
        <v>20</v>
      </c>
      <c r="D45">
        <v>767</v>
      </c>
      <c r="E45">
        <v>494</v>
      </c>
      <c r="F45">
        <v>895</v>
      </c>
      <c r="G45" t="s">
        <v>5</v>
      </c>
      <c r="H45" s="1">
        <f t="shared" si="5"/>
        <v>36829.583333333438</v>
      </c>
      <c r="I45">
        <f t="shared" si="7"/>
        <v>0.92220000000000002</v>
      </c>
      <c r="J45">
        <f t="shared" si="8"/>
        <v>1.8919999999999999</v>
      </c>
      <c r="K45">
        <f t="shared" si="9"/>
        <v>76.241399999999999</v>
      </c>
      <c r="L45">
        <f t="shared" si="10"/>
        <v>-1.6277592800000003</v>
      </c>
      <c r="M45">
        <f t="shared" si="11"/>
        <v>313.85499999999996</v>
      </c>
      <c r="O45">
        <v>304</v>
      </c>
      <c r="P45">
        <v>1400</v>
      </c>
      <c r="Q45">
        <v>1.0049999999999999</v>
      </c>
      <c r="R45">
        <f t="shared" si="6"/>
        <v>-1.0020010204429755</v>
      </c>
    </row>
    <row r="46" spans="1:18" x14ac:dyDescent="0.25">
      <c r="A46">
        <v>711</v>
      </c>
      <c r="B46">
        <v>34</v>
      </c>
      <c r="C46">
        <v>64</v>
      </c>
      <c r="D46">
        <v>858</v>
      </c>
      <c r="E46">
        <v>484</v>
      </c>
      <c r="F46">
        <v>901</v>
      </c>
      <c r="G46" t="s">
        <v>5</v>
      </c>
      <c r="H46" s="1">
        <f t="shared" si="5"/>
        <v>36829.604166666773</v>
      </c>
      <c r="I46">
        <f t="shared" si="7"/>
        <v>2.9363999999999999</v>
      </c>
      <c r="J46">
        <f t="shared" si="8"/>
        <v>5.1744000000000003</v>
      </c>
      <c r="K46">
        <f t="shared" si="9"/>
        <v>85.541600000000003</v>
      </c>
      <c r="L46">
        <f t="shared" si="10"/>
        <v>-2.5307548799999999</v>
      </c>
      <c r="M46">
        <f t="shared" si="11"/>
        <v>315.94899999999996</v>
      </c>
      <c r="O46">
        <v>304</v>
      </c>
      <c r="P46">
        <v>1430</v>
      </c>
      <c r="Q46">
        <v>1.0069999999999999</v>
      </c>
      <c r="R46">
        <f t="shared" si="6"/>
        <v>-1.002324179736215</v>
      </c>
    </row>
    <row r="47" spans="1:18" x14ac:dyDescent="0.25">
      <c r="A47">
        <v>711</v>
      </c>
      <c r="B47">
        <v>43</v>
      </c>
      <c r="C47">
        <v>124</v>
      </c>
      <c r="D47">
        <v>515</v>
      </c>
      <c r="E47">
        <v>484</v>
      </c>
      <c r="F47">
        <v>893</v>
      </c>
      <c r="G47" t="s">
        <v>5</v>
      </c>
      <c r="H47" s="1">
        <f t="shared" si="5"/>
        <v>36829.625000000109</v>
      </c>
      <c r="I47">
        <f t="shared" si="7"/>
        <v>3.6077999999999997</v>
      </c>
      <c r="J47">
        <f t="shared" si="8"/>
        <v>9.6503999999999994</v>
      </c>
      <c r="K47">
        <f t="shared" si="9"/>
        <v>50.487000000000002</v>
      </c>
      <c r="L47">
        <f t="shared" si="10"/>
        <v>-2.5307548799999999</v>
      </c>
      <c r="M47">
        <f t="shared" si="11"/>
        <v>313.15699999999998</v>
      </c>
      <c r="O47">
        <v>304</v>
      </c>
      <c r="P47">
        <v>1500</v>
      </c>
      <c r="Q47">
        <v>0.98499999999999999</v>
      </c>
      <c r="R47">
        <f t="shared" si="6"/>
        <v>-0.9804263327111935</v>
      </c>
    </row>
    <row r="48" spans="1:18" x14ac:dyDescent="0.25">
      <c r="A48">
        <v>711</v>
      </c>
      <c r="B48">
        <v>110</v>
      </c>
      <c r="C48">
        <v>220</v>
      </c>
      <c r="D48">
        <v>514</v>
      </c>
      <c r="E48">
        <v>485</v>
      </c>
      <c r="F48">
        <v>821</v>
      </c>
      <c r="G48" t="s">
        <v>5</v>
      </c>
      <c r="H48" s="1">
        <f t="shared" si="5"/>
        <v>36829.645833333445</v>
      </c>
      <c r="I48">
        <f t="shared" si="0"/>
        <v>8.6059999999999999</v>
      </c>
      <c r="J48">
        <f t="shared" si="1"/>
        <v>16.811999999999998</v>
      </c>
      <c r="K48">
        <f t="shared" si="2"/>
        <v>50.384799999999998</v>
      </c>
      <c r="L48">
        <f t="shared" si="3"/>
        <v>-2.4405454999999994</v>
      </c>
      <c r="M48">
        <f t="shared" si="4"/>
        <v>288.029</v>
      </c>
      <c r="O48">
        <v>304</v>
      </c>
      <c r="P48">
        <v>1530</v>
      </c>
      <c r="Q48">
        <v>0.99199999999999999</v>
      </c>
      <c r="R48">
        <f t="shared" si="6"/>
        <v>-0.98755838682675634</v>
      </c>
    </row>
    <row r="49" spans="1:18" x14ac:dyDescent="0.25">
      <c r="A49">
        <v>711</v>
      </c>
      <c r="B49">
        <v>165</v>
      </c>
      <c r="C49">
        <v>288</v>
      </c>
      <c r="D49">
        <v>524</v>
      </c>
      <c r="E49">
        <v>477</v>
      </c>
      <c r="F49">
        <v>869</v>
      </c>
      <c r="G49" t="s">
        <v>5</v>
      </c>
      <c r="H49" s="1">
        <f t="shared" si="5"/>
        <v>36829.666666666781</v>
      </c>
      <c r="I49">
        <f t="shared" si="0"/>
        <v>12.709</v>
      </c>
      <c r="J49">
        <f t="shared" si="1"/>
        <v>21.884799999999998</v>
      </c>
      <c r="K49">
        <f t="shared" si="2"/>
        <v>51.406799999999997</v>
      </c>
      <c r="L49">
        <f t="shared" si="3"/>
        <v>-3.1616594200000048</v>
      </c>
      <c r="M49">
        <f t="shared" si="4"/>
        <v>304.78100000000001</v>
      </c>
      <c r="O49">
        <v>304</v>
      </c>
      <c r="P49">
        <v>1600</v>
      </c>
      <c r="Q49">
        <v>0.95</v>
      </c>
      <c r="R49">
        <f t="shared" si="6"/>
        <v>-0.94448596270599638</v>
      </c>
    </row>
    <row r="50" spans="1:18" x14ac:dyDescent="0.25">
      <c r="A50">
        <v>711</v>
      </c>
      <c r="B50">
        <v>185</v>
      </c>
      <c r="C50">
        <v>316</v>
      </c>
      <c r="D50">
        <v>557</v>
      </c>
      <c r="E50">
        <v>477</v>
      </c>
      <c r="F50">
        <v>884</v>
      </c>
      <c r="G50" t="s">
        <v>5</v>
      </c>
      <c r="H50" s="1">
        <f t="shared" si="5"/>
        <v>36829.687500000116</v>
      </c>
      <c r="I50">
        <f t="shared" si="0"/>
        <v>14.201000000000001</v>
      </c>
      <c r="J50">
        <f t="shared" si="1"/>
        <v>23.973599999999998</v>
      </c>
      <c r="K50">
        <f t="shared" si="2"/>
        <v>54.779399999999995</v>
      </c>
      <c r="L50">
        <f t="shared" si="3"/>
        <v>-3.1616594200000048</v>
      </c>
      <c r="M50">
        <f t="shared" si="4"/>
        <v>310.01599999999996</v>
      </c>
      <c r="O50">
        <v>304</v>
      </c>
      <c r="P50">
        <v>1630</v>
      </c>
      <c r="Q50">
        <v>0.95699999999999996</v>
      </c>
      <c r="R50">
        <f t="shared" si="6"/>
        <v>-0.95144533295751432</v>
      </c>
    </row>
    <row r="51" spans="1:18" x14ac:dyDescent="0.25">
      <c r="A51">
        <v>711</v>
      </c>
      <c r="B51">
        <v>191</v>
      </c>
      <c r="C51">
        <v>308</v>
      </c>
      <c r="D51">
        <v>515</v>
      </c>
      <c r="E51">
        <v>478</v>
      </c>
      <c r="F51">
        <v>889</v>
      </c>
      <c r="G51" t="s">
        <v>5</v>
      </c>
      <c r="H51" s="1">
        <f t="shared" si="5"/>
        <v>36829.708333333452</v>
      </c>
      <c r="I51">
        <f t="shared" si="0"/>
        <v>14.6486</v>
      </c>
      <c r="J51">
        <f t="shared" si="1"/>
        <v>23.376799999999999</v>
      </c>
      <c r="K51">
        <f t="shared" si="2"/>
        <v>50.487000000000002</v>
      </c>
      <c r="L51">
        <f t="shared" si="3"/>
        <v>-3.0715903200000039</v>
      </c>
      <c r="M51">
        <f t="shared" si="4"/>
        <v>311.76099999999997</v>
      </c>
      <c r="O51">
        <v>304</v>
      </c>
      <c r="P51">
        <v>1700</v>
      </c>
      <c r="Q51">
        <v>0.95</v>
      </c>
      <c r="R51">
        <f t="shared" si="6"/>
        <v>-0.94464349155852279</v>
      </c>
    </row>
    <row r="52" spans="1:18" x14ac:dyDescent="0.25">
      <c r="A52">
        <v>711</v>
      </c>
      <c r="B52">
        <v>178</v>
      </c>
      <c r="C52">
        <v>264</v>
      </c>
      <c r="D52">
        <v>465</v>
      </c>
      <c r="E52">
        <v>474</v>
      </c>
      <c r="F52">
        <v>893</v>
      </c>
      <c r="G52" t="s">
        <v>5</v>
      </c>
      <c r="H52" s="1">
        <f t="shared" si="5"/>
        <v>36829.729166666788</v>
      </c>
      <c r="I52">
        <f t="shared" si="0"/>
        <v>13.678800000000001</v>
      </c>
      <c r="J52">
        <f t="shared" si="1"/>
        <v>20.0944</v>
      </c>
      <c r="K52">
        <f t="shared" si="2"/>
        <v>45.376999999999995</v>
      </c>
      <c r="L52">
        <f t="shared" si="3"/>
        <v>-3.4317464799999997</v>
      </c>
      <c r="M52">
        <f t="shared" si="4"/>
        <v>313.15699999999998</v>
      </c>
      <c r="O52">
        <v>304</v>
      </c>
      <c r="P52">
        <v>1730</v>
      </c>
      <c r="Q52">
        <v>0.94199999999999995</v>
      </c>
      <c r="R52">
        <f t="shared" si="6"/>
        <v>-0.93606384207671645</v>
      </c>
    </row>
    <row r="53" spans="1:18" x14ac:dyDescent="0.25">
      <c r="A53">
        <v>711</v>
      </c>
      <c r="B53">
        <v>169</v>
      </c>
      <c r="C53">
        <v>248</v>
      </c>
      <c r="D53">
        <v>454</v>
      </c>
      <c r="E53">
        <v>477</v>
      </c>
      <c r="F53">
        <v>901</v>
      </c>
      <c r="G53" t="s">
        <v>5</v>
      </c>
      <c r="H53" s="1">
        <f t="shared" si="5"/>
        <v>36829.750000000124</v>
      </c>
      <c r="I53">
        <f t="shared" si="0"/>
        <v>13.007400000000001</v>
      </c>
      <c r="J53">
        <f t="shared" si="1"/>
        <v>18.900799999999997</v>
      </c>
      <c r="K53">
        <f t="shared" si="2"/>
        <v>44.252800000000001</v>
      </c>
      <c r="L53">
        <f t="shared" si="3"/>
        <v>-3.1616594200000048</v>
      </c>
      <c r="M53">
        <f t="shared" si="4"/>
        <v>315.94899999999996</v>
      </c>
      <c r="O53">
        <v>304</v>
      </c>
      <c r="P53">
        <v>1800</v>
      </c>
      <c r="Q53">
        <v>1</v>
      </c>
      <c r="R53">
        <f t="shared" si="6"/>
        <v>-0.99419575021683837</v>
      </c>
    </row>
    <row r="54" spans="1:18" x14ac:dyDescent="0.25">
      <c r="A54">
        <v>711</v>
      </c>
      <c r="B54">
        <v>185</v>
      </c>
      <c r="C54">
        <v>284</v>
      </c>
      <c r="D54">
        <v>539</v>
      </c>
      <c r="E54">
        <v>477</v>
      </c>
      <c r="F54">
        <v>901</v>
      </c>
      <c r="G54" t="s">
        <v>5</v>
      </c>
      <c r="H54" s="1">
        <f t="shared" si="5"/>
        <v>36829.770833333459</v>
      </c>
      <c r="I54">
        <f t="shared" si="0"/>
        <v>14.201000000000001</v>
      </c>
      <c r="J54">
        <f t="shared" si="1"/>
        <v>21.586399999999998</v>
      </c>
      <c r="K54">
        <f t="shared" si="2"/>
        <v>52.939799999999998</v>
      </c>
      <c r="L54">
        <f t="shared" si="3"/>
        <v>-3.1616594200000048</v>
      </c>
      <c r="M54">
        <f t="shared" si="4"/>
        <v>315.94899999999996</v>
      </c>
      <c r="O54">
        <v>304</v>
      </c>
      <c r="P54">
        <v>1830</v>
      </c>
      <c r="Q54">
        <v>0.995</v>
      </c>
      <c r="R54">
        <f t="shared" si="6"/>
        <v>-0.98922477146575416</v>
      </c>
    </row>
    <row r="55" spans="1:18" x14ac:dyDescent="0.25">
      <c r="A55">
        <v>711</v>
      </c>
      <c r="B55">
        <v>188</v>
      </c>
      <c r="C55">
        <v>292</v>
      </c>
      <c r="D55">
        <v>530</v>
      </c>
      <c r="E55">
        <v>471</v>
      </c>
      <c r="F55">
        <v>901</v>
      </c>
      <c r="G55" t="s">
        <v>5</v>
      </c>
      <c r="H55" s="1">
        <f t="shared" si="5"/>
        <v>36829.791666666795</v>
      </c>
      <c r="I55">
        <f t="shared" si="0"/>
        <v>14.424799999999999</v>
      </c>
      <c r="J55">
        <f t="shared" si="1"/>
        <v>22.183199999999999</v>
      </c>
      <c r="K55">
        <f t="shared" si="2"/>
        <v>52.019999999999996</v>
      </c>
      <c r="L55">
        <f t="shared" si="3"/>
        <v>-3.7016531800000019</v>
      </c>
      <c r="M55">
        <f t="shared" si="4"/>
        <v>315.94899999999996</v>
      </c>
      <c r="O55">
        <v>304</v>
      </c>
      <c r="P55">
        <v>1900</v>
      </c>
      <c r="Q55">
        <v>0.92200000000000004</v>
      </c>
      <c r="R55">
        <f t="shared" si="6"/>
        <v>-0.91573134541351486</v>
      </c>
    </row>
    <row r="56" spans="1:18" x14ac:dyDescent="0.25">
      <c r="A56">
        <v>711</v>
      </c>
      <c r="B56">
        <v>167</v>
      </c>
      <c r="C56">
        <v>252</v>
      </c>
      <c r="D56">
        <v>457</v>
      </c>
      <c r="E56">
        <v>469</v>
      </c>
      <c r="F56">
        <v>901</v>
      </c>
      <c r="G56" t="s">
        <v>5</v>
      </c>
      <c r="H56" s="1">
        <f t="shared" si="5"/>
        <v>36829.812500000131</v>
      </c>
      <c r="I56">
        <f t="shared" si="0"/>
        <v>12.8582</v>
      </c>
      <c r="J56">
        <f t="shared" si="1"/>
        <v>19.199199999999998</v>
      </c>
      <c r="K56">
        <f t="shared" si="2"/>
        <v>44.559399999999997</v>
      </c>
      <c r="L56">
        <f t="shared" si="3"/>
        <v>-3.8814907800000031</v>
      </c>
      <c r="M56">
        <f t="shared" si="4"/>
        <v>315.94899999999996</v>
      </c>
      <c r="O56">
        <v>304</v>
      </c>
      <c r="P56">
        <v>1930</v>
      </c>
      <c r="Q56">
        <v>0.97499999999999998</v>
      </c>
      <c r="R56">
        <f t="shared" si="6"/>
        <v>-0.96804778644901979</v>
      </c>
    </row>
    <row r="57" spans="1:18" x14ac:dyDescent="0.25">
      <c r="A57">
        <v>7</v>
      </c>
      <c r="B57">
        <v>162</v>
      </c>
      <c r="C57">
        <v>232</v>
      </c>
      <c r="D57">
        <v>417</v>
      </c>
      <c r="E57">
        <v>471</v>
      </c>
      <c r="F57">
        <v>903</v>
      </c>
      <c r="G57" t="s">
        <v>5</v>
      </c>
      <c r="H57" s="1">
        <f>H56+1/48</f>
        <v>36829.833333333467</v>
      </c>
      <c r="I57">
        <f t="shared" si="0"/>
        <v>12.485200000000001</v>
      </c>
      <c r="J57">
        <f t="shared" si="1"/>
        <v>17.7072</v>
      </c>
      <c r="K57">
        <f t="shared" si="2"/>
        <v>40.471399999999996</v>
      </c>
      <c r="L57">
        <f t="shared" si="3"/>
        <v>-3.7016531800000019</v>
      </c>
      <c r="M57">
        <f t="shared" si="4"/>
        <v>316.64699999999999</v>
      </c>
      <c r="O57">
        <v>304</v>
      </c>
      <c r="P57">
        <v>2000</v>
      </c>
      <c r="Q57">
        <v>0.97499999999999998</v>
      </c>
      <c r="R57">
        <f t="shared" si="6"/>
        <v>-0.96837099975941099</v>
      </c>
    </row>
    <row r="58" spans="1:18" x14ac:dyDescent="0.25">
      <c r="A58">
        <v>711</v>
      </c>
      <c r="B58">
        <v>188</v>
      </c>
      <c r="C58">
        <v>276</v>
      </c>
      <c r="D58">
        <v>504</v>
      </c>
      <c r="E58">
        <v>460</v>
      </c>
      <c r="F58">
        <v>897</v>
      </c>
      <c r="G58" t="s">
        <v>5</v>
      </c>
      <c r="H58" s="1">
        <f t="shared" si="5"/>
        <v>36829.854166666802</v>
      </c>
      <c r="I58">
        <f t="shared" si="0"/>
        <v>14.424799999999999</v>
      </c>
      <c r="J58">
        <f t="shared" si="1"/>
        <v>20.989599999999999</v>
      </c>
      <c r="K58">
        <f t="shared" si="2"/>
        <v>49.3628</v>
      </c>
      <c r="L58">
        <f t="shared" si="3"/>
        <v>-4.6897680000000026</v>
      </c>
      <c r="M58">
        <f t="shared" si="4"/>
        <v>314.553</v>
      </c>
      <c r="O58">
        <v>304</v>
      </c>
      <c r="P58">
        <v>2030</v>
      </c>
      <c r="Q58">
        <v>0.81699999999999995</v>
      </c>
      <c r="R58">
        <f t="shared" si="6"/>
        <v>-0.80995601446538712</v>
      </c>
    </row>
    <row r="59" spans="1:18" x14ac:dyDescent="0.25">
      <c r="A59">
        <v>711</v>
      </c>
      <c r="B59">
        <v>197</v>
      </c>
      <c r="C59">
        <v>284</v>
      </c>
      <c r="D59">
        <v>545</v>
      </c>
      <c r="E59">
        <v>449</v>
      </c>
      <c r="F59">
        <v>893</v>
      </c>
      <c r="G59" t="s">
        <v>5</v>
      </c>
      <c r="H59" s="1">
        <f t="shared" si="5"/>
        <v>36829.875000000138</v>
      </c>
      <c r="I59">
        <f t="shared" si="0"/>
        <v>15.0962</v>
      </c>
      <c r="J59">
        <f t="shared" si="1"/>
        <v>21.586399999999998</v>
      </c>
      <c r="K59">
        <f t="shared" si="2"/>
        <v>53.552999999999997</v>
      </c>
      <c r="L59">
        <f t="shared" si="3"/>
        <v>-5.6754579800000027</v>
      </c>
      <c r="M59">
        <f t="shared" si="4"/>
        <v>313.15699999999998</v>
      </c>
      <c r="O59">
        <v>304</v>
      </c>
      <c r="P59">
        <v>2100</v>
      </c>
      <c r="Q59">
        <v>0.78700000000000003</v>
      </c>
      <c r="R59">
        <f t="shared" si="6"/>
        <v>-0.77878101572962433</v>
      </c>
    </row>
    <row r="60" spans="1:18" x14ac:dyDescent="0.25">
      <c r="A60">
        <v>711</v>
      </c>
      <c r="B60">
        <v>210</v>
      </c>
      <c r="C60">
        <v>316</v>
      </c>
      <c r="D60">
        <v>495</v>
      </c>
      <c r="E60">
        <v>452</v>
      </c>
      <c r="F60">
        <v>889</v>
      </c>
      <c r="G60" t="s">
        <v>5</v>
      </c>
      <c r="H60" s="1">
        <f t="shared" si="5"/>
        <v>36829.895833333474</v>
      </c>
      <c r="I60">
        <f t="shared" si="0"/>
        <v>16.065999999999999</v>
      </c>
      <c r="J60">
        <f t="shared" si="1"/>
        <v>23.973599999999998</v>
      </c>
      <c r="K60">
        <f t="shared" si="2"/>
        <v>48.442999999999998</v>
      </c>
      <c r="L60">
        <f t="shared" si="3"/>
        <v>-5.4068739200000007</v>
      </c>
      <c r="M60">
        <f t="shared" si="4"/>
        <v>311.76099999999997</v>
      </c>
      <c r="O60">
        <v>304</v>
      </c>
      <c r="P60">
        <v>2130</v>
      </c>
      <c r="Q60">
        <v>0.872</v>
      </c>
      <c r="R60">
        <f t="shared" si="6"/>
        <v>-0.86332645130762664</v>
      </c>
    </row>
    <row r="61" spans="1:18" x14ac:dyDescent="0.25">
      <c r="A61">
        <v>711</v>
      </c>
      <c r="B61">
        <v>222</v>
      </c>
      <c r="C61">
        <v>324</v>
      </c>
      <c r="D61">
        <v>551</v>
      </c>
      <c r="E61">
        <v>455</v>
      </c>
      <c r="F61">
        <v>889</v>
      </c>
      <c r="G61" t="s">
        <v>5</v>
      </c>
      <c r="H61" s="1">
        <f t="shared" si="5"/>
        <v>36829.91666666681</v>
      </c>
      <c r="I61">
        <f t="shared" si="0"/>
        <v>16.961199999999998</v>
      </c>
      <c r="J61">
        <f t="shared" si="1"/>
        <v>24.570399999999999</v>
      </c>
      <c r="K61">
        <f t="shared" si="2"/>
        <v>54.166199999999996</v>
      </c>
      <c r="L61">
        <f t="shared" si="3"/>
        <v>-5.1381095000000059</v>
      </c>
      <c r="M61">
        <f t="shared" si="4"/>
        <v>311.76099999999997</v>
      </c>
      <c r="O61">
        <v>304</v>
      </c>
      <c r="P61">
        <v>2200</v>
      </c>
      <c r="Q61">
        <v>0.96699999999999997</v>
      </c>
      <c r="R61">
        <f t="shared" si="6"/>
        <v>-0.95786190811627536</v>
      </c>
    </row>
    <row r="62" spans="1:18" x14ac:dyDescent="0.25">
      <c r="A62">
        <v>711</v>
      </c>
      <c r="B62">
        <v>208</v>
      </c>
      <c r="C62">
        <v>320</v>
      </c>
      <c r="D62">
        <v>623</v>
      </c>
      <c r="E62">
        <v>455</v>
      </c>
      <c r="F62">
        <v>877</v>
      </c>
      <c r="G62" t="s">
        <v>5</v>
      </c>
      <c r="H62" s="1">
        <f t="shared" si="5"/>
        <v>36829.937500000146</v>
      </c>
      <c r="I62">
        <f t="shared" si="0"/>
        <v>15.9168</v>
      </c>
      <c r="J62">
        <f t="shared" si="1"/>
        <v>24.271999999999998</v>
      </c>
      <c r="K62">
        <f t="shared" si="2"/>
        <v>61.5246</v>
      </c>
      <c r="L62">
        <f t="shared" si="3"/>
        <v>-5.1381095000000059</v>
      </c>
      <c r="M62">
        <f t="shared" si="4"/>
        <v>307.57299999999998</v>
      </c>
      <c r="O62">
        <v>304</v>
      </c>
      <c r="P62">
        <v>2230</v>
      </c>
      <c r="Q62">
        <v>0.98199999999999998</v>
      </c>
      <c r="R62">
        <f t="shared" si="6"/>
        <v>-0.97272015901776876</v>
      </c>
    </row>
    <row r="63" spans="1:18" x14ac:dyDescent="0.25">
      <c r="A63">
        <v>711</v>
      </c>
      <c r="B63">
        <v>143</v>
      </c>
      <c r="C63">
        <v>304</v>
      </c>
      <c r="D63">
        <v>633</v>
      </c>
      <c r="E63">
        <v>452</v>
      </c>
      <c r="F63">
        <v>825</v>
      </c>
      <c r="G63" t="s">
        <v>5</v>
      </c>
      <c r="H63" s="1">
        <f t="shared" si="5"/>
        <v>36829.958333333481</v>
      </c>
      <c r="I63">
        <f t="shared" si="0"/>
        <v>11.0678</v>
      </c>
      <c r="J63">
        <f t="shared" si="1"/>
        <v>23.078399999999998</v>
      </c>
      <c r="K63">
        <f t="shared" si="2"/>
        <v>62.546599999999998</v>
      </c>
      <c r="L63">
        <f t="shared" si="3"/>
        <v>-5.4068739200000007</v>
      </c>
      <c r="M63">
        <f t="shared" si="4"/>
        <v>289.42499999999995</v>
      </c>
      <c r="O63">
        <v>304</v>
      </c>
      <c r="P63">
        <v>2300</v>
      </c>
      <c r="Q63">
        <v>0.96699999999999997</v>
      </c>
      <c r="R63">
        <f t="shared" si="6"/>
        <v>-0.9573815119432052</v>
      </c>
    </row>
    <row r="64" spans="1:18" x14ac:dyDescent="0.25">
      <c r="A64">
        <v>711</v>
      </c>
      <c r="B64">
        <v>149</v>
      </c>
      <c r="C64">
        <v>292</v>
      </c>
      <c r="D64">
        <v>759</v>
      </c>
      <c r="E64">
        <v>455</v>
      </c>
      <c r="F64">
        <v>769</v>
      </c>
      <c r="G64" t="s">
        <v>5</v>
      </c>
      <c r="H64" s="1">
        <f t="shared" si="5"/>
        <v>36829.979166666817</v>
      </c>
      <c r="I64">
        <f t="shared" si="0"/>
        <v>11.5154</v>
      </c>
      <c r="J64">
        <f t="shared" si="1"/>
        <v>22.183199999999999</v>
      </c>
      <c r="K64">
        <f t="shared" si="2"/>
        <v>75.4238</v>
      </c>
      <c r="L64">
        <f t="shared" si="3"/>
        <v>-5.1381095000000059</v>
      </c>
      <c r="M64">
        <f t="shared" si="4"/>
        <v>269.88099999999997</v>
      </c>
      <c r="O64">
        <v>304</v>
      </c>
      <c r="P64">
        <v>2330</v>
      </c>
      <c r="Q64">
        <v>0.91500000000000004</v>
      </c>
      <c r="R64">
        <f t="shared" si="6"/>
        <v>-0.90635330499109823</v>
      </c>
    </row>
    <row r="65" spans="1:18" x14ac:dyDescent="0.25">
      <c r="A65">
        <v>711</v>
      </c>
      <c r="B65">
        <v>61</v>
      </c>
      <c r="C65">
        <v>224</v>
      </c>
      <c r="D65">
        <v>868</v>
      </c>
      <c r="E65">
        <v>456</v>
      </c>
      <c r="F65">
        <v>743</v>
      </c>
      <c r="G65" t="s">
        <v>5</v>
      </c>
      <c r="H65" s="1">
        <f t="shared" si="5"/>
        <v>36830.000000000153</v>
      </c>
      <c r="I65">
        <f t="shared" ref="I65:I76" si="12">0.4+0.0746*B65</f>
        <v>4.9506000000000006</v>
      </c>
      <c r="J65">
        <f t="shared" ref="J65:J76" si="13">0.4+0.0746*C65</f>
        <v>17.110399999999998</v>
      </c>
      <c r="K65">
        <f t="shared" ref="K65:K76" si="14">-2.146+0.1022*D65</f>
        <v>86.563599999999994</v>
      </c>
      <c r="L65">
        <f t="shared" ref="L65:L76" si="15">-43.84+0.0805*E65+0.00001002*E65^2</f>
        <v>-5.0484812800000043</v>
      </c>
      <c r="M65">
        <f t="shared" ref="M65:M76" si="16">1.5+0.349*F65</f>
        <v>260.80699999999996</v>
      </c>
      <c r="O65">
        <v>304</v>
      </c>
      <c r="P65">
        <v>2400</v>
      </c>
      <c r="Q65">
        <v>0.96699999999999997</v>
      </c>
      <c r="R65">
        <f t="shared" si="6"/>
        <v>-0.95802205825230891</v>
      </c>
    </row>
    <row r="66" spans="1:18" x14ac:dyDescent="0.25">
      <c r="A66">
        <v>711</v>
      </c>
      <c r="B66">
        <v>50</v>
      </c>
      <c r="C66">
        <v>88</v>
      </c>
      <c r="D66">
        <v>715</v>
      </c>
      <c r="E66">
        <v>446</v>
      </c>
      <c r="F66">
        <v>745</v>
      </c>
      <c r="G66" t="s">
        <v>5</v>
      </c>
      <c r="H66" s="1">
        <f t="shared" si="5"/>
        <v>36830.020833333489</v>
      </c>
      <c r="I66">
        <f t="shared" si="12"/>
        <v>4.13</v>
      </c>
      <c r="J66">
        <f t="shared" si="13"/>
        <v>6.9648000000000003</v>
      </c>
      <c r="K66">
        <f t="shared" si="14"/>
        <v>70.926999999999992</v>
      </c>
      <c r="L66">
        <f t="shared" si="15"/>
        <v>-5.9438616800000048</v>
      </c>
      <c r="M66">
        <f t="shared" si="16"/>
        <v>261.505</v>
      </c>
      <c r="O66">
        <v>305</v>
      </c>
      <c r="P66">
        <v>30</v>
      </c>
      <c r="Q66">
        <v>0.94699999999999995</v>
      </c>
      <c r="R66">
        <f t="shared" si="6"/>
        <v>-0.93663976522020775</v>
      </c>
    </row>
    <row r="67" spans="1:18" x14ac:dyDescent="0.25">
      <c r="A67">
        <v>711</v>
      </c>
      <c r="B67">
        <v>48</v>
      </c>
      <c r="C67">
        <v>104</v>
      </c>
      <c r="D67">
        <v>851</v>
      </c>
      <c r="E67">
        <v>449</v>
      </c>
      <c r="F67">
        <v>749</v>
      </c>
      <c r="G67" t="s">
        <v>5</v>
      </c>
      <c r="H67" s="1">
        <f t="shared" ref="H67:H129" si="17">H66+1/48</f>
        <v>36830.041666666824</v>
      </c>
      <c r="I67">
        <f t="shared" si="12"/>
        <v>3.9807999999999999</v>
      </c>
      <c r="J67">
        <f t="shared" si="13"/>
        <v>8.1584000000000003</v>
      </c>
      <c r="K67">
        <f t="shared" si="14"/>
        <v>84.8262</v>
      </c>
      <c r="L67">
        <f t="shared" si="15"/>
        <v>-5.6754579800000027</v>
      </c>
      <c r="M67">
        <f t="shared" si="16"/>
        <v>262.90100000000001</v>
      </c>
      <c r="O67">
        <v>305</v>
      </c>
      <c r="P67">
        <v>100</v>
      </c>
      <c r="Q67">
        <v>0.98199999999999998</v>
      </c>
      <c r="R67">
        <f t="shared" si="6"/>
        <v>-0.97174454567533808</v>
      </c>
    </row>
    <row r="68" spans="1:18" x14ac:dyDescent="0.25">
      <c r="A68">
        <v>711</v>
      </c>
      <c r="B68">
        <v>43</v>
      </c>
      <c r="C68">
        <v>84</v>
      </c>
      <c r="D68">
        <v>726</v>
      </c>
      <c r="E68">
        <v>443</v>
      </c>
      <c r="F68">
        <v>709</v>
      </c>
      <c r="G68" t="s">
        <v>5</v>
      </c>
      <c r="H68" s="1">
        <f t="shared" si="17"/>
        <v>36830.06250000016</v>
      </c>
      <c r="I68">
        <f t="shared" si="12"/>
        <v>3.6077999999999997</v>
      </c>
      <c r="J68">
        <f t="shared" si="13"/>
        <v>6.6664000000000003</v>
      </c>
      <c r="K68">
        <f t="shared" si="14"/>
        <v>72.051199999999994</v>
      </c>
      <c r="L68">
        <f t="shared" si="15"/>
        <v>-6.21208502</v>
      </c>
      <c r="M68">
        <f t="shared" si="16"/>
        <v>248.94099999999997</v>
      </c>
      <c r="O68">
        <v>305</v>
      </c>
      <c r="P68">
        <v>130</v>
      </c>
      <c r="Q68">
        <v>0.97199999999999998</v>
      </c>
      <c r="R68">
        <f t="shared" si="6"/>
        <v>-0.96088362962693041</v>
      </c>
    </row>
    <row r="69" spans="1:18" x14ac:dyDescent="0.25">
      <c r="A69">
        <v>711</v>
      </c>
      <c r="B69">
        <v>68</v>
      </c>
      <c r="C69">
        <v>120</v>
      </c>
      <c r="D69">
        <v>893</v>
      </c>
      <c r="E69">
        <v>454</v>
      </c>
      <c r="F69">
        <v>669</v>
      </c>
      <c r="G69" t="s">
        <v>5</v>
      </c>
      <c r="H69" s="1">
        <f t="shared" si="17"/>
        <v>36830.083333333496</v>
      </c>
      <c r="I69">
        <f t="shared" si="12"/>
        <v>5.4728000000000003</v>
      </c>
      <c r="J69">
        <f t="shared" si="13"/>
        <v>9.3520000000000003</v>
      </c>
      <c r="K69">
        <f t="shared" si="14"/>
        <v>89.118600000000001</v>
      </c>
      <c r="L69">
        <f t="shared" si="15"/>
        <v>-5.2277176799999996</v>
      </c>
      <c r="M69">
        <f t="shared" si="16"/>
        <v>234.98099999999999</v>
      </c>
      <c r="O69">
        <v>305</v>
      </c>
      <c r="P69">
        <v>200</v>
      </c>
      <c r="Q69">
        <v>0.95499999999999996</v>
      </c>
      <c r="R69">
        <f t="shared" si="6"/>
        <v>-0.94581715356841056</v>
      </c>
    </row>
    <row r="70" spans="1:18" x14ac:dyDescent="0.25">
      <c r="A70">
        <v>711</v>
      </c>
      <c r="B70">
        <v>20</v>
      </c>
      <c r="C70">
        <v>48</v>
      </c>
      <c r="D70">
        <v>874</v>
      </c>
      <c r="E70">
        <v>443</v>
      </c>
      <c r="F70">
        <v>689</v>
      </c>
      <c r="G70" t="s">
        <v>5</v>
      </c>
      <c r="H70" s="1">
        <f t="shared" si="17"/>
        <v>36830.104166666832</v>
      </c>
      <c r="I70">
        <f t="shared" si="12"/>
        <v>1.8919999999999999</v>
      </c>
      <c r="J70">
        <f t="shared" si="13"/>
        <v>3.9807999999999999</v>
      </c>
      <c r="K70">
        <f t="shared" si="14"/>
        <v>87.1768</v>
      </c>
      <c r="L70">
        <f t="shared" si="15"/>
        <v>-6.21208502</v>
      </c>
      <c r="M70">
        <f t="shared" si="16"/>
        <v>241.96099999999998</v>
      </c>
      <c r="O70">
        <v>305</v>
      </c>
      <c r="P70">
        <v>230</v>
      </c>
      <c r="Q70">
        <v>0.94499999999999995</v>
      </c>
      <c r="R70">
        <f t="shared" si="6"/>
        <v>-0.934192417692849</v>
      </c>
    </row>
    <row r="71" spans="1:18" x14ac:dyDescent="0.25">
      <c r="A71">
        <v>711</v>
      </c>
      <c r="B71">
        <v>63</v>
      </c>
      <c r="C71">
        <v>88</v>
      </c>
      <c r="D71">
        <v>722</v>
      </c>
      <c r="E71">
        <v>445</v>
      </c>
      <c r="F71">
        <v>729</v>
      </c>
      <c r="G71" t="s">
        <v>5</v>
      </c>
      <c r="H71" s="1">
        <f t="shared" si="17"/>
        <v>36830.125000000167</v>
      </c>
      <c r="I71">
        <f t="shared" si="12"/>
        <v>5.0998000000000001</v>
      </c>
      <c r="J71">
        <f t="shared" si="13"/>
        <v>6.9648000000000003</v>
      </c>
      <c r="K71">
        <f t="shared" si="14"/>
        <v>71.642399999999995</v>
      </c>
      <c r="L71">
        <f t="shared" si="15"/>
        <v>-6.0332895000000057</v>
      </c>
      <c r="M71">
        <f t="shared" si="16"/>
        <v>255.92099999999999</v>
      </c>
      <c r="O71">
        <v>305</v>
      </c>
      <c r="P71">
        <v>300</v>
      </c>
      <c r="Q71">
        <v>0.94499999999999995</v>
      </c>
      <c r="R71">
        <f t="shared" ref="R71:R134" si="18">-SQRT((L71+273.15)/273.15)*Q71</f>
        <v>-0.93450522724506591</v>
      </c>
    </row>
    <row r="72" spans="1:18" x14ac:dyDescent="0.25">
      <c r="A72">
        <v>711</v>
      </c>
      <c r="B72">
        <v>47</v>
      </c>
      <c r="C72">
        <v>136</v>
      </c>
      <c r="D72">
        <v>397</v>
      </c>
      <c r="E72">
        <v>448</v>
      </c>
      <c r="F72">
        <v>677</v>
      </c>
      <c r="G72" t="s">
        <v>5</v>
      </c>
      <c r="H72" s="1">
        <f t="shared" si="17"/>
        <v>36830.145833333503</v>
      </c>
      <c r="I72">
        <f t="shared" si="12"/>
        <v>3.9061999999999997</v>
      </c>
      <c r="J72">
        <f t="shared" si="13"/>
        <v>10.5456</v>
      </c>
      <c r="K72">
        <f t="shared" si="14"/>
        <v>38.427399999999999</v>
      </c>
      <c r="L72">
        <f t="shared" si="15"/>
        <v>-5.7649459200000033</v>
      </c>
      <c r="M72">
        <f t="shared" si="16"/>
        <v>237.773</v>
      </c>
      <c r="O72">
        <v>305</v>
      </c>
      <c r="P72">
        <v>330</v>
      </c>
      <c r="Q72">
        <v>0.94699999999999995</v>
      </c>
      <c r="R72">
        <f t="shared" si="18"/>
        <v>-0.93695329015251594</v>
      </c>
    </row>
    <row r="73" spans="1:18" x14ac:dyDescent="0.25">
      <c r="A73">
        <v>711</v>
      </c>
      <c r="B73">
        <v>29</v>
      </c>
      <c r="C73">
        <v>76</v>
      </c>
      <c r="D73">
        <v>21</v>
      </c>
      <c r="E73">
        <v>450</v>
      </c>
      <c r="F73">
        <v>701</v>
      </c>
      <c r="G73" t="s">
        <v>5</v>
      </c>
      <c r="H73" s="1">
        <f t="shared" si="17"/>
        <v>36830.166666666839</v>
      </c>
      <c r="I73">
        <f t="shared" si="12"/>
        <v>2.5634000000000001</v>
      </c>
      <c r="J73">
        <f t="shared" si="13"/>
        <v>6.0696000000000003</v>
      </c>
      <c r="K73">
        <f t="shared" si="14"/>
        <v>1.9999999999997797E-4</v>
      </c>
      <c r="L73">
        <f t="shared" si="15"/>
        <v>-5.5859500000000022</v>
      </c>
      <c r="M73">
        <f t="shared" si="16"/>
        <v>246.14899999999997</v>
      </c>
      <c r="O73">
        <v>305</v>
      </c>
      <c r="P73">
        <v>400</v>
      </c>
      <c r="Q73">
        <v>0.94499999999999995</v>
      </c>
      <c r="R73">
        <f t="shared" si="18"/>
        <v>-0.93528740636014196</v>
      </c>
    </row>
    <row r="74" spans="1:18" x14ac:dyDescent="0.25">
      <c r="A74">
        <v>711</v>
      </c>
      <c r="B74">
        <v>69</v>
      </c>
      <c r="C74">
        <v>168</v>
      </c>
      <c r="D74">
        <v>317</v>
      </c>
      <c r="E74">
        <v>458</v>
      </c>
      <c r="F74">
        <v>701</v>
      </c>
      <c r="G74" t="s">
        <v>5</v>
      </c>
      <c r="H74" s="1">
        <f t="shared" si="17"/>
        <v>36830.187500000175</v>
      </c>
      <c r="I74">
        <f t="shared" si="12"/>
        <v>5.5474000000000006</v>
      </c>
      <c r="J74">
        <f t="shared" si="13"/>
        <v>12.9328</v>
      </c>
      <c r="K74">
        <f t="shared" si="14"/>
        <v>30.251399999999997</v>
      </c>
      <c r="L74">
        <f t="shared" si="15"/>
        <v>-4.8691647200000041</v>
      </c>
      <c r="M74">
        <f t="shared" si="16"/>
        <v>246.14899999999997</v>
      </c>
      <c r="O74">
        <v>305</v>
      </c>
      <c r="P74">
        <v>430</v>
      </c>
      <c r="Q74">
        <v>0.94199999999999995</v>
      </c>
      <c r="R74">
        <f t="shared" si="18"/>
        <v>-0.93356621225341163</v>
      </c>
    </row>
    <row r="75" spans="1:18" x14ac:dyDescent="0.25">
      <c r="A75">
        <v>711</v>
      </c>
      <c r="B75">
        <v>68</v>
      </c>
      <c r="C75">
        <v>168</v>
      </c>
      <c r="D75">
        <v>147</v>
      </c>
      <c r="E75">
        <v>459</v>
      </c>
      <c r="F75">
        <v>713</v>
      </c>
      <c r="G75" t="s">
        <v>5</v>
      </c>
      <c r="H75" s="1">
        <f t="shared" si="17"/>
        <v>36830.20833333351</v>
      </c>
      <c r="I75">
        <f t="shared" si="12"/>
        <v>5.4728000000000003</v>
      </c>
      <c r="J75">
        <f t="shared" si="13"/>
        <v>12.9328</v>
      </c>
      <c r="K75">
        <f t="shared" si="14"/>
        <v>12.877400000000002</v>
      </c>
      <c r="L75">
        <f t="shared" si="15"/>
        <v>-4.7794763800000029</v>
      </c>
      <c r="M75">
        <f t="shared" si="16"/>
        <v>250.33699999999999</v>
      </c>
      <c r="O75">
        <v>305</v>
      </c>
      <c r="P75">
        <v>500</v>
      </c>
      <c r="Q75">
        <v>0.93700000000000006</v>
      </c>
      <c r="R75">
        <f t="shared" si="18"/>
        <v>-0.92876618549492385</v>
      </c>
    </row>
    <row r="76" spans="1:18" x14ac:dyDescent="0.25">
      <c r="A76">
        <v>711</v>
      </c>
      <c r="B76">
        <v>36</v>
      </c>
      <c r="C76">
        <v>120</v>
      </c>
      <c r="D76">
        <v>481</v>
      </c>
      <c r="E76">
        <v>469</v>
      </c>
      <c r="F76">
        <v>661</v>
      </c>
      <c r="G76" t="s">
        <v>5</v>
      </c>
      <c r="H76" s="1">
        <f t="shared" si="17"/>
        <v>36830.229166666846</v>
      </c>
      <c r="I76">
        <f t="shared" si="12"/>
        <v>3.0855999999999999</v>
      </c>
      <c r="J76">
        <f t="shared" si="13"/>
        <v>9.3520000000000003</v>
      </c>
      <c r="K76">
        <f t="shared" si="14"/>
        <v>47.0122</v>
      </c>
      <c r="L76">
        <f t="shared" si="15"/>
        <v>-3.8814907800000031</v>
      </c>
      <c r="M76">
        <f t="shared" si="16"/>
        <v>232.18899999999999</v>
      </c>
      <c r="O76">
        <v>305</v>
      </c>
      <c r="P76">
        <v>530</v>
      </c>
      <c r="Q76">
        <v>0.93700000000000006</v>
      </c>
      <c r="R76">
        <f t="shared" si="18"/>
        <v>-0.93031874451562213</v>
      </c>
    </row>
    <row r="77" spans="1:18" x14ac:dyDescent="0.25">
      <c r="A77">
        <v>711</v>
      </c>
      <c r="B77">
        <v>79</v>
      </c>
      <c r="C77">
        <v>160</v>
      </c>
      <c r="D77">
        <v>934</v>
      </c>
      <c r="E77">
        <v>467</v>
      </c>
      <c r="F77">
        <v>717</v>
      </c>
      <c r="G77" t="s">
        <v>5</v>
      </c>
      <c r="H77" s="1">
        <f t="shared" si="17"/>
        <v>36830.250000000182</v>
      </c>
      <c r="I77">
        <f t="shared" ref="I77:I95" si="19">0.4+0.0746*B77</f>
        <v>6.2934000000000001</v>
      </c>
      <c r="J77">
        <f t="shared" ref="J77:J95" si="20">0.4+0.0746*C77</f>
        <v>12.336</v>
      </c>
      <c r="K77">
        <f t="shared" ref="K77:K95" si="21">-2.146+0.1022*D77</f>
        <v>93.308800000000005</v>
      </c>
      <c r="L77">
        <f t="shared" ref="L77:L95" si="22">-43.84+0.0805*E77+0.00001002*E77^2</f>
        <v>-4.0612482200000048</v>
      </c>
      <c r="M77">
        <f t="shared" ref="M77:M95" si="23">1.5+0.349*F77</f>
        <v>251.73299999999998</v>
      </c>
      <c r="O77">
        <v>305</v>
      </c>
      <c r="P77">
        <v>600</v>
      </c>
      <c r="Q77">
        <v>0.93700000000000006</v>
      </c>
      <c r="R77">
        <f t="shared" si="18"/>
        <v>-0.9300081630151884</v>
      </c>
    </row>
    <row r="78" spans="1:18" x14ac:dyDescent="0.25">
      <c r="A78">
        <v>711</v>
      </c>
      <c r="B78">
        <v>111</v>
      </c>
      <c r="C78">
        <v>300</v>
      </c>
      <c r="D78">
        <v>612</v>
      </c>
      <c r="E78">
        <v>523</v>
      </c>
      <c r="F78">
        <v>585</v>
      </c>
      <c r="H78" s="1">
        <f t="shared" si="17"/>
        <v>36830.270833333518</v>
      </c>
      <c r="I78">
        <f t="shared" si="19"/>
        <v>8.6806000000000001</v>
      </c>
      <c r="J78">
        <f t="shared" si="20"/>
        <v>22.779999999999998</v>
      </c>
      <c r="K78">
        <f t="shared" si="21"/>
        <v>60.400399999999998</v>
      </c>
      <c r="L78">
        <f t="shared" si="22"/>
        <v>1.0022605799999984</v>
      </c>
      <c r="M78">
        <f t="shared" si="23"/>
        <v>205.66499999999999</v>
      </c>
      <c r="O78">
        <v>305</v>
      </c>
      <c r="P78">
        <v>630</v>
      </c>
      <c r="Q78">
        <v>0.95499999999999996</v>
      </c>
      <c r="R78">
        <f t="shared" si="18"/>
        <v>-0.95675047124829993</v>
      </c>
    </row>
    <row r="79" spans="1:18" x14ac:dyDescent="0.25">
      <c r="A79">
        <v>11</v>
      </c>
      <c r="B79">
        <v>83</v>
      </c>
      <c r="C79">
        <v>280</v>
      </c>
      <c r="D79">
        <v>461</v>
      </c>
      <c r="E79">
        <v>510</v>
      </c>
      <c r="F79">
        <v>585</v>
      </c>
      <c r="H79" s="1">
        <f t="shared" si="17"/>
        <v>36830.291666666853</v>
      </c>
      <c r="I79">
        <f t="shared" si="19"/>
        <v>6.5918000000000001</v>
      </c>
      <c r="J79">
        <f t="shared" si="20"/>
        <v>21.287999999999997</v>
      </c>
      <c r="K79">
        <f t="shared" si="21"/>
        <v>44.968199999999996</v>
      </c>
      <c r="L79">
        <f t="shared" si="22"/>
        <v>-0.17879800000000357</v>
      </c>
      <c r="M79">
        <f t="shared" si="23"/>
        <v>205.66499999999999</v>
      </c>
      <c r="O79">
        <v>305</v>
      </c>
      <c r="P79">
        <v>700</v>
      </c>
      <c r="Q79">
        <v>0.95499999999999996</v>
      </c>
      <c r="R79">
        <f t="shared" si="18"/>
        <v>-0.95468738780561491</v>
      </c>
    </row>
    <row r="80" spans="1:18" x14ac:dyDescent="0.25">
      <c r="A80">
        <v>11</v>
      </c>
      <c r="B80">
        <v>166</v>
      </c>
      <c r="C80">
        <v>448</v>
      </c>
      <c r="D80">
        <v>635</v>
      </c>
      <c r="E80">
        <v>520</v>
      </c>
      <c r="F80">
        <v>597</v>
      </c>
      <c r="H80" s="1">
        <f t="shared" si="17"/>
        <v>36830.312500000189</v>
      </c>
      <c r="I80">
        <f t="shared" si="19"/>
        <v>12.7836</v>
      </c>
      <c r="J80">
        <f t="shared" si="20"/>
        <v>33.820799999999998</v>
      </c>
      <c r="K80">
        <f t="shared" si="21"/>
        <v>62.751000000000005</v>
      </c>
      <c r="L80">
        <f t="shared" si="22"/>
        <v>0.72940799999999628</v>
      </c>
      <c r="M80">
        <f t="shared" si="23"/>
        <v>209.85299999999998</v>
      </c>
      <c r="O80">
        <v>305</v>
      </c>
      <c r="P80">
        <v>730</v>
      </c>
      <c r="Q80">
        <v>0.94</v>
      </c>
      <c r="R80">
        <f t="shared" si="18"/>
        <v>-0.94125423101207495</v>
      </c>
    </row>
    <row r="81" spans="1:18" x14ac:dyDescent="0.25">
      <c r="A81">
        <v>11</v>
      </c>
      <c r="B81">
        <v>163</v>
      </c>
      <c r="C81">
        <v>392</v>
      </c>
      <c r="D81">
        <v>641</v>
      </c>
      <c r="E81">
        <v>520</v>
      </c>
      <c r="F81">
        <v>589</v>
      </c>
      <c r="H81" s="1">
        <f t="shared" si="17"/>
        <v>36830.333333333525</v>
      </c>
      <c r="I81">
        <f t="shared" si="19"/>
        <v>12.559800000000001</v>
      </c>
      <c r="J81">
        <f t="shared" si="20"/>
        <v>29.6432</v>
      </c>
      <c r="K81">
        <f t="shared" si="21"/>
        <v>63.364199999999997</v>
      </c>
      <c r="L81">
        <f t="shared" si="22"/>
        <v>0.72940799999999628</v>
      </c>
      <c r="M81">
        <f t="shared" si="23"/>
        <v>207.06099999999998</v>
      </c>
      <c r="O81">
        <v>305</v>
      </c>
      <c r="P81">
        <v>800</v>
      </c>
      <c r="Q81">
        <v>0.97</v>
      </c>
      <c r="R81">
        <f t="shared" si="18"/>
        <v>-0.9712942596613966</v>
      </c>
    </row>
    <row r="82" spans="1:18" x14ac:dyDescent="0.25">
      <c r="A82">
        <v>11</v>
      </c>
      <c r="B82">
        <v>177</v>
      </c>
      <c r="C82">
        <v>404</v>
      </c>
      <c r="D82">
        <v>574</v>
      </c>
      <c r="E82">
        <v>519</v>
      </c>
      <c r="F82">
        <v>446</v>
      </c>
      <c r="H82" s="1">
        <f t="shared" si="17"/>
        <v>36830.354166666861</v>
      </c>
      <c r="I82">
        <f t="shared" si="19"/>
        <v>13.604200000000001</v>
      </c>
      <c r="J82">
        <f t="shared" si="20"/>
        <v>30.538399999999999</v>
      </c>
      <c r="K82">
        <f t="shared" si="21"/>
        <v>56.516799999999996</v>
      </c>
      <c r="L82">
        <f t="shared" si="22"/>
        <v>0.63849721999999565</v>
      </c>
      <c r="M82">
        <f t="shared" si="23"/>
        <v>157.154</v>
      </c>
      <c r="O82">
        <v>305</v>
      </c>
      <c r="P82">
        <v>830</v>
      </c>
      <c r="Q82">
        <v>0.95199999999999996</v>
      </c>
      <c r="R82">
        <f t="shared" si="18"/>
        <v>-0.95311201638472354</v>
      </c>
    </row>
    <row r="83" spans="1:18" x14ac:dyDescent="0.25">
      <c r="A83">
        <v>11</v>
      </c>
      <c r="B83">
        <v>109</v>
      </c>
      <c r="C83">
        <v>348</v>
      </c>
      <c r="D83">
        <v>683</v>
      </c>
      <c r="E83">
        <v>549</v>
      </c>
      <c r="F83">
        <v>306</v>
      </c>
      <c r="H83" s="1">
        <f t="shared" si="17"/>
        <v>36830.375000000196</v>
      </c>
      <c r="I83">
        <f t="shared" si="19"/>
        <v>8.5313999999999997</v>
      </c>
      <c r="J83">
        <f t="shared" si="20"/>
        <v>26.360799999999998</v>
      </c>
      <c r="K83">
        <f t="shared" si="21"/>
        <v>67.656599999999997</v>
      </c>
      <c r="L83">
        <f t="shared" si="22"/>
        <v>3.3745380199999948</v>
      </c>
      <c r="M83">
        <f t="shared" si="23"/>
        <v>108.294</v>
      </c>
      <c r="O83">
        <v>305</v>
      </c>
      <c r="P83">
        <v>900</v>
      </c>
      <c r="Q83">
        <v>0.94199999999999995</v>
      </c>
      <c r="R83">
        <f t="shared" si="18"/>
        <v>-0.94780094655328961</v>
      </c>
    </row>
    <row r="84" spans="1:18" x14ac:dyDescent="0.25">
      <c r="A84">
        <v>11</v>
      </c>
      <c r="B84">
        <v>90</v>
      </c>
      <c r="C84">
        <v>388</v>
      </c>
      <c r="D84">
        <v>586</v>
      </c>
      <c r="E84">
        <v>534</v>
      </c>
      <c r="F84">
        <v>378</v>
      </c>
      <c r="H84" s="1">
        <f t="shared" si="17"/>
        <v>36830.395833333532</v>
      </c>
      <c r="I84">
        <f t="shared" si="19"/>
        <v>7.1140000000000008</v>
      </c>
      <c r="J84">
        <f t="shared" si="20"/>
        <v>29.344799999999999</v>
      </c>
      <c r="K84">
        <f t="shared" si="21"/>
        <v>57.743200000000002</v>
      </c>
      <c r="L84">
        <f t="shared" si="22"/>
        <v>2.0042631199999987</v>
      </c>
      <c r="M84">
        <f t="shared" si="23"/>
        <v>133.422</v>
      </c>
      <c r="O84">
        <v>305</v>
      </c>
      <c r="P84">
        <v>930</v>
      </c>
      <c r="Q84">
        <v>0.93700000000000006</v>
      </c>
      <c r="R84">
        <f t="shared" si="18"/>
        <v>-0.94043137861162895</v>
      </c>
    </row>
    <row r="85" spans="1:18" x14ac:dyDescent="0.25">
      <c r="A85">
        <v>11</v>
      </c>
      <c r="B85">
        <v>117</v>
      </c>
      <c r="C85">
        <v>352</v>
      </c>
      <c r="D85">
        <v>129</v>
      </c>
      <c r="E85">
        <v>561</v>
      </c>
      <c r="F85">
        <v>336</v>
      </c>
      <c r="H85" s="1">
        <f t="shared" si="17"/>
        <v>36830.416666666868</v>
      </c>
      <c r="I85">
        <f t="shared" si="19"/>
        <v>9.1281999999999996</v>
      </c>
      <c r="J85">
        <f t="shared" si="20"/>
        <v>26.659199999999998</v>
      </c>
      <c r="K85">
        <f t="shared" si="21"/>
        <v>11.037800000000001</v>
      </c>
      <c r="L85">
        <f t="shared" si="22"/>
        <v>4.4740044199999964</v>
      </c>
      <c r="M85">
        <f t="shared" si="23"/>
        <v>118.764</v>
      </c>
      <c r="O85">
        <v>305</v>
      </c>
      <c r="P85">
        <v>1000</v>
      </c>
      <c r="Q85">
        <v>0.93700000000000006</v>
      </c>
      <c r="R85">
        <f t="shared" si="18"/>
        <v>-0.9446425319781675</v>
      </c>
    </row>
    <row r="86" spans="1:18" x14ac:dyDescent="0.25">
      <c r="A86">
        <v>11</v>
      </c>
      <c r="B86">
        <v>146</v>
      </c>
      <c r="C86">
        <v>396</v>
      </c>
      <c r="D86">
        <v>613</v>
      </c>
      <c r="E86">
        <v>574</v>
      </c>
      <c r="F86">
        <v>404</v>
      </c>
      <c r="H86" s="1">
        <f t="shared" si="17"/>
        <v>36830.437500000204</v>
      </c>
      <c r="I86">
        <f t="shared" si="19"/>
        <v>11.291600000000001</v>
      </c>
      <c r="J86">
        <f t="shared" si="20"/>
        <v>29.941599999999998</v>
      </c>
      <c r="K86">
        <f t="shared" si="21"/>
        <v>60.502600000000001</v>
      </c>
      <c r="L86">
        <f t="shared" si="22"/>
        <v>5.6683495199999978</v>
      </c>
      <c r="M86">
        <f t="shared" si="23"/>
        <v>142.49599999999998</v>
      </c>
      <c r="O86">
        <v>305</v>
      </c>
      <c r="P86">
        <v>1030</v>
      </c>
      <c r="Q86">
        <v>0.92200000000000004</v>
      </c>
      <c r="R86">
        <f t="shared" si="18"/>
        <v>-0.93151744947676562</v>
      </c>
    </row>
    <row r="87" spans="1:18" x14ac:dyDescent="0.25">
      <c r="A87">
        <v>11</v>
      </c>
      <c r="B87">
        <v>163</v>
      </c>
      <c r="C87">
        <v>440</v>
      </c>
      <c r="D87">
        <v>683</v>
      </c>
      <c r="E87">
        <v>553</v>
      </c>
      <c r="F87">
        <v>496</v>
      </c>
      <c r="H87" s="1">
        <f t="shared" si="17"/>
        <v>36830.458333333539</v>
      </c>
      <c r="I87">
        <f t="shared" si="19"/>
        <v>12.559800000000001</v>
      </c>
      <c r="J87">
        <f t="shared" si="20"/>
        <v>33.223999999999997</v>
      </c>
      <c r="K87">
        <f t="shared" si="21"/>
        <v>67.656599999999997</v>
      </c>
      <c r="L87">
        <f t="shared" si="22"/>
        <v>3.7407061799999974</v>
      </c>
      <c r="M87">
        <f t="shared" si="23"/>
        <v>174.60399999999998</v>
      </c>
      <c r="O87">
        <v>305</v>
      </c>
      <c r="P87">
        <v>1100</v>
      </c>
      <c r="Q87">
        <v>0.91500000000000004</v>
      </c>
      <c r="R87">
        <f t="shared" si="18"/>
        <v>-0.921244018574499</v>
      </c>
    </row>
    <row r="88" spans="1:18" x14ac:dyDescent="0.25">
      <c r="A88">
        <v>11</v>
      </c>
      <c r="B88">
        <v>162</v>
      </c>
      <c r="C88">
        <v>392</v>
      </c>
      <c r="D88">
        <v>644</v>
      </c>
      <c r="E88">
        <v>564</v>
      </c>
      <c r="F88">
        <v>519</v>
      </c>
      <c r="G88" t="s">
        <v>5</v>
      </c>
      <c r="H88" s="1">
        <f t="shared" si="17"/>
        <v>36830.479166666875</v>
      </c>
      <c r="I88">
        <f t="shared" si="19"/>
        <v>12.485200000000001</v>
      </c>
      <c r="J88">
        <f t="shared" si="20"/>
        <v>29.6432</v>
      </c>
      <c r="K88">
        <f t="shared" si="21"/>
        <v>63.6708</v>
      </c>
      <c r="L88">
        <f t="shared" si="22"/>
        <v>4.7493219199999981</v>
      </c>
      <c r="M88">
        <f t="shared" si="23"/>
        <v>182.631</v>
      </c>
      <c r="O88">
        <v>305</v>
      </c>
      <c r="P88">
        <v>1130</v>
      </c>
      <c r="Q88">
        <v>0.92500000000000004</v>
      </c>
      <c r="R88">
        <f t="shared" si="18"/>
        <v>-0.93300693931571366</v>
      </c>
    </row>
    <row r="89" spans="1:18" x14ac:dyDescent="0.25">
      <c r="A89">
        <v>11</v>
      </c>
      <c r="B89">
        <v>117</v>
      </c>
      <c r="C89">
        <v>364</v>
      </c>
      <c r="D89">
        <v>204</v>
      </c>
      <c r="E89">
        <v>522</v>
      </c>
      <c r="F89">
        <v>561</v>
      </c>
      <c r="G89" t="s">
        <v>5</v>
      </c>
      <c r="H89" s="1">
        <f t="shared" si="17"/>
        <v>36830.500000000211</v>
      </c>
      <c r="I89">
        <f t="shared" si="19"/>
        <v>9.1281999999999996</v>
      </c>
      <c r="J89">
        <f t="shared" si="20"/>
        <v>27.554399999999998</v>
      </c>
      <c r="K89">
        <f t="shared" si="21"/>
        <v>18.7028</v>
      </c>
      <c r="L89">
        <f t="shared" si="22"/>
        <v>0.91128967999999766</v>
      </c>
      <c r="M89">
        <f t="shared" si="23"/>
        <v>197.28899999999999</v>
      </c>
      <c r="O89">
        <v>305</v>
      </c>
      <c r="P89">
        <v>1200</v>
      </c>
      <c r="Q89">
        <v>0.91500000000000004</v>
      </c>
      <c r="R89">
        <f t="shared" si="18"/>
        <v>-0.91652505171857845</v>
      </c>
    </row>
    <row r="90" spans="1:18" x14ac:dyDescent="0.25">
      <c r="A90">
        <v>11</v>
      </c>
      <c r="B90">
        <v>145</v>
      </c>
      <c r="C90">
        <v>380</v>
      </c>
      <c r="D90">
        <v>627</v>
      </c>
      <c r="E90">
        <v>577</v>
      </c>
      <c r="F90">
        <v>502</v>
      </c>
      <c r="G90" t="s">
        <v>5</v>
      </c>
      <c r="H90" s="1">
        <f t="shared" si="17"/>
        <v>36830.520833333547</v>
      </c>
      <c r="I90">
        <f t="shared" si="19"/>
        <v>11.217000000000001</v>
      </c>
      <c r="J90">
        <f t="shared" si="20"/>
        <v>28.747999999999998</v>
      </c>
      <c r="K90">
        <f t="shared" si="21"/>
        <v>61.933399999999992</v>
      </c>
      <c r="L90">
        <f t="shared" si="22"/>
        <v>5.9444485799999995</v>
      </c>
      <c r="M90">
        <f t="shared" si="23"/>
        <v>176.69799999999998</v>
      </c>
      <c r="O90">
        <v>305</v>
      </c>
      <c r="P90">
        <v>1230</v>
      </c>
      <c r="Q90">
        <v>0.90700000000000003</v>
      </c>
      <c r="R90">
        <f t="shared" si="18"/>
        <v>-0.91681621071602926</v>
      </c>
    </row>
    <row r="91" spans="1:18" x14ac:dyDescent="0.25">
      <c r="A91">
        <v>11</v>
      </c>
      <c r="B91">
        <v>198</v>
      </c>
      <c r="C91">
        <v>388</v>
      </c>
      <c r="D91">
        <v>640</v>
      </c>
      <c r="E91">
        <v>563</v>
      </c>
      <c r="F91">
        <v>517</v>
      </c>
      <c r="G91" t="s">
        <v>5</v>
      </c>
      <c r="H91" s="1">
        <f t="shared" si="17"/>
        <v>36830.541666666883</v>
      </c>
      <c r="I91">
        <f t="shared" si="19"/>
        <v>15.1708</v>
      </c>
      <c r="J91">
        <f t="shared" si="20"/>
        <v>29.344799999999999</v>
      </c>
      <c r="K91">
        <f t="shared" si="21"/>
        <v>63.262</v>
      </c>
      <c r="L91">
        <f t="shared" si="22"/>
        <v>4.6575293799999971</v>
      </c>
      <c r="M91">
        <f t="shared" si="23"/>
        <v>181.93299999999999</v>
      </c>
      <c r="O91">
        <v>305</v>
      </c>
      <c r="P91">
        <v>1300</v>
      </c>
      <c r="Q91">
        <v>0.94199999999999995</v>
      </c>
      <c r="R91">
        <f t="shared" si="18"/>
        <v>-0.94999715887462921</v>
      </c>
    </row>
    <row r="92" spans="1:18" x14ac:dyDescent="0.25">
      <c r="A92">
        <v>11</v>
      </c>
      <c r="B92">
        <v>203</v>
      </c>
      <c r="C92">
        <v>392</v>
      </c>
      <c r="D92">
        <v>0</v>
      </c>
      <c r="E92">
        <v>591</v>
      </c>
      <c r="F92">
        <v>446</v>
      </c>
      <c r="G92" t="s">
        <v>5</v>
      </c>
      <c r="H92" s="1">
        <f t="shared" si="17"/>
        <v>36830.562500000218</v>
      </c>
      <c r="I92">
        <f t="shared" si="19"/>
        <v>15.543800000000001</v>
      </c>
      <c r="J92">
        <f t="shared" si="20"/>
        <v>29.6432</v>
      </c>
      <c r="K92">
        <f t="shared" si="21"/>
        <v>-2.1459999999999999</v>
      </c>
      <c r="L92">
        <f t="shared" si="22"/>
        <v>7.2352956199999952</v>
      </c>
      <c r="M92">
        <f t="shared" si="23"/>
        <v>157.154</v>
      </c>
      <c r="O92">
        <v>305</v>
      </c>
      <c r="P92">
        <v>1330</v>
      </c>
      <c r="Q92">
        <v>0.872</v>
      </c>
      <c r="R92">
        <f t="shared" si="18"/>
        <v>-0.88347344349994095</v>
      </c>
    </row>
    <row r="93" spans="1:18" x14ac:dyDescent="0.25">
      <c r="A93">
        <v>11</v>
      </c>
      <c r="B93">
        <v>77</v>
      </c>
      <c r="C93">
        <v>244</v>
      </c>
      <c r="D93">
        <v>204</v>
      </c>
      <c r="E93">
        <v>521</v>
      </c>
      <c r="F93">
        <v>641</v>
      </c>
      <c r="G93" t="s">
        <v>5</v>
      </c>
      <c r="H93" s="1">
        <f t="shared" si="17"/>
        <v>36830.583333333554</v>
      </c>
      <c r="I93">
        <f t="shared" si="19"/>
        <v>6.1442000000000005</v>
      </c>
      <c r="J93">
        <f t="shared" si="20"/>
        <v>18.602399999999999</v>
      </c>
      <c r="K93">
        <f t="shared" si="21"/>
        <v>18.7028</v>
      </c>
      <c r="L93">
        <f t="shared" si="22"/>
        <v>0.8203388199999968</v>
      </c>
      <c r="M93">
        <f t="shared" si="23"/>
        <v>225.20899999999997</v>
      </c>
      <c r="O93">
        <v>305</v>
      </c>
      <c r="P93">
        <v>1400</v>
      </c>
      <c r="Q93">
        <v>0.877</v>
      </c>
      <c r="R93">
        <f t="shared" si="18"/>
        <v>-0.87831593957830845</v>
      </c>
    </row>
    <row r="94" spans="1:18" x14ac:dyDescent="0.25">
      <c r="A94">
        <v>11</v>
      </c>
      <c r="B94">
        <v>60</v>
      </c>
      <c r="C94">
        <v>160</v>
      </c>
      <c r="D94">
        <v>19</v>
      </c>
      <c r="E94">
        <v>528</v>
      </c>
      <c r="F94">
        <v>621</v>
      </c>
      <c r="G94" t="s">
        <v>5</v>
      </c>
      <c r="H94" s="1">
        <f t="shared" si="17"/>
        <v>36830.60416666689</v>
      </c>
      <c r="I94">
        <f t="shared" si="19"/>
        <v>4.8760000000000003</v>
      </c>
      <c r="J94">
        <f t="shared" si="20"/>
        <v>12.336</v>
      </c>
      <c r="K94">
        <f t="shared" si="21"/>
        <v>-0.20419999999999994</v>
      </c>
      <c r="L94">
        <f t="shared" si="22"/>
        <v>1.4574156799999947</v>
      </c>
      <c r="M94">
        <f t="shared" si="23"/>
        <v>218.22899999999998</v>
      </c>
      <c r="O94">
        <v>305</v>
      </c>
      <c r="P94">
        <v>1430</v>
      </c>
      <c r="Q94">
        <v>0.89</v>
      </c>
      <c r="R94">
        <f t="shared" si="18"/>
        <v>-0.89237117766456542</v>
      </c>
    </row>
    <row r="95" spans="1:18" x14ac:dyDescent="0.25">
      <c r="A95">
        <v>11</v>
      </c>
      <c r="B95">
        <v>43</v>
      </c>
      <c r="C95">
        <v>148</v>
      </c>
      <c r="D95">
        <v>287</v>
      </c>
      <c r="E95">
        <v>524</v>
      </c>
      <c r="F95">
        <v>681</v>
      </c>
      <c r="G95" t="s">
        <v>5</v>
      </c>
      <c r="H95" s="1">
        <f t="shared" si="17"/>
        <v>36830.625000000226</v>
      </c>
      <c r="I95">
        <f t="shared" si="19"/>
        <v>3.6077999999999997</v>
      </c>
      <c r="J95">
        <f t="shared" si="20"/>
        <v>11.440800000000001</v>
      </c>
      <c r="K95">
        <f t="shared" si="21"/>
        <v>27.185399999999998</v>
      </c>
      <c r="L95">
        <f t="shared" si="22"/>
        <v>1.093251519999999</v>
      </c>
      <c r="M95">
        <f t="shared" si="23"/>
        <v>239.16899999999998</v>
      </c>
      <c r="O95">
        <v>305</v>
      </c>
      <c r="P95">
        <v>1500</v>
      </c>
      <c r="Q95">
        <v>0.89</v>
      </c>
      <c r="R95">
        <f t="shared" si="18"/>
        <v>-0.89177928285227481</v>
      </c>
    </row>
    <row r="96" spans="1:18" x14ac:dyDescent="0.25">
      <c r="A96">
        <v>11</v>
      </c>
      <c r="B96">
        <v>46</v>
      </c>
      <c r="C96">
        <v>128</v>
      </c>
      <c r="D96">
        <v>462</v>
      </c>
      <c r="E96">
        <v>515</v>
      </c>
      <c r="F96">
        <v>749</v>
      </c>
      <c r="G96" t="s">
        <v>5</v>
      </c>
      <c r="H96" s="1">
        <f t="shared" si="17"/>
        <v>36830.645833333561</v>
      </c>
      <c r="I96">
        <f>0.4+0.0746*B96</f>
        <v>3.8315999999999999</v>
      </c>
      <c r="J96">
        <f>0.4+0.0746*C96</f>
        <v>9.9488000000000003</v>
      </c>
      <c r="K96">
        <f>-2.146+0.1022*D96</f>
        <v>45.070399999999999</v>
      </c>
      <c r="L96">
        <f>-43.84+0.0805*E96+0.00001002*E96^2</f>
        <v>0.27505449999999998</v>
      </c>
      <c r="M96">
        <f>1.5+0.349*F96</f>
        <v>262.90100000000001</v>
      </c>
      <c r="O96">
        <v>305</v>
      </c>
      <c r="P96">
        <v>1530</v>
      </c>
      <c r="Q96">
        <v>0.89</v>
      </c>
      <c r="R96">
        <f t="shared" si="18"/>
        <v>-0.89044798994998431</v>
      </c>
    </row>
    <row r="97" spans="1:18" x14ac:dyDescent="0.25">
      <c r="A97">
        <v>11</v>
      </c>
      <c r="B97">
        <v>60</v>
      </c>
      <c r="C97">
        <v>204</v>
      </c>
      <c r="D97">
        <v>465</v>
      </c>
      <c r="E97">
        <v>537</v>
      </c>
      <c r="F97">
        <v>653</v>
      </c>
      <c r="G97" t="s">
        <v>5</v>
      </c>
      <c r="H97" s="1">
        <f t="shared" si="17"/>
        <v>36830.666666666897</v>
      </c>
      <c r="I97">
        <f>0.4+0.0746*B97</f>
        <v>4.8760000000000003</v>
      </c>
      <c r="J97">
        <f>0.4+0.0746*C97</f>
        <v>15.618399999999999</v>
      </c>
      <c r="K97">
        <f>-2.146+0.1022*D97</f>
        <v>45.376999999999995</v>
      </c>
      <c r="L97">
        <f>-43.84+0.0805*E97+0.00001002*E97^2</f>
        <v>2.2779573800000006</v>
      </c>
      <c r="M97">
        <f>1.5+0.349*F97</f>
        <v>229.39699999999999</v>
      </c>
      <c r="O97">
        <v>305</v>
      </c>
      <c r="P97">
        <v>1600</v>
      </c>
      <c r="Q97">
        <v>0.89200000000000002</v>
      </c>
      <c r="R97">
        <f t="shared" si="18"/>
        <v>-0.89571173197299947</v>
      </c>
    </row>
    <row r="98" spans="1:18" x14ac:dyDescent="0.25">
      <c r="A98">
        <v>11</v>
      </c>
      <c r="B98">
        <v>68</v>
      </c>
      <c r="C98">
        <v>200</v>
      </c>
      <c r="D98">
        <v>656</v>
      </c>
      <c r="E98">
        <v>569</v>
      </c>
      <c r="F98">
        <v>529</v>
      </c>
      <c r="G98" t="s">
        <v>5</v>
      </c>
      <c r="H98" s="1">
        <f t="shared" si="17"/>
        <v>36830.687500000233</v>
      </c>
      <c r="I98">
        <f t="shared" ref="I98:I124" si="24">0.4+0.0746*B98</f>
        <v>5.4728000000000003</v>
      </c>
      <c r="J98">
        <f t="shared" ref="J98:J124" si="25">0.4+0.0746*C98</f>
        <v>15.32</v>
      </c>
      <c r="K98">
        <f t="shared" ref="K98:K124" si="26">-2.146+0.1022*D98</f>
        <v>64.897199999999998</v>
      </c>
      <c r="L98">
        <f t="shared" ref="L98:L124" si="27">-43.84+0.0805*E98+0.00001002*E98^2</f>
        <v>5.2085852200000016</v>
      </c>
      <c r="M98">
        <f t="shared" ref="M98:M124" si="28">1.5+0.349*F98</f>
        <v>186.12099999999998</v>
      </c>
      <c r="O98">
        <v>305</v>
      </c>
      <c r="P98">
        <v>1630</v>
      </c>
      <c r="Q98">
        <v>0.89500000000000002</v>
      </c>
      <c r="R98">
        <f t="shared" si="18"/>
        <v>-0.90349289808973732</v>
      </c>
    </row>
    <row r="99" spans="1:18" x14ac:dyDescent="0.25">
      <c r="A99">
        <v>1</v>
      </c>
      <c r="B99">
        <v>64</v>
      </c>
      <c r="C99">
        <v>180</v>
      </c>
      <c r="D99">
        <v>562</v>
      </c>
      <c r="E99">
        <v>558</v>
      </c>
      <c r="F99">
        <v>573</v>
      </c>
      <c r="G99" t="s">
        <v>5</v>
      </c>
      <c r="H99" s="1">
        <f t="shared" si="17"/>
        <v>36830.708333333569</v>
      </c>
      <c r="I99">
        <f t="shared" si="24"/>
        <v>5.1744000000000003</v>
      </c>
      <c r="J99">
        <f t="shared" si="25"/>
        <v>13.828000000000001</v>
      </c>
      <c r="K99">
        <f t="shared" si="26"/>
        <v>55.290399999999998</v>
      </c>
      <c r="L99">
        <f t="shared" si="27"/>
        <v>4.1988672800000009</v>
      </c>
      <c r="M99">
        <f t="shared" si="28"/>
        <v>201.47699999999998</v>
      </c>
      <c r="O99">
        <v>305</v>
      </c>
      <c r="P99">
        <v>1700</v>
      </c>
      <c r="Q99">
        <v>0.88700000000000001</v>
      </c>
      <c r="R99">
        <f t="shared" si="18"/>
        <v>-0.89379149070258324</v>
      </c>
    </row>
    <row r="100" spans="1:18" x14ac:dyDescent="0.25">
      <c r="A100">
        <v>1</v>
      </c>
      <c r="B100">
        <v>66</v>
      </c>
      <c r="C100">
        <v>216</v>
      </c>
      <c r="D100">
        <v>1005</v>
      </c>
      <c r="E100">
        <v>517</v>
      </c>
      <c r="F100">
        <v>765</v>
      </c>
      <c r="G100" t="s">
        <v>5</v>
      </c>
      <c r="H100" s="1">
        <f t="shared" si="17"/>
        <v>36830.729166666904</v>
      </c>
      <c r="I100">
        <f t="shared" si="24"/>
        <v>5.3236000000000008</v>
      </c>
      <c r="J100">
        <f t="shared" si="25"/>
        <v>16.513599999999997</v>
      </c>
      <c r="K100">
        <f t="shared" si="26"/>
        <v>100.565</v>
      </c>
      <c r="L100">
        <f t="shared" si="27"/>
        <v>0.45673578000000115</v>
      </c>
      <c r="M100">
        <f t="shared" si="28"/>
        <v>268.48499999999996</v>
      </c>
      <c r="O100">
        <v>305</v>
      </c>
      <c r="P100">
        <v>1730</v>
      </c>
      <c r="Q100">
        <v>0.88500000000000001</v>
      </c>
      <c r="R100">
        <f t="shared" si="18"/>
        <v>-0.88573959790487444</v>
      </c>
    </row>
    <row r="101" spans="1:18" x14ac:dyDescent="0.25">
      <c r="A101">
        <v>1</v>
      </c>
      <c r="B101">
        <v>41</v>
      </c>
      <c r="C101">
        <v>140</v>
      </c>
      <c r="D101">
        <v>7</v>
      </c>
      <c r="E101">
        <v>506</v>
      </c>
      <c r="F101">
        <v>841</v>
      </c>
      <c r="G101" t="s">
        <v>5</v>
      </c>
      <c r="H101" s="1">
        <f t="shared" si="17"/>
        <v>36830.75000000024</v>
      </c>
      <c r="I101">
        <f t="shared" si="24"/>
        <v>3.4586000000000001</v>
      </c>
      <c r="J101">
        <f t="shared" si="25"/>
        <v>10.843999999999999</v>
      </c>
      <c r="K101">
        <f t="shared" si="26"/>
        <v>-1.4305999999999999</v>
      </c>
      <c r="L101">
        <f t="shared" si="27"/>
        <v>-0.54151927999999927</v>
      </c>
      <c r="M101">
        <f t="shared" si="28"/>
        <v>295.00899999999996</v>
      </c>
      <c r="O101">
        <v>305</v>
      </c>
      <c r="P101">
        <v>1800</v>
      </c>
      <c r="Q101">
        <v>0.89200000000000002</v>
      </c>
      <c r="R101">
        <f t="shared" si="18"/>
        <v>-0.89111536730840135</v>
      </c>
    </row>
    <row r="102" spans="1:18" x14ac:dyDescent="0.25">
      <c r="A102">
        <v>1</v>
      </c>
      <c r="B102">
        <v>31</v>
      </c>
      <c r="C102">
        <v>84</v>
      </c>
      <c r="D102">
        <v>264</v>
      </c>
      <c r="E102">
        <v>508</v>
      </c>
      <c r="F102">
        <v>824</v>
      </c>
      <c r="G102" t="s">
        <v>5</v>
      </c>
      <c r="H102" s="1">
        <f t="shared" si="17"/>
        <v>36830.770833333576</v>
      </c>
      <c r="I102">
        <f t="shared" si="24"/>
        <v>2.7125999999999997</v>
      </c>
      <c r="J102">
        <f t="shared" si="25"/>
        <v>6.6664000000000003</v>
      </c>
      <c r="K102">
        <f t="shared" si="26"/>
        <v>24.834799999999998</v>
      </c>
      <c r="L102">
        <f t="shared" si="27"/>
        <v>-0.36019872000000497</v>
      </c>
      <c r="M102">
        <f t="shared" si="28"/>
        <v>289.07599999999996</v>
      </c>
      <c r="O102">
        <v>305</v>
      </c>
      <c r="P102">
        <v>1830</v>
      </c>
      <c r="Q102">
        <v>0.89200000000000002</v>
      </c>
      <c r="R102">
        <f t="shared" si="18"/>
        <v>-0.89141167261471765</v>
      </c>
    </row>
    <row r="103" spans="1:18" x14ac:dyDescent="0.25">
      <c r="A103">
        <v>1</v>
      </c>
      <c r="B103">
        <v>63</v>
      </c>
      <c r="C103">
        <v>192</v>
      </c>
      <c r="D103">
        <v>889</v>
      </c>
      <c r="E103">
        <v>504</v>
      </c>
      <c r="F103">
        <v>856</v>
      </c>
      <c r="G103" t="s">
        <v>5</v>
      </c>
      <c r="H103" s="1">
        <f t="shared" si="17"/>
        <v>36830.791666666912</v>
      </c>
      <c r="I103">
        <f t="shared" si="24"/>
        <v>5.0998000000000001</v>
      </c>
      <c r="J103">
        <f t="shared" si="25"/>
        <v>14.7232</v>
      </c>
      <c r="K103">
        <f t="shared" si="26"/>
        <v>88.709800000000001</v>
      </c>
      <c r="L103">
        <f t="shared" si="27"/>
        <v>-0.72275968000000068</v>
      </c>
      <c r="M103">
        <f t="shared" si="28"/>
        <v>300.24399999999997</v>
      </c>
      <c r="O103">
        <v>305</v>
      </c>
      <c r="P103">
        <v>1900</v>
      </c>
      <c r="Q103">
        <v>0.89200000000000002</v>
      </c>
      <c r="R103">
        <f t="shared" si="18"/>
        <v>-0.89081909450361696</v>
      </c>
    </row>
    <row r="104" spans="1:18" x14ac:dyDescent="0.25">
      <c r="A104">
        <v>1</v>
      </c>
      <c r="B104">
        <v>49</v>
      </c>
      <c r="C104">
        <v>168</v>
      </c>
      <c r="D104">
        <v>701</v>
      </c>
      <c r="E104">
        <v>514</v>
      </c>
      <c r="F104">
        <v>737</v>
      </c>
      <c r="G104" t="s">
        <v>5</v>
      </c>
      <c r="H104" s="1">
        <f t="shared" si="17"/>
        <v>36830.812500000247</v>
      </c>
      <c r="I104">
        <f t="shared" si="24"/>
        <v>4.0554000000000006</v>
      </c>
      <c r="J104">
        <f t="shared" si="25"/>
        <v>12.9328</v>
      </c>
      <c r="K104">
        <f t="shared" si="26"/>
        <v>69.496200000000002</v>
      </c>
      <c r="L104">
        <f t="shared" si="27"/>
        <v>0.18424391999999923</v>
      </c>
      <c r="M104">
        <f t="shared" si="28"/>
        <v>258.71299999999997</v>
      </c>
      <c r="O104">
        <v>305</v>
      </c>
      <c r="P104">
        <v>1930</v>
      </c>
      <c r="Q104">
        <v>0.89500000000000002</v>
      </c>
      <c r="R104">
        <f t="shared" si="18"/>
        <v>-0.89530179482181238</v>
      </c>
    </row>
    <row r="105" spans="1:18" x14ac:dyDescent="0.25">
      <c r="A105">
        <v>1</v>
      </c>
      <c r="B105">
        <v>65</v>
      </c>
      <c r="C105">
        <v>192</v>
      </c>
      <c r="D105">
        <v>988</v>
      </c>
      <c r="E105">
        <v>502</v>
      </c>
      <c r="F105">
        <v>833</v>
      </c>
      <c r="G105" t="s">
        <v>5</v>
      </c>
      <c r="H105" s="1">
        <f>H104+1/48</f>
        <v>36830.833333333583</v>
      </c>
      <c r="I105">
        <f t="shared" si="24"/>
        <v>5.2490000000000006</v>
      </c>
      <c r="J105">
        <f t="shared" si="25"/>
        <v>14.7232</v>
      </c>
      <c r="K105">
        <f t="shared" si="26"/>
        <v>98.827600000000004</v>
      </c>
      <c r="L105">
        <f t="shared" si="27"/>
        <v>-0.9039199200000021</v>
      </c>
      <c r="M105">
        <f t="shared" si="28"/>
        <v>292.21699999999998</v>
      </c>
      <c r="O105">
        <v>305</v>
      </c>
      <c r="P105">
        <v>2000</v>
      </c>
      <c r="Q105">
        <v>0.89500000000000002</v>
      </c>
      <c r="R105">
        <f t="shared" si="18"/>
        <v>-0.89351788625376616</v>
      </c>
    </row>
    <row r="106" spans="1:18" x14ac:dyDescent="0.25">
      <c r="A106">
        <v>1</v>
      </c>
      <c r="B106">
        <v>44</v>
      </c>
      <c r="C106">
        <v>228</v>
      </c>
      <c r="D106">
        <v>602</v>
      </c>
      <c r="E106">
        <v>534</v>
      </c>
      <c r="F106">
        <v>617</v>
      </c>
      <c r="G106" t="s">
        <v>5</v>
      </c>
      <c r="H106" s="1">
        <f t="shared" si="17"/>
        <v>36830.854166666919</v>
      </c>
      <c r="I106">
        <f t="shared" si="24"/>
        <v>3.6823999999999999</v>
      </c>
      <c r="J106">
        <f t="shared" si="25"/>
        <v>17.408799999999999</v>
      </c>
      <c r="K106">
        <f t="shared" si="26"/>
        <v>59.378399999999999</v>
      </c>
      <c r="L106">
        <f t="shared" si="27"/>
        <v>2.0042631199999987</v>
      </c>
      <c r="M106">
        <f t="shared" si="28"/>
        <v>216.833</v>
      </c>
      <c r="O106">
        <v>305</v>
      </c>
      <c r="P106">
        <v>2030</v>
      </c>
      <c r="Q106">
        <v>0.89500000000000002</v>
      </c>
      <c r="R106">
        <f t="shared" si="18"/>
        <v>-0.89827757081900517</v>
      </c>
    </row>
    <row r="107" spans="1:18" x14ac:dyDescent="0.25">
      <c r="A107">
        <v>1</v>
      </c>
      <c r="B107">
        <v>51</v>
      </c>
      <c r="C107">
        <v>152</v>
      </c>
      <c r="D107">
        <v>11</v>
      </c>
      <c r="E107">
        <v>500</v>
      </c>
      <c r="F107">
        <v>817</v>
      </c>
      <c r="G107" t="s">
        <v>5</v>
      </c>
      <c r="H107" s="1">
        <f t="shared" si="17"/>
        <v>36830.875000000255</v>
      </c>
      <c r="I107">
        <f t="shared" si="24"/>
        <v>4.2046000000000001</v>
      </c>
      <c r="J107">
        <f t="shared" si="25"/>
        <v>11.7392</v>
      </c>
      <c r="K107">
        <f t="shared" si="26"/>
        <v>-1.0217999999999998</v>
      </c>
      <c r="L107">
        <f t="shared" si="27"/>
        <v>-1.0850000000000031</v>
      </c>
      <c r="M107">
        <f t="shared" si="28"/>
        <v>286.63299999999998</v>
      </c>
      <c r="O107">
        <v>305</v>
      </c>
      <c r="P107">
        <v>2100</v>
      </c>
      <c r="Q107">
        <v>0.89200000000000002</v>
      </c>
      <c r="R107">
        <f t="shared" si="18"/>
        <v>-0.89022664652844075</v>
      </c>
    </row>
    <row r="108" spans="1:18" x14ac:dyDescent="0.25">
      <c r="A108">
        <v>1</v>
      </c>
      <c r="B108">
        <v>64</v>
      </c>
      <c r="C108">
        <v>180</v>
      </c>
      <c r="D108">
        <v>295</v>
      </c>
      <c r="E108">
        <v>495</v>
      </c>
      <c r="F108">
        <v>849</v>
      </c>
      <c r="G108" t="s">
        <v>5</v>
      </c>
      <c r="H108" s="1">
        <f t="shared" si="17"/>
        <v>36830.89583333359</v>
      </c>
      <c r="I108">
        <f t="shared" si="24"/>
        <v>5.1744000000000003</v>
      </c>
      <c r="J108">
        <f t="shared" si="25"/>
        <v>13.828000000000001</v>
      </c>
      <c r="K108">
        <f t="shared" si="26"/>
        <v>28.003</v>
      </c>
      <c r="L108">
        <f t="shared" si="27"/>
        <v>-1.5373494999999995</v>
      </c>
      <c r="M108">
        <f t="shared" si="28"/>
        <v>297.80099999999999</v>
      </c>
      <c r="O108">
        <v>305</v>
      </c>
      <c r="P108">
        <v>2130</v>
      </c>
      <c r="Q108">
        <v>0.89700000000000002</v>
      </c>
      <c r="R108">
        <f t="shared" si="18"/>
        <v>-0.89447217954422698</v>
      </c>
    </row>
    <row r="109" spans="1:18" x14ac:dyDescent="0.25">
      <c r="A109">
        <v>1</v>
      </c>
      <c r="B109">
        <v>102</v>
      </c>
      <c r="C109">
        <v>180</v>
      </c>
      <c r="D109">
        <v>775</v>
      </c>
      <c r="E109">
        <v>501</v>
      </c>
      <c r="F109">
        <v>797</v>
      </c>
      <c r="G109" t="s">
        <v>5</v>
      </c>
      <c r="H109" s="1">
        <f t="shared" si="17"/>
        <v>36830.916666666926</v>
      </c>
      <c r="I109">
        <f t="shared" si="24"/>
        <v>8.0091999999999999</v>
      </c>
      <c r="J109">
        <f t="shared" si="25"/>
        <v>13.828000000000001</v>
      </c>
      <c r="K109">
        <f t="shared" si="26"/>
        <v>77.058999999999997</v>
      </c>
      <c r="L109">
        <f t="shared" si="27"/>
        <v>-0.99446998000000253</v>
      </c>
      <c r="M109">
        <f t="shared" si="28"/>
        <v>279.65299999999996</v>
      </c>
      <c r="O109">
        <v>305</v>
      </c>
      <c r="P109">
        <v>2200</v>
      </c>
      <c r="Q109">
        <v>0.89700000000000002</v>
      </c>
      <c r="R109">
        <f t="shared" si="18"/>
        <v>-0.89536563614134823</v>
      </c>
    </row>
    <row r="110" spans="1:18" x14ac:dyDescent="0.25">
      <c r="A110">
        <v>1</v>
      </c>
      <c r="B110">
        <v>76</v>
      </c>
      <c r="C110">
        <v>152</v>
      </c>
      <c r="D110">
        <v>206</v>
      </c>
      <c r="E110">
        <v>494</v>
      </c>
      <c r="F110">
        <v>797</v>
      </c>
      <c r="G110" t="s">
        <v>5</v>
      </c>
      <c r="H110" s="1">
        <f t="shared" si="17"/>
        <v>36830.937500000262</v>
      </c>
      <c r="I110">
        <f t="shared" si="24"/>
        <v>6.0696000000000003</v>
      </c>
      <c r="J110">
        <f t="shared" si="25"/>
        <v>11.7392</v>
      </c>
      <c r="K110">
        <f t="shared" si="26"/>
        <v>18.9072</v>
      </c>
      <c r="L110">
        <f t="shared" si="27"/>
        <v>-1.6277592800000003</v>
      </c>
      <c r="M110">
        <f t="shared" si="28"/>
        <v>279.65299999999996</v>
      </c>
      <c r="O110">
        <v>305</v>
      </c>
      <c r="P110">
        <v>2230</v>
      </c>
      <c r="Q110">
        <v>0.89700000000000002</v>
      </c>
      <c r="R110">
        <f t="shared" si="18"/>
        <v>-0.89432329884313355</v>
      </c>
    </row>
    <row r="111" spans="1:18" x14ac:dyDescent="0.25">
      <c r="A111">
        <v>1</v>
      </c>
      <c r="B111">
        <v>44</v>
      </c>
      <c r="C111">
        <v>132</v>
      </c>
      <c r="D111">
        <v>784</v>
      </c>
      <c r="E111">
        <v>491</v>
      </c>
      <c r="F111">
        <v>789</v>
      </c>
      <c r="G111" t="s">
        <v>5</v>
      </c>
      <c r="H111" s="1">
        <f t="shared" si="17"/>
        <v>36830.958333333598</v>
      </c>
      <c r="I111">
        <f t="shared" si="24"/>
        <v>3.6823999999999999</v>
      </c>
      <c r="J111">
        <f t="shared" si="25"/>
        <v>10.247200000000001</v>
      </c>
      <c r="K111">
        <f t="shared" si="26"/>
        <v>77.978799999999993</v>
      </c>
      <c r="L111">
        <f t="shared" si="27"/>
        <v>-1.8988683800000024</v>
      </c>
      <c r="M111">
        <f t="shared" si="28"/>
        <v>276.86099999999999</v>
      </c>
      <c r="O111">
        <v>305</v>
      </c>
      <c r="P111">
        <v>2300</v>
      </c>
      <c r="Q111">
        <v>0.89700000000000002</v>
      </c>
      <c r="R111">
        <f t="shared" si="18"/>
        <v>-0.89387670607633873</v>
      </c>
    </row>
    <row r="112" spans="1:18" x14ac:dyDescent="0.25">
      <c r="A112">
        <v>1</v>
      </c>
      <c r="B112">
        <v>53</v>
      </c>
      <c r="C112">
        <v>112</v>
      </c>
      <c r="D112">
        <v>935</v>
      </c>
      <c r="E112">
        <v>491</v>
      </c>
      <c r="F112">
        <v>761</v>
      </c>
      <c r="G112" t="s">
        <v>5</v>
      </c>
      <c r="H112" s="1">
        <f t="shared" si="17"/>
        <v>36830.979166666933</v>
      </c>
      <c r="I112">
        <f t="shared" si="24"/>
        <v>4.3538000000000006</v>
      </c>
      <c r="J112">
        <f t="shared" si="25"/>
        <v>8.7552000000000003</v>
      </c>
      <c r="K112">
        <f t="shared" si="26"/>
        <v>93.411000000000001</v>
      </c>
      <c r="L112">
        <f t="shared" si="27"/>
        <v>-1.8988683800000024</v>
      </c>
      <c r="M112">
        <f t="shared" si="28"/>
        <v>267.089</v>
      </c>
      <c r="O112">
        <v>305</v>
      </c>
      <c r="P112">
        <v>2330</v>
      </c>
      <c r="Q112">
        <v>0.89700000000000002</v>
      </c>
      <c r="R112">
        <f t="shared" si="18"/>
        <v>-0.89387670607633873</v>
      </c>
    </row>
    <row r="113" spans="1:18" x14ac:dyDescent="0.25">
      <c r="A113">
        <v>1</v>
      </c>
      <c r="B113">
        <v>78</v>
      </c>
      <c r="C113">
        <v>136</v>
      </c>
      <c r="D113">
        <v>717</v>
      </c>
      <c r="E113">
        <v>492</v>
      </c>
      <c r="F113">
        <v>757</v>
      </c>
      <c r="G113" t="s">
        <v>5</v>
      </c>
      <c r="H113" s="1">
        <f t="shared" si="17"/>
        <v>36831.000000000269</v>
      </c>
      <c r="I113">
        <f t="shared" si="24"/>
        <v>6.2187999999999999</v>
      </c>
      <c r="J113">
        <f t="shared" si="25"/>
        <v>10.5456</v>
      </c>
      <c r="K113">
        <f t="shared" si="26"/>
        <v>71.131399999999999</v>
      </c>
      <c r="L113">
        <f t="shared" si="27"/>
        <v>-1.8085187200000017</v>
      </c>
      <c r="M113">
        <f t="shared" si="28"/>
        <v>265.69299999999998</v>
      </c>
      <c r="O113">
        <v>305</v>
      </c>
      <c r="P113">
        <v>2400</v>
      </c>
      <c r="Q113">
        <v>0.89700000000000002</v>
      </c>
      <c r="R113">
        <f t="shared" si="18"/>
        <v>-0.89402556210508177</v>
      </c>
    </row>
    <row r="114" spans="1:18" x14ac:dyDescent="0.25">
      <c r="A114">
        <v>1</v>
      </c>
      <c r="B114">
        <v>42</v>
      </c>
      <c r="C114">
        <v>168</v>
      </c>
      <c r="D114">
        <v>115</v>
      </c>
      <c r="E114">
        <v>494</v>
      </c>
      <c r="F114">
        <v>681</v>
      </c>
      <c r="G114" t="s">
        <v>5</v>
      </c>
      <c r="H114" s="1">
        <f t="shared" si="17"/>
        <v>36831.020833333605</v>
      </c>
      <c r="I114">
        <f t="shared" si="24"/>
        <v>3.5331999999999999</v>
      </c>
      <c r="J114">
        <f t="shared" si="25"/>
        <v>12.9328</v>
      </c>
      <c r="K114">
        <f t="shared" si="26"/>
        <v>9.6069999999999993</v>
      </c>
      <c r="L114">
        <f t="shared" si="27"/>
        <v>-1.6277592800000003</v>
      </c>
      <c r="M114">
        <f t="shared" si="28"/>
        <v>239.16899999999998</v>
      </c>
      <c r="O114">
        <v>306</v>
      </c>
      <c r="P114">
        <v>30</v>
      </c>
      <c r="Q114">
        <v>0.9</v>
      </c>
      <c r="R114">
        <f t="shared" si="18"/>
        <v>-0.89731434666535137</v>
      </c>
    </row>
    <row r="115" spans="1:18" x14ac:dyDescent="0.25">
      <c r="A115">
        <v>1</v>
      </c>
      <c r="B115">
        <v>81</v>
      </c>
      <c r="C115">
        <v>160</v>
      </c>
      <c r="D115">
        <v>695</v>
      </c>
      <c r="E115">
        <v>484</v>
      </c>
      <c r="F115">
        <v>745</v>
      </c>
      <c r="G115" t="s">
        <v>5</v>
      </c>
      <c r="H115" s="1">
        <f t="shared" si="17"/>
        <v>36831.041666666941</v>
      </c>
      <c r="I115">
        <f t="shared" si="24"/>
        <v>6.4426000000000005</v>
      </c>
      <c r="J115">
        <f t="shared" si="25"/>
        <v>12.336</v>
      </c>
      <c r="K115">
        <f t="shared" si="26"/>
        <v>68.882999999999996</v>
      </c>
      <c r="L115">
        <f t="shared" si="27"/>
        <v>-2.5307548799999999</v>
      </c>
      <c r="M115">
        <f t="shared" si="28"/>
        <v>261.505</v>
      </c>
      <c r="O115">
        <v>306</v>
      </c>
      <c r="P115">
        <v>100</v>
      </c>
      <c r="Q115">
        <v>0.9</v>
      </c>
      <c r="R115">
        <f t="shared" si="18"/>
        <v>-0.89582101465997377</v>
      </c>
    </row>
    <row r="116" spans="1:18" x14ac:dyDescent="0.25">
      <c r="A116">
        <v>1</v>
      </c>
      <c r="B116">
        <v>41</v>
      </c>
      <c r="C116">
        <v>120</v>
      </c>
      <c r="D116">
        <v>171</v>
      </c>
      <c r="E116">
        <v>483</v>
      </c>
      <c r="F116">
        <v>785</v>
      </c>
      <c r="G116" t="s">
        <v>5</v>
      </c>
      <c r="H116" s="1">
        <f t="shared" si="17"/>
        <v>36831.062500000276</v>
      </c>
      <c r="I116">
        <f t="shared" si="24"/>
        <v>3.4586000000000001</v>
      </c>
      <c r="J116">
        <f t="shared" si="25"/>
        <v>9.3520000000000003</v>
      </c>
      <c r="K116">
        <f t="shared" si="26"/>
        <v>15.330199999999998</v>
      </c>
      <c r="L116">
        <f t="shared" si="27"/>
        <v>-2.6209442200000006</v>
      </c>
      <c r="M116">
        <f t="shared" si="28"/>
        <v>275.46499999999997</v>
      </c>
      <c r="O116">
        <v>306</v>
      </c>
      <c r="P116">
        <v>130</v>
      </c>
      <c r="Q116">
        <v>0.9</v>
      </c>
      <c r="R116">
        <f t="shared" si="18"/>
        <v>-0.89567172697964981</v>
      </c>
    </row>
    <row r="117" spans="1:18" x14ac:dyDescent="0.25">
      <c r="A117">
        <v>1</v>
      </c>
      <c r="B117">
        <v>85</v>
      </c>
      <c r="C117">
        <v>208</v>
      </c>
      <c r="D117">
        <v>766</v>
      </c>
      <c r="E117">
        <v>482</v>
      </c>
      <c r="F117">
        <v>775</v>
      </c>
      <c r="G117" t="s">
        <v>5</v>
      </c>
      <c r="H117" s="1">
        <f t="shared" si="17"/>
        <v>36831.083333333612</v>
      </c>
      <c r="I117">
        <f t="shared" si="24"/>
        <v>6.7410000000000005</v>
      </c>
      <c r="J117">
        <f t="shared" si="25"/>
        <v>15.9168</v>
      </c>
      <c r="K117">
        <f t="shared" si="26"/>
        <v>76.139200000000002</v>
      </c>
      <c r="L117">
        <f t="shared" si="27"/>
        <v>-2.7111135200000014</v>
      </c>
      <c r="M117">
        <f t="shared" si="28"/>
        <v>271.97499999999997</v>
      </c>
      <c r="O117">
        <v>306</v>
      </c>
      <c r="P117">
        <v>200</v>
      </c>
      <c r="Q117">
        <v>0.9</v>
      </c>
      <c r="R117">
        <f t="shared" si="18"/>
        <v>-0.89552244759228694</v>
      </c>
    </row>
    <row r="118" spans="1:18" x14ac:dyDescent="0.25">
      <c r="A118">
        <v>1</v>
      </c>
      <c r="B118">
        <v>46</v>
      </c>
      <c r="C118">
        <v>116</v>
      </c>
      <c r="D118">
        <v>102</v>
      </c>
      <c r="E118">
        <v>481</v>
      </c>
      <c r="F118">
        <v>769</v>
      </c>
      <c r="G118" t="s">
        <v>5</v>
      </c>
      <c r="H118" s="1">
        <f t="shared" si="17"/>
        <v>36831.104166666948</v>
      </c>
      <c r="I118">
        <f t="shared" si="24"/>
        <v>3.8315999999999999</v>
      </c>
      <c r="J118">
        <f t="shared" si="25"/>
        <v>9.0536000000000012</v>
      </c>
      <c r="K118">
        <f t="shared" si="26"/>
        <v>8.2784000000000013</v>
      </c>
      <c r="L118">
        <f t="shared" si="27"/>
        <v>-2.8012627800000018</v>
      </c>
      <c r="M118">
        <f t="shared" si="28"/>
        <v>269.88099999999997</v>
      </c>
      <c r="O118">
        <v>306</v>
      </c>
      <c r="P118">
        <v>230</v>
      </c>
      <c r="Q118">
        <v>0.9</v>
      </c>
      <c r="R118">
        <f t="shared" si="18"/>
        <v>-0.89537317650203319</v>
      </c>
    </row>
    <row r="119" spans="1:18" x14ac:dyDescent="0.25">
      <c r="A119">
        <v>1</v>
      </c>
      <c r="B119">
        <v>65</v>
      </c>
      <c r="C119">
        <v>156</v>
      </c>
      <c r="D119">
        <v>762</v>
      </c>
      <c r="E119">
        <v>479</v>
      </c>
      <c r="F119">
        <v>788</v>
      </c>
      <c r="G119" t="s">
        <v>5</v>
      </c>
      <c r="H119" s="1">
        <f t="shared" si="17"/>
        <v>36831.125000000284</v>
      </c>
      <c r="I119">
        <f t="shared" si="24"/>
        <v>5.2490000000000006</v>
      </c>
      <c r="J119">
        <f t="shared" si="25"/>
        <v>12.037599999999999</v>
      </c>
      <c r="K119">
        <f t="shared" si="26"/>
        <v>75.730400000000003</v>
      </c>
      <c r="L119">
        <f t="shared" si="27"/>
        <v>-2.9815011800000035</v>
      </c>
      <c r="M119">
        <f t="shared" si="28"/>
        <v>276.512</v>
      </c>
      <c r="O119">
        <v>306</v>
      </c>
      <c r="P119">
        <v>300</v>
      </c>
      <c r="Q119">
        <v>0.9</v>
      </c>
      <c r="R119">
        <f t="shared" si="18"/>
        <v>-0.89507465922945673</v>
      </c>
    </row>
    <row r="120" spans="1:18" x14ac:dyDescent="0.25">
      <c r="A120">
        <v>1</v>
      </c>
      <c r="B120">
        <v>51</v>
      </c>
      <c r="C120">
        <v>116</v>
      </c>
      <c r="D120">
        <v>152</v>
      </c>
      <c r="E120">
        <v>487</v>
      </c>
      <c r="F120">
        <v>697</v>
      </c>
      <c r="G120" t="s">
        <v>5</v>
      </c>
      <c r="H120" s="1">
        <f t="shared" si="17"/>
        <v>36831.14583333362</v>
      </c>
      <c r="I120">
        <f t="shared" si="24"/>
        <v>4.2046000000000001</v>
      </c>
      <c r="J120">
        <f t="shared" si="25"/>
        <v>9.0536000000000012</v>
      </c>
      <c r="K120">
        <f t="shared" si="26"/>
        <v>13.388400000000001</v>
      </c>
      <c r="L120">
        <f t="shared" si="27"/>
        <v>-2.2600666200000052</v>
      </c>
      <c r="M120">
        <f t="shared" si="28"/>
        <v>244.75299999999999</v>
      </c>
      <c r="O120">
        <v>306</v>
      </c>
      <c r="P120">
        <v>330</v>
      </c>
      <c r="Q120">
        <v>0.90200000000000002</v>
      </c>
      <c r="R120">
        <f t="shared" si="18"/>
        <v>-0.89826063614486562</v>
      </c>
    </row>
    <row r="121" spans="1:18" x14ac:dyDescent="0.25">
      <c r="A121">
        <v>1</v>
      </c>
      <c r="B121">
        <v>42</v>
      </c>
      <c r="C121">
        <v>88</v>
      </c>
      <c r="D121">
        <v>770</v>
      </c>
      <c r="E121">
        <v>477</v>
      </c>
      <c r="F121">
        <v>781</v>
      </c>
      <c r="G121" t="s">
        <v>5</v>
      </c>
      <c r="H121" s="1">
        <f t="shared" si="17"/>
        <v>36831.166666666955</v>
      </c>
      <c r="I121">
        <f t="shared" si="24"/>
        <v>3.5331999999999999</v>
      </c>
      <c r="J121">
        <f t="shared" si="25"/>
        <v>6.9648000000000003</v>
      </c>
      <c r="K121">
        <f t="shared" si="26"/>
        <v>76.548000000000002</v>
      </c>
      <c r="L121">
        <f t="shared" si="27"/>
        <v>-3.1616594200000048</v>
      </c>
      <c r="M121">
        <f t="shared" si="28"/>
        <v>274.06899999999996</v>
      </c>
      <c r="O121">
        <v>306</v>
      </c>
      <c r="P121">
        <v>400</v>
      </c>
      <c r="Q121">
        <v>0.9</v>
      </c>
      <c r="R121">
        <f t="shared" si="18"/>
        <v>-0.89477617519515451</v>
      </c>
    </row>
    <row r="122" spans="1:18" x14ac:dyDescent="0.25">
      <c r="A122">
        <v>71</v>
      </c>
      <c r="B122">
        <v>52</v>
      </c>
      <c r="C122">
        <v>92</v>
      </c>
      <c r="D122">
        <v>556</v>
      </c>
      <c r="E122">
        <v>474</v>
      </c>
      <c r="F122">
        <v>768</v>
      </c>
      <c r="G122" t="s">
        <v>5</v>
      </c>
      <c r="H122" s="1">
        <f t="shared" si="17"/>
        <v>36831.187500000291</v>
      </c>
      <c r="I122">
        <f t="shared" si="24"/>
        <v>4.2792000000000003</v>
      </c>
      <c r="J122">
        <f t="shared" si="25"/>
        <v>7.2632000000000003</v>
      </c>
      <c r="K122">
        <f t="shared" si="26"/>
        <v>54.677199999999999</v>
      </c>
      <c r="L122">
        <f t="shared" si="27"/>
        <v>-3.4317464799999997</v>
      </c>
      <c r="M122">
        <f t="shared" si="28"/>
        <v>269.53199999999998</v>
      </c>
      <c r="O122">
        <v>306</v>
      </c>
      <c r="P122">
        <v>430</v>
      </c>
      <c r="Q122">
        <v>0.90200000000000002</v>
      </c>
      <c r="R122">
        <f t="shared" si="18"/>
        <v>-0.89631590823057139</v>
      </c>
    </row>
    <row r="123" spans="1:18" x14ac:dyDescent="0.25">
      <c r="A123">
        <v>71</v>
      </c>
      <c r="B123">
        <v>22</v>
      </c>
      <c r="C123">
        <v>64</v>
      </c>
      <c r="D123">
        <v>886</v>
      </c>
      <c r="E123">
        <v>476</v>
      </c>
      <c r="F123">
        <v>777</v>
      </c>
      <c r="G123" t="s">
        <v>5</v>
      </c>
      <c r="H123" s="1">
        <f t="shared" si="17"/>
        <v>36831.208333333627</v>
      </c>
      <c r="I123">
        <f t="shared" si="24"/>
        <v>2.0411999999999999</v>
      </c>
      <c r="J123">
        <f t="shared" si="25"/>
        <v>5.1744000000000003</v>
      </c>
      <c r="K123">
        <f t="shared" si="26"/>
        <v>88.403199999999998</v>
      </c>
      <c r="L123">
        <f t="shared" si="27"/>
        <v>-3.2517084800000053</v>
      </c>
      <c r="M123">
        <f t="shared" si="28"/>
        <v>272.673</v>
      </c>
      <c r="O123">
        <v>306</v>
      </c>
      <c r="P123">
        <v>500</v>
      </c>
      <c r="Q123">
        <v>0.90200000000000002</v>
      </c>
      <c r="R123">
        <f t="shared" si="18"/>
        <v>-0.89661500553198126</v>
      </c>
    </row>
    <row r="124" spans="1:18" x14ac:dyDescent="0.25">
      <c r="A124">
        <v>71</v>
      </c>
      <c r="B124">
        <v>47</v>
      </c>
      <c r="C124">
        <v>72</v>
      </c>
      <c r="D124">
        <v>841</v>
      </c>
      <c r="E124">
        <v>476</v>
      </c>
      <c r="F124">
        <v>765</v>
      </c>
      <c r="G124" t="s">
        <v>5</v>
      </c>
      <c r="H124" s="1">
        <f t="shared" si="17"/>
        <v>36831.229166666963</v>
      </c>
      <c r="I124">
        <f t="shared" si="24"/>
        <v>3.9061999999999997</v>
      </c>
      <c r="J124">
        <f t="shared" si="25"/>
        <v>5.7712000000000003</v>
      </c>
      <c r="K124">
        <f t="shared" si="26"/>
        <v>83.804199999999994</v>
      </c>
      <c r="L124">
        <f t="shared" si="27"/>
        <v>-3.2517084800000053</v>
      </c>
      <c r="M124">
        <f t="shared" si="28"/>
        <v>268.48499999999996</v>
      </c>
      <c r="O124">
        <v>306</v>
      </c>
      <c r="P124">
        <v>530</v>
      </c>
      <c r="Q124">
        <v>0.90200000000000002</v>
      </c>
      <c r="R124">
        <f t="shared" si="18"/>
        <v>-0.89661500553198126</v>
      </c>
    </row>
    <row r="125" spans="1:18" x14ac:dyDescent="0.25">
      <c r="A125">
        <v>71</v>
      </c>
      <c r="B125">
        <v>18</v>
      </c>
      <c r="C125">
        <v>40</v>
      </c>
      <c r="D125">
        <v>356</v>
      </c>
      <c r="E125">
        <v>469</v>
      </c>
      <c r="F125">
        <v>793</v>
      </c>
      <c r="G125" t="s">
        <v>5</v>
      </c>
      <c r="H125" s="1">
        <f t="shared" si="17"/>
        <v>36831.250000000298</v>
      </c>
      <c r="I125">
        <f t="shared" ref="I125:J127" si="29">0.4+0.0746*B125</f>
        <v>1.7427999999999999</v>
      </c>
      <c r="J125">
        <f t="shared" si="29"/>
        <v>3.3839999999999999</v>
      </c>
      <c r="K125">
        <f>-2.146+0.1022*D125</f>
        <v>34.237200000000001</v>
      </c>
      <c r="L125">
        <f>-43.84+0.0805*E125+0.00001002*E125^2</f>
        <v>-3.8814907800000031</v>
      </c>
      <c r="M125">
        <f>1.5+0.349*F125</f>
        <v>278.25700000000001</v>
      </c>
      <c r="O125">
        <v>306</v>
      </c>
      <c r="P125">
        <v>600</v>
      </c>
      <c r="Q125">
        <v>0.90200000000000002</v>
      </c>
      <c r="R125">
        <f t="shared" si="18"/>
        <v>-0.89556831115591373</v>
      </c>
    </row>
    <row r="126" spans="1:18" x14ac:dyDescent="0.25">
      <c r="A126">
        <v>711</v>
      </c>
      <c r="B126">
        <v>52</v>
      </c>
      <c r="C126">
        <v>84</v>
      </c>
      <c r="D126">
        <v>753</v>
      </c>
      <c r="E126">
        <v>471</v>
      </c>
      <c r="F126">
        <v>768</v>
      </c>
      <c r="G126" t="s">
        <v>5</v>
      </c>
      <c r="H126" s="1">
        <f t="shared" si="17"/>
        <v>36831.270833333634</v>
      </c>
      <c r="I126">
        <f t="shared" si="29"/>
        <v>4.2792000000000003</v>
      </c>
      <c r="J126">
        <f t="shared" si="29"/>
        <v>6.6664000000000003</v>
      </c>
      <c r="K126">
        <f>-2.146+0.1022*D126</f>
        <v>74.810599999999994</v>
      </c>
      <c r="L126">
        <f>-43.84+0.0805*E126+0.00001002*E126^2</f>
        <v>-3.7016531800000019</v>
      </c>
      <c r="M126">
        <f>1.5+0.349*F126</f>
        <v>269.53199999999998</v>
      </c>
      <c r="O126">
        <v>306</v>
      </c>
      <c r="P126">
        <v>630</v>
      </c>
      <c r="Q126">
        <v>0.90200000000000002</v>
      </c>
      <c r="R126">
        <f t="shared" si="18"/>
        <v>-0.89586732490562948</v>
      </c>
    </row>
    <row r="127" spans="1:18" x14ac:dyDescent="0.25">
      <c r="A127">
        <v>711</v>
      </c>
      <c r="B127">
        <v>22</v>
      </c>
      <c r="C127">
        <v>48</v>
      </c>
      <c r="D127">
        <v>839</v>
      </c>
      <c r="E127">
        <v>475</v>
      </c>
      <c r="F127">
        <v>781</v>
      </c>
      <c r="G127" t="s">
        <v>5</v>
      </c>
      <c r="H127" s="1">
        <f t="shared" si="17"/>
        <v>36831.29166666697</v>
      </c>
      <c r="I127">
        <f t="shared" si="29"/>
        <v>2.0411999999999999</v>
      </c>
      <c r="J127">
        <f t="shared" si="29"/>
        <v>3.9807999999999999</v>
      </c>
      <c r="K127">
        <f>-2.146+0.1022*D127</f>
        <v>83.599800000000002</v>
      </c>
      <c r="L127">
        <f>-43.84+0.0805*E127+0.00001002*E127^2</f>
        <v>-3.3417374999999989</v>
      </c>
      <c r="M127">
        <f>1.5+0.349*F127</f>
        <v>274.06899999999996</v>
      </c>
      <c r="O127">
        <v>306</v>
      </c>
      <c r="P127">
        <v>700</v>
      </c>
      <c r="Q127">
        <v>0.90500000000000003</v>
      </c>
      <c r="R127">
        <f t="shared" si="18"/>
        <v>-0.899447045123692</v>
      </c>
    </row>
    <row r="128" spans="1:18" x14ac:dyDescent="0.25">
      <c r="A128">
        <v>711</v>
      </c>
      <c r="B128">
        <v>53</v>
      </c>
      <c r="C128">
        <v>84</v>
      </c>
      <c r="D128">
        <v>1023</v>
      </c>
      <c r="E128">
        <v>486</v>
      </c>
      <c r="F128">
        <v>713</v>
      </c>
      <c r="G128" t="s">
        <v>5</v>
      </c>
      <c r="H128" s="1">
        <f t="shared" si="17"/>
        <v>36831.312500000306</v>
      </c>
      <c r="I128">
        <f t="shared" ref="I128:I166" si="30">0.4+0.0746*B128</f>
        <v>4.3538000000000006</v>
      </c>
      <c r="J128">
        <f t="shared" ref="J128:J166" si="31">0.4+0.0746*C128</f>
        <v>6.6664000000000003</v>
      </c>
      <c r="K128">
        <f t="shared" ref="K128:K166" si="32">-2.146+0.1022*D128</f>
        <v>102.4046</v>
      </c>
      <c r="L128">
        <f t="shared" ref="L128:L166" si="33">-43.84+0.0805*E128+0.00001002*E128^2</f>
        <v>-2.3503160800000056</v>
      </c>
      <c r="M128">
        <f t="shared" ref="M128:M166" si="34">1.5+0.349*F128</f>
        <v>250.33699999999999</v>
      </c>
      <c r="O128">
        <v>306</v>
      </c>
      <c r="P128">
        <v>730</v>
      </c>
      <c r="Q128">
        <v>0.90200000000000002</v>
      </c>
      <c r="R128">
        <f t="shared" si="18"/>
        <v>-0.8981109918048884</v>
      </c>
    </row>
    <row r="129" spans="1:18" x14ac:dyDescent="0.25">
      <c r="A129">
        <v>711</v>
      </c>
      <c r="B129">
        <v>31</v>
      </c>
      <c r="C129">
        <v>96</v>
      </c>
      <c r="D129">
        <v>738</v>
      </c>
      <c r="E129">
        <v>476</v>
      </c>
      <c r="F129">
        <v>765</v>
      </c>
      <c r="G129" t="s">
        <v>5</v>
      </c>
      <c r="H129" s="1">
        <f t="shared" si="17"/>
        <v>36831.333333333641</v>
      </c>
      <c r="I129">
        <f t="shared" si="30"/>
        <v>2.7125999999999997</v>
      </c>
      <c r="J129">
        <f t="shared" si="31"/>
        <v>7.5616000000000003</v>
      </c>
      <c r="K129">
        <f t="shared" si="32"/>
        <v>73.277599999999993</v>
      </c>
      <c r="L129">
        <f t="shared" si="33"/>
        <v>-3.2517084800000053</v>
      </c>
      <c r="M129">
        <f t="shared" si="34"/>
        <v>268.48499999999996</v>
      </c>
      <c r="O129">
        <v>306</v>
      </c>
      <c r="P129">
        <v>800</v>
      </c>
      <c r="Q129">
        <v>0.9</v>
      </c>
      <c r="R129">
        <f t="shared" si="18"/>
        <v>-0.89462694565275291</v>
      </c>
    </row>
    <row r="130" spans="1:18" x14ac:dyDescent="0.25">
      <c r="A130">
        <v>711</v>
      </c>
      <c r="B130">
        <v>60</v>
      </c>
      <c r="C130">
        <v>104</v>
      </c>
      <c r="D130">
        <v>738</v>
      </c>
      <c r="E130">
        <v>486</v>
      </c>
      <c r="F130">
        <v>733</v>
      </c>
      <c r="G130" t="s">
        <v>5</v>
      </c>
      <c r="H130" s="1">
        <f t="shared" ref="H130:H192" si="35">H129+1/48</f>
        <v>36831.354166666977</v>
      </c>
      <c r="I130">
        <f t="shared" si="30"/>
        <v>4.8760000000000003</v>
      </c>
      <c r="J130">
        <f t="shared" si="31"/>
        <v>8.1584000000000003</v>
      </c>
      <c r="K130">
        <f t="shared" si="32"/>
        <v>73.277599999999993</v>
      </c>
      <c r="L130">
        <f t="shared" si="33"/>
        <v>-2.3503160800000056</v>
      </c>
      <c r="M130">
        <f t="shared" si="34"/>
        <v>257.31700000000001</v>
      </c>
      <c r="O130">
        <v>306</v>
      </c>
      <c r="P130">
        <v>830</v>
      </c>
      <c r="Q130">
        <v>0.90200000000000002</v>
      </c>
      <c r="R130">
        <f t="shared" si="18"/>
        <v>-0.8981109918048884</v>
      </c>
    </row>
    <row r="131" spans="1:18" x14ac:dyDescent="0.25">
      <c r="A131">
        <v>711</v>
      </c>
      <c r="B131">
        <v>54</v>
      </c>
      <c r="C131">
        <v>124</v>
      </c>
      <c r="D131">
        <v>741</v>
      </c>
      <c r="E131">
        <v>482</v>
      </c>
      <c r="F131">
        <v>781</v>
      </c>
      <c r="G131" t="s">
        <v>5</v>
      </c>
      <c r="H131" s="1">
        <f t="shared" si="35"/>
        <v>36831.375000000313</v>
      </c>
      <c r="I131">
        <f t="shared" si="30"/>
        <v>4.4283999999999999</v>
      </c>
      <c r="J131">
        <f t="shared" si="31"/>
        <v>9.6503999999999994</v>
      </c>
      <c r="K131">
        <f t="shared" si="32"/>
        <v>73.584199999999996</v>
      </c>
      <c r="L131">
        <f t="shared" si="33"/>
        <v>-2.7111135200000014</v>
      </c>
      <c r="M131">
        <f t="shared" si="34"/>
        <v>274.06899999999996</v>
      </c>
      <c r="O131">
        <v>306</v>
      </c>
      <c r="P131">
        <v>900</v>
      </c>
      <c r="Q131">
        <v>0.9</v>
      </c>
      <c r="R131">
        <f t="shared" si="18"/>
        <v>-0.89552244759228694</v>
      </c>
    </row>
    <row r="132" spans="1:18" x14ac:dyDescent="0.25">
      <c r="A132">
        <v>711</v>
      </c>
      <c r="B132">
        <v>69</v>
      </c>
      <c r="C132">
        <v>124</v>
      </c>
      <c r="D132">
        <v>480</v>
      </c>
      <c r="E132">
        <v>493</v>
      </c>
      <c r="F132">
        <v>769</v>
      </c>
      <c r="G132" t="s">
        <v>5</v>
      </c>
      <c r="H132" s="1">
        <f t="shared" si="35"/>
        <v>36831.395833333649</v>
      </c>
      <c r="I132">
        <f t="shared" si="30"/>
        <v>5.5474000000000006</v>
      </c>
      <c r="J132">
        <f t="shared" si="31"/>
        <v>9.6503999999999994</v>
      </c>
      <c r="K132">
        <f t="shared" si="32"/>
        <v>46.91</v>
      </c>
      <c r="L132">
        <f t="shared" si="33"/>
        <v>-1.7181490200000011</v>
      </c>
      <c r="M132">
        <f t="shared" si="34"/>
        <v>269.88099999999997</v>
      </c>
      <c r="O132">
        <v>306</v>
      </c>
      <c r="P132">
        <v>930</v>
      </c>
      <c r="Q132">
        <v>0.9</v>
      </c>
      <c r="R132">
        <f t="shared" si="18"/>
        <v>-0.89716497628299297</v>
      </c>
    </row>
    <row r="133" spans="1:18" x14ac:dyDescent="0.25">
      <c r="A133">
        <v>711</v>
      </c>
      <c r="B133">
        <v>99</v>
      </c>
      <c r="C133">
        <v>180</v>
      </c>
      <c r="D133">
        <v>898</v>
      </c>
      <c r="E133">
        <v>484</v>
      </c>
      <c r="F133">
        <v>805</v>
      </c>
      <c r="G133" t="s">
        <v>5</v>
      </c>
      <c r="H133" s="1">
        <f t="shared" si="35"/>
        <v>36831.416666666984</v>
      </c>
      <c r="I133">
        <f t="shared" si="30"/>
        <v>7.7854000000000001</v>
      </c>
      <c r="J133">
        <f t="shared" si="31"/>
        <v>13.828000000000001</v>
      </c>
      <c r="K133">
        <f t="shared" si="32"/>
        <v>89.629599999999996</v>
      </c>
      <c r="L133">
        <f t="shared" si="33"/>
        <v>-2.5307548799999999</v>
      </c>
      <c r="M133">
        <f t="shared" si="34"/>
        <v>282.44499999999999</v>
      </c>
      <c r="O133">
        <v>306</v>
      </c>
      <c r="P133">
        <v>1000</v>
      </c>
      <c r="Q133">
        <v>0.9</v>
      </c>
      <c r="R133">
        <f t="shared" si="18"/>
        <v>-0.89582101465997377</v>
      </c>
    </row>
    <row r="134" spans="1:18" x14ac:dyDescent="0.25">
      <c r="A134">
        <v>711</v>
      </c>
      <c r="B134">
        <v>69</v>
      </c>
      <c r="C134">
        <v>128</v>
      </c>
      <c r="D134">
        <v>307</v>
      </c>
      <c r="E134">
        <v>486</v>
      </c>
      <c r="F134">
        <v>772</v>
      </c>
      <c r="G134" t="s">
        <v>5</v>
      </c>
      <c r="H134" s="1">
        <f t="shared" si="35"/>
        <v>36831.43750000032</v>
      </c>
      <c r="I134">
        <f t="shared" si="30"/>
        <v>5.5474000000000006</v>
      </c>
      <c r="J134">
        <f t="shared" si="31"/>
        <v>9.9488000000000003</v>
      </c>
      <c r="K134">
        <f t="shared" si="32"/>
        <v>29.229399999999998</v>
      </c>
      <c r="L134">
        <f t="shared" si="33"/>
        <v>-2.3503160800000056</v>
      </c>
      <c r="M134">
        <f t="shared" si="34"/>
        <v>270.928</v>
      </c>
      <c r="O134">
        <v>306</v>
      </c>
      <c r="P134">
        <v>1030</v>
      </c>
      <c r="Q134">
        <v>0.9</v>
      </c>
      <c r="R134">
        <f t="shared" si="18"/>
        <v>-0.89611961488292635</v>
      </c>
    </row>
    <row r="135" spans="1:18" x14ac:dyDescent="0.25">
      <c r="A135">
        <v>711</v>
      </c>
      <c r="B135">
        <v>99</v>
      </c>
      <c r="C135">
        <v>184</v>
      </c>
      <c r="D135">
        <v>858</v>
      </c>
      <c r="E135">
        <v>491</v>
      </c>
      <c r="F135">
        <v>768</v>
      </c>
      <c r="G135" t="s">
        <v>5</v>
      </c>
      <c r="H135" s="1">
        <f t="shared" si="35"/>
        <v>36831.458333333656</v>
      </c>
      <c r="I135">
        <f t="shared" si="30"/>
        <v>7.7854000000000001</v>
      </c>
      <c r="J135">
        <f t="shared" si="31"/>
        <v>14.1264</v>
      </c>
      <c r="K135">
        <f t="shared" si="32"/>
        <v>85.541600000000003</v>
      </c>
      <c r="L135">
        <f t="shared" si="33"/>
        <v>-1.8988683800000024</v>
      </c>
      <c r="M135">
        <f t="shared" si="34"/>
        <v>269.53199999999998</v>
      </c>
      <c r="O135">
        <v>306</v>
      </c>
      <c r="P135">
        <v>1100</v>
      </c>
      <c r="Q135">
        <v>0.9</v>
      </c>
      <c r="R135">
        <f t="shared" ref="R135:R198" si="36">-SQRT((L135+273.15)/273.15)*Q135</f>
        <v>-0.89686626027726291</v>
      </c>
    </row>
    <row r="136" spans="1:18" x14ac:dyDescent="0.25">
      <c r="A136">
        <v>711</v>
      </c>
      <c r="B136">
        <v>57</v>
      </c>
      <c r="C136">
        <v>128</v>
      </c>
      <c r="D136">
        <v>356</v>
      </c>
      <c r="E136">
        <v>489</v>
      </c>
      <c r="F136">
        <v>733</v>
      </c>
      <c r="G136" t="s">
        <v>5</v>
      </c>
      <c r="H136" s="1">
        <f t="shared" si="35"/>
        <v>36831.479166666992</v>
      </c>
      <c r="I136">
        <f t="shared" si="30"/>
        <v>4.6522000000000006</v>
      </c>
      <c r="J136">
        <f t="shared" si="31"/>
        <v>9.9488000000000003</v>
      </c>
      <c r="K136">
        <f t="shared" si="32"/>
        <v>34.237200000000001</v>
      </c>
      <c r="L136">
        <f t="shared" si="33"/>
        <v>-2.0795075800000036</v>
      </c>
      <c r="M136">
        <f t="shared" si="34"/>
        <v>257.31700000000001</v>
      </c>
      <c r="O136">
        <v>306</v>
      </c>
      <c r="P136">
        <v>1130</v>
      </c>
      <c r="Q136">
        <v>0.9</v>
      </c>
      <c r="R136">
        <f t="shared" si="36"/>
        <v>-0.89656757731101222</v>
      </c>
    </row>
    <row r="137" spans="1:18" x14ac:dyDescent="0.25">
      <c r="A137">
        <v>711</v>
      </c>
      <c r="B137">
        <v>79</v>
      </c>
      <c r="C137">
        <v>224</v>
      </c>
      <c r="D137">
        <v>944</v>
      </c>
      <c r="E137">
        <v>492</v>
      </c>
      <c r="F137">
        <v>772</v>
      </c>
      <c r="G137" t="s">
        <v>5</v>
      </c>
      <c r="H137" s="1">
        <f t="shared" si="35"/>
        <v>36831.500000000327</v>
      </c>
      <c r="I137">
        <f t="shared" si="30"/>
        <v>6.2934000000000001</v>
      </c>
      <c r="J137">
        <f t="shared" si="31"/>
        <v>17.110399999999998</v>
      </c>
      <c r="K137">
        <f t="shared" si="32"/>
        <v>94.330799999999996</v>
      </c>
      <c r="L137">
        <f t="shared" si="33"/>
        <v>-1.8085187200000017</v>
      </c>
      <c r="M137">
        <f t="shared" si="34"/>
        <v>270.928</v>
      </c>
      <c r="O137">
        <v>306</v>
      </c>
      <c r="P137">
        <v>1200</v>
      </c>
      <c r="Q137">
        <v>0.89700000000000002</v>
      </c>
      <c r="R137">
        <f t="shared" si="36"/>
        <v>-0.89402556210508177</v>
      </c>
    </row>
    <row r="138" spans="1:18" x14ac:dyDescent="0.25">
      <c r="A138">
        <v>711</v>
      </c>
      <c r="B138">
        <v>71</v>
      </c>
      <c r="C138">
        <v>292</v>
      </c>
      <c r="D138">
        <v>928</v>
      </c>
      <c r="E138">
        <v>493</v>
      </c>
      <c r="F138">
        <v>741</v>
      </c>
      <c r="G138" t="s">
        <v>5</v>
      </c>
      <c r="H138" s="1">
        <f t="shared" si="35"/>
        <v>36831.520833333663</v>
      </c>
      <c r="I138">
        <f t="shared" si="30"/>
        <v>5.6966000000000001</v>
      </c>
      <c r="J138">
        <f t="shared" si="31"/>
        <v>22.183199999999999</v>
      </c>
      <c r="K138">
        <f t="shared" si="32"/>
        <v>92.695599999999999</v>
      </c>
      <c r="L138">
        <f t="shared" si="33"/>
        <v>-1.7181490200000011</v>
      </c>
      <c r="M138">
        <f t="shared" si="34"/>
        <v>260.10899999999998</v>
      </c>
      <c r="O138">
        <v>306</v>
      </c>
      <c r="P138">
        <v>1230</v>
      </c>
      <c r="Q138">
        <v>0.9</v>
      </c>
      <c r="R138">
        <f t="shared" si="36"/>
        <v>-0.89716497628299297</v>
      </c>
    </row>
    <row r="139" spans="1:18" x14ac:dyDescent="0.25">
      <c r="A139">
        <v>711</v>
      </c>
      <c r="B139">
        <v>52</v>
      </c>
      <c r="C139">
        <v>128</v>
      </c>
      <c r="D139">
        <v>38</v>
      </c>
      <c r="E139">
        <v>492</v>
      </c>
      <c r="F139">
        <v>729</v>
      </c>
      <c r="G139" t="s">
        <v>5</v>
      </c>
      <c r="H139" s="1">
        <f t="shared" si="35"/>
        <v>36831.541666666999</v>
      </c>
      <c r="I139">
        <f t="shared" si="30"/>
        <v>4.2792000000000003</v>
      </c>
      <c r="J139">
        <f t="shared" si="31"/>
        <v>9.9488000000000003</v>
      </c>
      <c r="K139">
        <f t="shared" si="32"/>
        <v>1.7376</v>
      </c>
      <c r="L139">
        <f t="shared" si="33"/>
        <v>-1.8085187200000017</v>
      </c>
      <c r="M139">
        <f t="shared" si="34"/>
        <v>255.92099999999999</v>
      </c>
      <c r="O139">
        <v>306</v>
      </c>
      <c r="P139">
        <v>1300</v>
      </c>
      <c r="Q139">
        <v>0.9</v>
      </c>
      <c r="R139">
        <f t="shared" si="36"/>
        <v>-0.89701561415225595</v>
      </c>
    </row>
    <row r="140" spans="1:18" x14ac:dyDescent="0.25">
      <c r="A140">
        <v>711</v>
      </c>
      <c r="B140">
        <v>133</v>
      </c>
      <c r="C140">
        <v>352</v>
      </c>
      <c r="D140">
        <v>757</v>
      </c>
      <c r="E140">
        <v>494</v>
      </c>
      <c r="F140">
        <v>697</v>
      </c>
      <c r="G140" t="s">
        <v>5</v>
      </c>
      <c r="H140" s="1">
        <f t="shared" si="35"/>
        <v>36831.562500000335</v>
      </c>
      <c r="I140">
        <f t="shared" si="30"/>
        <v>10.3218</v>
      </c>
      <c r="J140">
        <f t="shared" si="31"/>
        <v>26.659199999999998</v>
      </c>
      <c r="K140">
        <f t="shared" si="32"/>
        <v>75.219399999999993</v>
      </c>
      <c r="L140">
        <f t="shared" si="33"/>
        <v>-1.6277592800000003</v>
      </c>
      <c r="M140">
        <f t="shared" si="34"/>
        <v>244.75299999999999</v>
      </c>
      <c r="O140">
        <v>306</v>
      </c>
      <c r="P140">
        <v>1330</v>
      </c>
      <c r="Q140">
        <v>0.9</v>
      </c>
      <c r="R140">
        <f t="shared" si="36"/>
        <v>-0.89731434666535137</v>
      </c>
    </row>
    <row r="141" spans="1:18" x14ac:dyDescent="0.25">
      <c r="A141">
        <v>711</v>
      </c>
      <c r="B141">
        <v>91</v>
      </c>
      <c r="C141">
        <v>300</v>
      </c>
      <c r="D141">
        <v>707</v>
      </c>
      <c r="E141">
        <v>478</v>
      </c>
      <c r="F141">
        <v>757</v>
      </c>
      <c r="G141" t="s">
        <v>5</v>
      </c>
      <c r="H141" s="1">
        <f t="shared" si="35"/>
        <v>36831.58333333367</v>
      </c>
      <c r="I141">
        <f t="shared" si="30"/>
        <v>7.1886000000000001</v>
      </c>
      <c r="J141">
        <f t="shared" si="31"/>
        <v>22.779999999999998</v>
      </c>
      <c r="K141">
        <f t="shared" si="32"/>
        <v>70.109399999999994</v>
      </c>
      <c r="L141">
        <f t="shared" si="33"/>
        <v>-3.0715903200000039</v>
      </c>
      <c r="M141">
        <f t="shared" si="34"/>
        <v>265.69299999999998</v>
      </c>
      <c r="O141">
        <v>306</v>
      </c>
      <c r="P141">
        <v>1400</v>
      </c>
      <c r="Q141">
        <v>0.90200000000000002</v>
      </c>
      <c r="R141">
        <f t="shared" si="36"/>
        <v>-0.89691413619556593</v>
      </c>
    </row>
    <row r="142" spans="1:18" x14ac:dyDescent="0.25">
      <c r="A142">
        <v>711</v>
      </c>
      <c r="B142">
        <v>244</v>
      </c>
      <c r="C142">
        <v>364</v>
      </c>
      <c r="D142">
        <v>670</v>
      </c>
      <c r="E142">
        <v>475</v>
      </c>
      <c r="F142">
        <v>741</v>
      </c>
      <c r="G142" t="s">
        <v>5</v>
      </c>
      <c r="H142" s="1">
        <f t="shared" si="35"/>
        <v>36831.604166667006</v>
      </c>
      <c r="I142">
        <f t="shared" si="30"/>
        <v>18.602399999999999</v>
      </c>
      <c r="J142">
        <f t="shared" si="31"/>
        <v>27.554399999999998</v>
      </c>
      <c r="K142">
        <f t="shared" si="32"/>
        <v>66.328000000000003</v>
      </c>
      <c r="L142">
        <f t="shared" si="33"/>
        <v>-3.3417374999999989</v>
      </c>
      <c r="M142">
        <f t="shared" si="34"/>
        <v>260.10899999999998</v>
      </c>
      <c r="O142">
        <v>306</v>
      </c>
      <c r="P142">
        <v>1430</v>
      </c>
      <c r="Q142">
        <v>0.89700000000000002</v>
      </c>
      <c r="R142">
        <f t="shared" si="36"/>
        <v>-0.89149613201762623</v>
      </c>
    </row>
    <row r="143" spans="1:18" x14ac:dyDescent="0.25">
      <c r="A143">
        <v>711</v>
      </c>
      <c r="B143">
        <v>265</v>
      </c>
      <c r="C143">
        <v>396</v>
      </c>
      <c r="D143">
        <v>653</v>
      </c>
      <c r="E143">
        <v>473</v>
      </c>
      <c r="F143">
        <v>787</v>
      </c>
      <c r="G143" t="s">
        <v>5</v>
      </c>
      <c r="H143" s="1">
        <f t="shared" si="35"/>
        <v>36831.625000000342</v>
      </c>
      <c r="I143">
        <f t="shared" si="30"/>
        <v>20.168999999999997</v>
      </c>
      <c r="J143">
        <f t="shared" si="31"/>
        <v>29.941599999999998</v>
      </c>
      <c r="K143">
        <f t="shared" si="32"/>
        <v>64.590599999999995</v>
      </c>
      <c r="L143">
        <f t="shared" si="33"/>
        <v>-3.5217354200000002</v>
      </c>
      <c r="M143">
        <f t="shared" si="34"/>
        <v>276.16299999999995</v>
      </c>
      <c r="O143">
        <v>306</v>
      </c>
      <c r="P143">
        <v>1500</v>
      </c>
      <c r="Q143">
        <v>0.90500000000000003</v>
      </c>
      <c r="R143">
        <f t="shared" si="36"/>
        <v>-0.89914696979103603</v>
      </c>
    </row>
    <row r="144" spans="1:18" x14ac:dyDescent="0.25">
      <c r="A144">
        <v>711</v>
      </c>
      <c r="B144">
        <v>215</v>
      </c>
      <c r="C144">
        <v>448</v>
      </c>
      <c r="D144">
        <v>617</v>
      </c>
      <c r="E144">
        <v>472</v>
      </c>
      <c r="F144">
        <v>721</v>
      </c>
      <c r="G144" t="s">
        <v>5</v>
      </c>
      <c r="H144" s="1">
        <f t="shared" si="35"/>
        <v>36831.645833333678</v>
      </c>
      <c r="I144">
        <f t="shared" si="30"/>
        <v>16.439</v>
      </c>
      <c r="J144">
        <f t="shared" si="31"/>
        <v>33.820799999999998</v>
      </c>
      <c r="K144">
        <f t="shared" si="32"/>
        <v>60.9114</v>
      </c>
      <c r="L144">
        <f t="shared" si="33"/>
        <v>-3.6117043200000012</v>
      </c>
      <c r="M144">
        <f t="shared" si="34"/>
        <v>253.12899999999999</v>
      </c>
      <c r="O144">
        <v>306</v>
      </c>
      <c r="P144">
        <v>1530</v>
      </c>
      <c r="Q144">
        <v>0.90500000000000003</v>
      </c>
      <c r="R144">
        <f t="shared" si="36"/>
        <v>-0.89899694469389724</v>
      </c>
    </row>
    <row r="145" spans="1:18" x14ac:dyDescent="0.25">
      <c r="A145">
        <v>711</v>
      </c>
      <c r="B145">
        <v>201</v>
      </c>
      <c r="C145">
        <v>376</v>
      </c>
      <c r="D145">
        <v>625</v>
      </c>
      <c r="E145">
        <v>468</v>
      </c>
      <c r="F145">
        <v>737</v>
      </c>
      <c r="G145" t="s">
        <v>5</v>
      </c>
      <c r="H145" s="1">
        <f t="shared" si="35"/>
        <v>36831.666666667013</v>
      </c>
      <c r="I145">
        <f t="shared" si="30"/>
        <v>15.394600000000001</v>
      </c>
      <c r="J145">
        <f t="shared" si="31"/>
        <v>28.449599999999997</v>
      </c>
      <c r="K145">
        <f t="shared" si="32"/>
        <v>61.728999999999999</v>
      </c>
      <c r="L145">
        <f t="shared" si="33"/>
        <v>-3.9713795200000037</v>
      </c>
      <c r="M145">
        <f t="shared" si="34"/>
        <v>258.71299999999997</v>
      </c>
      <c r="O145">
        <v>306</v>
      </c>
      <c r="P145">
        <v>1600</v>
      </c>
      <c r="Q145">
        <v>0.90500000000000003</v>
      </c>
      <c r="R145">
        <f t="shared" si="36"/>
        <v>-0.8983969281978843</v>
      </c>
    </row>
    <row r="146" spans="1:18" x14ac:dyDescent="0.25">
      <c r="A146">
        <v>711</v>
      </c>
      <c r="B146">
        <v>129</v>
      </c>
      <c r="C146">
        <v>300</v>
      </c>
      <c r="D146">
        <v>614</v>
      </c>
      <c r="E146">
        <v>464</v>
      </c>
      <c r="F146">
        <v>725</v>
      </c>
      <c r="G146" t="s">
        <v>5</v>
      </c>
      <c r="H146" s="1">
        <f t="shared" si="35"/>
        <v>36831.687500000349</v>
      </c>
      <c r="I146">
        <f t="shared" si="30"/>
        <v>10.023400000000001</v>
      </c>
      <c r="J146">
        <f t="shared" si="31"/>
        <v>22.779999999999998</v>
      </c>
      <c r="K146">
        <f t="shared" si="32"/>
        <v>60.604799999999997</v>
      </c>
      <c r="L146">
        <f t="shared" si="33"/>
        <v>-4.3307340799999992</v>
      </c>
      <c r="M146">
        <f t="shared" si="34"/>
        <v>254.52499999999998</v>
      </c>
      <c r="O146">
        <v>306</v>
      </c>
      <c r="P146">
        <v>1630</v>
      </c>
      <c r="Q146">
        <v>0.90500000000000003</v>
      </c>
      <c r="R146">
        <f t="shared" si="36"/>
        <v>-0.89779704613177258</v>
      </c>
    </row>
    <row r="147" spans="1:18" x14ac:dyDescent="0.25">
      <c r="A147">
        <v>711</v>
      </c>
      <c r="B147">
        <v>65</v>
      </c>
      <c r="C147">
        <v>208</v>
      </c>
      <c r="D147">
        <v>708</v>
      </c>
      <c r="E147">
        <v>469</v>
      </c>
      <c r="F147">
        <v>665</v>
      </c>
      <c r="G147" t="s">
        <v>5</v>
      </c>
      <c r="H147" s="1">
        <f t="shared" si="35"/>
        <v>36831.708333333685</v>
      </c>
      <c r="I147">
        <f t="shared" si="30"/>
        <v>5.2490000000000006</v>
      </c>
      <c r="J147">
        <f t="shared" si="31"/>
        <v>15.9168</v>
      </c>
      <c r="K147">
        <f t="shared" si="32"/>
        <v>70.211600000000004</v>
      </c>
      <c r="L147">
        <f t="shared" si="33"/>
        <v>-3.8814907800000031</v>
      </c>
      <c r="M147">
        <f t="shared" si="34"/>
        <v>233.58499999999998</v>
      </c>
      <c r="O147">
        <v>306</v>
      </c>
      <c r="P147">
        <v>1700</v>
      </c>
      <c r="Q147">
        <v>0.90500000000000003</v>
      </c>
      <c r="R147">
        <f t="shared" si="36"/>
        <v>-0.89854691972960299</v>
      </c>
    </row>
    <row r="148" spans="1:18" x14ac:dyDescent="0.25">
      <c r="A148">
        <v>711</v>
      </c>
      <c r="B148">
        <v>101</v>
      </c>
      <c r="C148">
        <v>296</v>
      </c>
      <c r="D148">
        <v>895</v>
      </c>
      <c r="E148">
        <v>470</v>
      </c>
      <c r="F148">
        <v>637</v>
      </c>
      <c r="G148" t="s">
        <v>5</v>
      </c>
      <c r="H148" s="1">
        <f t="shared" si="35"/>
        <v>36831.729166667021</v>
      </c>
      <c r="I148">
        <f t="shared" si="30"/>
        <v>7.9346000000000005</v>
      </c>
      <c r="J148">
        <f t="shared" si="31"/>
        <v>22.4816</v>
      </c>
      <c r="K148">
        <f t="shared" si="32"/>
        <v>89.322999999999993</v>
      </c>
      <c r="L148">
        <f t="shared" si="33"/>
        <v>-3.7915820000000022</v>
      </c>
      <c r="M148">
        <f t="shared" si="34"/>
        <v>223.81299999999999</v>
      </c>
      <c r="O148">
        <v>306</v>
      </c>
      <c r="P148">
        <v>1730</v>
      </c>
      <c r="Q148">
        <v>0.90500000000000003</v>
      </c>
      <c r="R148">
        <f t="shared" si="36"/>
        <v>-0.89869691965898024</v>
      </c>
    </row>
    <row r="149" spans="1:18" x14ac:dyDescent="0.25">
      <c r="A149">
        <v>711</v>
      </c>
      <c r="B149">
        <v>43</v>
      </c>
      <c r="C149">
        <v>160</v>
      </c>
      <c r="D149">
        <v>195</v>
      </c>
      <c r="E149">
        <v>467</v>
      </c>
      <c r="F149">
        <v>689</v>
      </c>
      <c r="G149" t="s">
        <v>5</v>
      </c>
      <c r="H149" s="1">
        <f t="shared" si="35"/>
        <v>36831.750000000357</v>
      </c>
      <c r="I149">
        <f t="shared" si="30"/>
        <v>3.6077999999999997</v>
      </c>
      <c r="J149">
        <f t="shared" si="31"/>
        <v>12.336</v>
      </c>
      <c r="K149">
        <f t="shared" si="32"/>
        <v>17.782999999999998</v>
      </c>
      <c r="L149">
        <f t="shared" si="33"/>
        <v>-4.0612482200000048</v>
      </c>
      <c r="M149">
        <f t="shared" si="34"/>
        <v>241.96099999999998</v>
      </c>
      <c r="O149">
        <v>306</v>
      </c>
      <c r="P149">
        <v>1800</v>
      </c>
      <c r="Q149">
        <v>0.90700000000000003</v>
      </c>
      <c r="R149">
        <f t="shared" si="36"/>
        <v>-0.90023202118972878</v>
      </c>
    </row>
    <row r="150" spans="1:18" x14ac:dyDescent="0.25">
      <c r="A150">
        <v>711</v>
      </c>
      <c r="B150">
        <v>75</v>
      </c>
      <c r="C150">
        <v>284</v>
      </c>
      <c r="D150">
        <v>860</v>
      </c>
      <c r="E150">
        <v>460</v>
      </c>
      <c r="F150">
        <v>749</v>
      </c>
      <c r="G150" t="s">
        <v>5</v>
      </c>
      <c r="H150" s="1">
        <f t="shared" si="35"/>
        <v>36831.770833333692</v>
      </c>
      <c r="I150">
        <f t="shared" si="30"/>
        <v>5.9950000000000001</v>
      </c>
      <c r="J150">
        <f t="shared" si="31"/>
        <v>21.586399999999998</v>
      </c>
      <c r="K150">
        <f t="shared" si="32"/>
        <v>85.745999999999995</v>
      </c>
      <c r="L150">
        <f t="shared" si="33"/>
        <v>-4.6897680000000026</v>
      </c>
      <c r="M150">
        <f t="shared" si="34"/>
        <v>262.90100000000001</v>
      </c>
      <c r="O150">
        <v>306</v>
      </c>
      <c r="P150">
        <v>1830</v>
      </c>
      <c r="Q150">
        <v>0.90200000000000002</v>
      </c>
      <c r="R150">
        <f t="shared" si="36"/>
        <v>-0.89422316407316926</v>
      </c>
    </row>
    <row r="151" spans="1:18" x14ac:dyDescent="0.25">
      <c r="A151">
        <v>711</v>
      </c>
      <c r="B151">
        <v>78</v>
      </c>
      <c r="C151">
        <v>224</v>
      </c>
      <c r="D151">
        <v>133</v>
      </c>
      <c r="E151">
        <v>459</v>
      </c>
      <c r="F151">
        <v>761</v>
      </c>
      <c r="G151" t="s">
        <v>5</v>
      </c>
      <c r="H151" s="1">
        <f t="shared" si="35"/>
        <v>36831.791666667028</v>
      </c>
      <c r="I151">
        <f t="shared" si="30"/>
        <v>6.2187999999999999</v>
      </c>
      <c r="J151">
        <f t="shared" si="31"/>
        <v>17.110399999999998</v>
      </c>
      <c r="K151">
        <f t="shared" si="32"/>
        <v>11.4466</v>
      </c>
      <c r="L151">
        <f t="shared" si="33"/>
        <v>-4.7794763800000029</v>
      </c>
      <c r="M151">
        <f t="shared" si="34"/>
        <v>267.089</v>
      </c>
      <c r="O151">
        <v>306</v>
      </c>
      <c r="P151">
        <v>1900</v>
      </c>
      <c r="Q151">
        <v>0.90500000000000003</v>
      </c>
      <c r="R151">
        <f t="shared" si="36"/>
        <v>-0.89704738300203413</v>
      </c>
    </row>
    <row r="152" spans="1:18" x14ac:dyDescent="0.25">
      <c r="A152">
        <v>711</v>
      </c>
      <c r="B152">
        <v>83</v>
      </c>
      <c r="C152">
        <v>168</v>
      </c>
      <c r="D152">
        <v>67</v>
      </c>
      <c r="E152">
        <v>464</v>
      </c>
      <c r="F152">
        <v>733</v>
      </c>
      <c r="G152" t="s">
        <v>5</v>
      </c>
      <c r="H152" s="1">
        <f t="shared" si="35"/>
        <v>36831.812500000364</v>
      </c>
      <c r="I152">
        <f t="shared" si="30"/>
        <v>6.5918000000000001</v>
      </c>
      <c r="J152">
        <f t="shared" si="31"/>
        <v>12.9328</v>
      </c>
      <c r="K152">
        <f t="shared" si="32"/>
        <v>4.7014000000000005</v>
      </c>
      <c r="L152">
        <f t="shared" si="33"/>
        <v>-4.3307340799999992</v>
      </c>
      <c r="M152">
        <f t="shared" si="34"/>
        <v>257.31700000000001</v>
      </c>
      <c r="O152">
        <v>306</v>
      </c>
      <c r="P152">
        <v>1930</v>
      </c>
      <c r="Q152">
        <v>0.90200000000000002</v>
      </c>
      <c r="R152">
        <f t="shared" si="36"/>
        <v>-0.89482092332691587</v>
      </c>
    </row>
    <row r="153" spans="1:18" x14ac:dyDescent="0.25">
      <c r="A153">
        <v>711</v>
      </c>
      <c r="B153">
        <v>68</v>
      </c>
      <c r="C153">
        <v>188</v>
      </c>
      <c r="D153">
        <v>231</v>
      </c>
      <c r="E153">
        <v>462</v>
      </c>
      <c r="F153">
        <v>721</v>
      </c>
      <c r="G153" t="s">
        <v>5</v>
      </c>
      <c r="H153" s="1">
        <f>H152+1/48</f>
        <v>36831.8333333337</v>
      </c>
      <c r="I153">
        <f t="shared" si="30"/>
        <v>5.4728000000000003</v>
      </c>
      <c r="J153">
        <f t="shared" si="31"/>
        <v>14.424799999999999</v>
      </c>
      <c r="K153">
        <f t="shared" si="32"/>
        <v>21.462199999999999</v>
      </c>
      <c r="L153">
        <f t="shared" si="33"/>
        <v>-4.5102911200000007</v>
      </c>
      <c r="M153">
        <f t="shared" si="34"/>
        <v>253.12899999999999</v>
      </c>
      <c r="O153">
        <v>306</v>
      </c>
      <c r="P153">
        <v>2000</v>
      </c>
      <c r="Q153">
        <v>0.89500000000000002</v>
      </c>
      <c r="R153">
        <f t="shared" si="36"/>
        <v>-0.88758005995224387</v>
      </c>
    </row>
    <row r="154" spans="1:18" x14ac:dyDescent="0.25">
      <c r="A154">
        <v>711</v>
      </c>
      <c r="B154">
        <v>66</v>
      </c>
      <c r="C154">
        <v>124</v>
      </c>
      <c r="D154">
        <v>179</v>
      </c>
      <c r="E154">
        <v>454</v>
      </c>
      <c r="F154">
        <v>857</v>
      </c>
      <c r="G154" t="s">
        <v>5</v>
      </c>
      <c r="H154" s="1">
        <f t="shared" si="35"/>
        <v>36831.854166667035</v>
      </c>
      <c r="I154">
        <f t="shared" si="30"/>
        <v>5.3236000000000008</v>
      </c>
      <c r="J154">
        <f t="shared" si="31"/>
        <v>9.6503999999999994</v>
      </c>
      <c r="K154">
        <f t="shared" si="32"/>
        <v>16.1478</v>
      </c>
      <c r="L154">
        <f t="shared" si="33"/>
        <v>-5.2277176799999996</v>
      </c>
      <c r="M154">
        <f t="shared" si="34"/>
        <v>300.59299999999996</v>
      </c>
      <c r="O154">
        <v>306</v>
      </c>
      <c r="P154">
        <v>2030</v>
      </c>
      <c r="Q154">
        <v>0.9</v>
      </c>
      <c r="R154">
        <f t="shared" si="36"/>
        <v>-0.89134600859850222</v>
      </c>
    </row>
    <row r="155" spans="1:18" x14ac:dyDescent="0.25">
      <c r="A155">
        <v>711</v>
      </c>
      <c r="B155">
        <v>68</v>
      </c>
      <c r="C155">
        <v>144</v>
      </c>
      <c r="D155">
        <v>136</v>
      </c>
      <c r="E155">
        <v>458</v>
      </c>
      <c r="F155">
        <v>781</v>
      </c>
      <c r="G155" t="s">
        <v>5</v>
      </c>
      <c r="H155" s="1">
        <f t="shared" si="35"/>
        <v>36831.875000000371</v>
      </c>
      <c r="I155">
        <f t="shared" si="30"/>
        <v>5.4728000000000003</v>
      </c>
      <c r="J155">
        <f t="shared" si="31"/>
        <v>11.1424</v>
      </c>
      <c r="K155">
        <f t="shared" si="32"/>
        <v>11.7532</v>
      </c>
      <c r="L155">
        <f t="shared" si="33"/>
        <v>-4.8691647200000041</v>
      </c>
      <c r="M155">
        <f t="shared" si="34"/>
        <v>274.06899999999996</v>
      </c>
      <c r="O155">
        <v>306</v>
      </c>
      <c r="P155">
        <v>2100</v>
      </c>
      <c r="Q155">
        <v>0.90500000000000003</v>
      </c>
      <c r="R155">
        <f t="shared" si="36"/>
        <v>-0.89689747567870237</v>
      </c>
    </row>
    <row r="156" spans="1:18" x14ac:dyDescent="0.25">
      <c r="A156">
        <v>711</v>
      </c>
      <c r="B156">
        <v>103</v>
      </c>
      <c r="C156">
        <v>196</v>
      </c>
      <c r="D156">
        <v>35</v>
      </c>
      <c r="E156">
        <v>458</v>
      </c>
      <c r="F156">
        <v>801</v>
      </c>
      <c r="G156" t="s">
        <v>5</v>
      </c>
      <c r="H156" s="1">
        <f t="shared" si="35"/>
        <v>36831.895833333707</v>
      </c>
      <c r="I156">
        <f t="shared" si="30"/>
        <v>8.0838000000000001</v>
      </c>
      <c r="J156">
        <f t="shared" si="31"/>
        <v>15.021600000000001</v>
      </c>
      <c r="K156">
        <f t="shared" si="32"/>
        <v>1.431</v>
      </c>
      <c r="L156">
        <f t="shared" si="33"/>
        <v>-4.8691647200000041</v>
      </c>
      <c r="M156">
        <f t="shared" si="34"/>
        <v>281.04899999999998</v>
      </c>
      <c r="O156">
        <v>306</v>
      </c>
      <c r="P156">
        <v>2130</v>
      </c>
      <c r="Q156">
        <v>0.89</v>
      </c>
      <c r="R156">
        <f t="shared" si="36"/>
        <v>-0.88203177166192825</v>
      </c>
    </row>
    <row r="157" spans="1:18" x14ac:dyDescent="0.25">
      <c r="A157">
        <v>711</v>
      </c>
      <c r="B157">
        <v>76</v>
      </c>
      <c r="C157">
        <v>164</v>
      </c>
      <c r="D157">
        <v>376</v>
      </c>
      <c r="E157">
        <v>458</v>
      </c>
      <c r="F157">
        <v>777</v>
      </c>
      <c r="G157" t="s">
        <v>5</v>
      </c>
      <c r="H157" s="1">
        <f t="shared" si="35"/>
        <v>36831.916666667043</v>
      </c>
      <c r="I157">
        <f t="shared" si="30"/>
        <v>6.0696000000000003</v>
      </c>
      <c r="J157">
        <f t="shared" si="31"/>
        <v>12.634400000000001</v>
      </c>
      <c r="K157">
        <f t="shared" si="32"/>
        <v>36.281199999999998</v>
      </c>
      <c r="L157">
        <f t="shared" si="33"/>
        <v>-4.8691647200000041</v>
      </c>
      <c r="M157">
        <f t="shared" si="34"/>
        <v>272.673</v>
      </c>
      <c r="O157">
        <v>306</v>
      </c>
      <c r="P157">
        <v>2200</v>
      </c>
      <c r="Q157">
        <v>0.89</v>
      </c>
      <c r="R157">
        <f t="shared" si="36"/>
        <v>-0.88203177166192825</v>
      </c>
    </row>
    <row r="158" spans="1:18" x14ac:dyDescent="0.25">
      <c r="A158">
        <v>711</v>
      </c>
      <c r="B158">
        <v>87</v>
      </c>
      <c r="C158">
        <v>208</v>
      </c>
      <c r="D158">
        <v>447</v>
      </c>
      <c r="E158">
        <v>457</v>
      </c>
      <c r="F158">
        <v>824</v>
      </c>
      <c r="G158" t="s">
        <v>5</v>
      </c>
      <c r="H158" s="1">
        <f t="shared" si="35"/>
        <v>36831.937500000378</v>
      </c>
      <c r="I158">
        <f t="shared" si="30"/>
        <v>6.8902000000000001</v>
      </c>
      <c r="J158">
        <f t="shared" si="31"/>
        <v>15.9168</v>
      </c>
      <c r="K158">
        <f t="shared" si="32"/>
        <v>43.537399999999998</v>
      </c>
      <c r="L158">
        <f t="shared" si="33"/>
        <v>-4.9588330200000037</v>
      </c>
      <c r="M158">
        <f t="shared" si="34"/>
        <v>289.07599999999996</v>
      </c>
      <c r="O158">
        <v>306</v>
      </c>
      <c r="P158">
        <v>2230</v>
      </c>
      <c r="Q158">
        <v>0.88700000000000001</v>
      </c>
      <c r="R158">
        <f t="shared" si="36"/>
        <v>-0.87891171339349017</v>
      </c>
    </row>
    <row r="159" spans="1:18" x14ac:dyDescent="0.25">
      <c r="A159">
        <v>711</v>
      </c>
      <c r="B159">
        <v>93</v>
      </c>
      <c r="C159">
        <v>304</v>
      </c>
      <c r="D159">
        <v>412</v>
      </c>
      <c r="E159">
        <v>457</v>
      </c>
      <c r="F159">
        <v>825</v>
      </c>
      <c r="G159" t="s">
        <v>5</v>
      </c>
      <c r="H159" s="1">
        <f t="shared" si="35"/>
        <v>36831.958333333714</v>
      </c>
      <c r="I159">
        <f t="shared" si="30"/>
        <v>7.3378000000000005</v>
      </c>
      <c r="J159">
        <f t="shared" si="31"/>
        <v>23.078399999999998</v>
      </c>
      <c r="K159">
        <f t="shared" si="32"/>
        <v>39.9604</v>
      </c>
      <c r="L159">
        <f t="shared" si="33"/>
        <v>-4.9588330200000037</v>
      </c>
      <c r="M159">
        <f t="shared" si="34"/>
        <v>289.42499999999995</v>
      </c>
      <c r="O159">
        <v>306</v>
      </c>
      <c r="P159">
        <v>2300</v>
      </c>
      <c r="Q159">
        <v>0.875</v>
      </c>
      <c r="R159">
        <f t="shared" si="36"/>
        <v>-0.86702113778951961</v>
      </c>
    </row>
    <row r="160" spans="1:18" x14ac:dyDescent="0.25">
      <c r="A160">
        <v>711</v>
      </c>
      <c r="B160">
        <v>88</v>
      </c>
      <c r="C160">
        <v>304</v>
      </c>
      <c r="D160">
        <v>274</v>
      </c>
      <c r="E160">
        <v>450</v>
      </c>
      <c r="F160">
        <v>828</v>
      </c>
      <c r="G160" t="s">
        <v>5</v>
      </c>
      <c r="H160" s="1">
        <f t="shared" si="35"/>
        <v>36831.97916666705</v>
      </c>
      <c r="I160">
        <f t="shared" si="30"/>
        <v>6.9648000000000003</v>
      </c>
      <c r="J160">
        <f t="shared" si="31"/>
        <v>23.078399999999998</v>
      </c>
      <c r="K160">
        <f t="shared" si="32"/>
        <v>25.8568</v>
      </c>
      <c r="L160">
        <f t="shared" si="33"/>
        <v>-5.5859500000000022</v>
      </c>
      <c r="M160">
        <f t="shared" si="34"/>
        <v>290.47199999999998</v>
      </c>
      <c r="O160">
        <v>306</v>
      </c>
      <c r="P160">
        <v>2330</v>
      </c>
      <c r="Q160">
        <v>0.86</v>
      </c>
      <c r="R160">
        <f t="shared" si="36"/>
        <v>-0.85116102589388576</v>
      </c>
    </row>
    <row r="161" spans="1:18" x14ac:dyDescent="0.25">
      <c r="A161">
        <v>711</v>
      </c>
      <c r="B161">
        <v>85</v>
      </c>
      <c r="C161">
        <v>280</v>
      </c>
      <c r="D161">
        <v>226</v>
      </c>
      <c r="E161">
        <v>457</v>
      </c>
      <c r="F161">
        <v>793</v>
      </c>
      <c r="G161" t="s">
        <v>5</v>
      </c>
      <c r="H161" s="1">
        <f t="shared" si="35"/>
        <v>36832.000000000386</v>
      </c>
      <c r="I161">
        <f t="shared" si="30"/>
        <v>6.7410000000000005</v>
      </c>
      <c r="J161">
        <f t="shared" si="31"/>
        <v>21.287999999999997</v>
      </c>
      <c r="K161">
        <f t="shared" si="32"/>
        <v>20.9512</v>
      </c>
      <c r="L161">
        <f t="shared" si="33"/>
        <v>-4.9588330200000037</v>
      </c>
      <c r="M161">
        <f t="shared" si="34"/>
        <v>278.25700000000001</v>
      </c>
      <c r="O161">
        <v>306</v>
      </c>
      <c r="P161">
        <v>2400</v>
      </c>
      <c r="Q161">
        <v>0.84499999999999997</v>
      </c>
      <c r="R161">
        <f t="shared" si="36"/>
        <v>-0.83729469877959317</v>
      </c>
    </row>
    <row r="162" spans="1:18" x14ac:dyDescent="0.25">
      <c r="A162">
        <v>711</v>
      </c>
      <c r="B162">
        <v>92</v>
      </c>
      <c r="C162">
        <v>364</v>
      </c>
      <c r="D162">
        <v>313</v>
      </c>
      <c r="E162">
        <v>454</v>
      </c>
      <c r="F162">
        <v>776</v>
      </c>
      <c r="G162" t="s">
        <v>5</v>
      </c>
      <c r="H162" s="1">
        <f t="shared" si="35"/>
        <v>36832.020833333721</v>
      </c>
      <c r="I162">
        <f t="shared" si="30"/>
        <v>7.2632000000000003</v>
      </c>
      <c r="J162">
        <f t="shared" si="31"/>
        <v>27.554399999999998</v>
      </c>
      <c r="K162">
        <f t="shared" si="32"/>
        <v>29.842599999999997</v>
      </c>
      <c r="L162">
        <f t="shared" si="33"/>
        <v>-5.2277176799999996</v>
      </c>
      <c r="M162">
        <f t="shared" si="34"/>
        <v>272.32399999999996</v>
      </c>
      <c r="O162">
        <v>307</v>
      </c>
      <c r="P162">
        <v>30</v>
      </c>
      <c r="Q162">
        <v>0.84499999999999997</v>
      </c>
      <c r="R162">
        <f t="shared" si="36"/>
        <v>-0.83687486362859365</v>
      </c>
    </row>
    <row r="163" spans="1:18" x14ac:dyDescent="0.25">
      <c r="A163">
        <v>711</v>
      </c>
      <c r="B163">
        <v>103</v>
      </c>
      <c r="C163">
        <v>416</v>
      </c>
      <c r="D163">
        <v>490</v>
      </c>
      <c r="E163">
        <v>450</v>
      </c>
      <c r="F163">
        <v>788</v>
      </c>
      <c r="G163" t="s">
        <v>5</v>
      </c>
      <c r="H163" s="1">
        <f t="shared" si="35"/>
        <v>36832.041666667057</v>
      </c>
      <c r="I163">
        <f t="shared" si="30"/>
        <v>8.0838000000000001</v>
      </c>
      <c r="J163">
        <f t="shared" si="31"/>
        <v>31.433599999999998</v>
      </c>
      <c r="K163">
        <f t="shared" si="32"/>
        <v>47.932000000000002</v>
      </c>
      <c r="L163">
        <f t="shared" si="33"/>
        <v>-5.5859500000000022</v>
      </c>
      <c r="M163">
        <f t="shared" si="34"/>
        <v>276.512</v>
      </c>
      <c r="O163">
        <v>307</v>
      </c>
      <c r="P163">
        <v>100</v>
      </c>
      <c r="Q163">
        <v>0.83699999999999997</v>
      </c>
      <c r="R163">
        <f t="shared" si="36"/>
        <v>-0.82839741706184</v>
      </c>
    </row>
    <row r="164" spans="1:18" x14ac:dyDescent="0.25">
      <c r="A164">
        <v>711</v>
      </c>
      <c r="B164">
        <v>112</v>
      </c>
      <c r="C164">
        <v>292</v>
      </c>
      <c r="D164">
        <v>470</v>
      </c>
      <c r="E164">
        <v>448</v>
      </c>
      <c r="F164">
        <v>757</v>
      </c>
      <c r="G164" t="s">
        <v>5</v>
      </c>
      <c r="H164" s="1">
        <f t="shared" si="35"/>
        <v>36832.062500000393</v>
      </c>
      <c r="I164">
        <f t="shared" si="30"/>
        <v>8.7552000000000003</v>
      </c>
      <c r="J164">
        <f t="shared" si="31"/>
        <v>22.183199999999999</v>
      </c>
      <c r="K164">
        <f t="shared" si="32"/>
        <v>45.887999999999998</v>
      </c>
      <c r="L164">
        <f t="shared" si="33"/>
        <v>-5.7649459200000033</v>
      </c>
      <c r="M164">
        <f t="shared" si="34"/>
        <v>265.69299999999998</v>
      </c>
      <c r="O164">
        <v>307</v>
      </c>
      <c r="P164">
        <v>130</v>
      </c>
      <c r="Q164">
        <v>0.83699999999999997</v>
      </c>
      <c r="R164">
        <f t="shared" si="36"/>
        <v>-0.82812027862476867</v>
      </c>
    </row>
    <row r="165" spans="1:18" x14ac:dyDescent="0.25">
      <c r="A165">
        <v>711</v>
      </c>
      <c r="B165">
        <v>107</v>
      </c>
      <c r="C165">
        <v>252</v>
      </c>
      <c r="D165">
        <v>408</v>
      </c>
      <c r="E165">
        <v>451</v>
      </c>
      <c r="F165">
        <v>759</v>
      </c>
      <c r="G165" t="s">
        <v>5</v>
      </c>
      <c r="H165" s="1">
        <f t="shared" si="35"/>
        <v>36832.083333333729</v>
      </c>
      <c r="I165">
        <f t="shared" si="30"/>
        <v>8.3821999999999992</v>
      </c>
      <c r="J165">
        <f t="shared" si="31"/>
        <v>19.199199999999998</v>
      </c>
      <c r="K165">
        <f t="shared" si="32"/>
        <v>39.551600000000001</v>
      </c>
      <c r="L165">
        <f t="shared" si="33"/>
        <v>-5.4964219800000009</v>
      </c>
      <c r="M165">
        <f t="shared" si="34"/>
        <v>266.39099999999996</v>
      </c>
      <c r="O165">
        <v>307</v>
      </c>
      <c r="P165">
        <v>200</v>
      </c>
      <c r="Q165">
        <v>0.83499999999999996</v>
      </c>
      <c r="R165">
        <f t="shared" si="36"/>
        <v>-0.82655622266023621</v>
      </c>
    </row>
    <row r="166" spans="1:18" x14ac:dyDescent="0.25">
      <c r="A166">
        <v>711</v>
      </c>
      <c r="B166">
        <v>93</v>
      </c>
      <c r="C166">
        <v>272</v>
      </c>
      <c r="D166">
        <v>583</v>
      </c>
      <c r="E166">
        <v>452</v>
      </c>
      <c r="F166">
        <v>741</v>
      </c>
      <c r="G166" t="s">
        <v>5</v>
      </c>
      <c r="H166" s="1">
        <f t="shared" si="35"/>
        <v>36832.104166667064</v>
      </c>
      <c r="I166">
        <f t="shared" si="30"/>
        <v>7.3378000000000005</v>
      </c>
      <c r="J166">
        <f t="shared" si="31"/>
        <v>20.691199999999998</v>
      </c>
      <c r="K166">
        <f t="shared" si="32"/>
        <v>57.436599999999999</v>
      </c>
      <c r="L166">
        <f t="shared" si="33"/>
        <v>-5.4068739200000007</v>
      </c>
      <c r="M166">
        <f t="shared" si="34"/>
        <v>260.10899999999998</v>
      </c>
      <c r="O166">
        <v>307</v>
      </c>
      <c r="P166">
        <v>230</v>
      </c>
      <c r="Q166">
        <v>0.83</v>
      </c>
      <c r="R166">
        <f t="shared" si="36"/>
        <v>-0.82174421397400232</v>
      </c>
    </row>
    <row r="167" spans="1:18" x14ac:dyDescent="0.25">
      <c r="A167">
        <v>11</v>
      </c>
      <c r="B167">
        <v>87</v>
      </c>
      <c r="C167">
        <v>224</v>
      </c>
      <c r="D167">
        <v>853</v>
      </c>
      <c r="E167">
        <v>453</v>
      </c>
      <c r="F167">
        <v>749</v>
      </c>
      <c r="G167" t="s">
        <v>5</v>
      </c>
      <c r="H167" s="1">
        <f t="shared" si="35"/>
        <v>36832.1250000004</v>
      </c>
      <c r="I167">
        <f t="shared" ref="I167:I178" si="37">0.4+0.0746*B167</f>
        <v>6.8902000000000001</v>
      </c>
      <c r="J167">
        <f t="shared" ref="J167:J178" si="38">0.4+0.0746*C167</f>
        <v>17.110399999999998</v>
      </c>
      <c r="K167">
        <f t="shared" ref="K167:K178" si="39">-2.146+0.1022*D167</f>
        <v>85.030599999999993</v>
      </c>
      <c r="L167">
        <f t="shared" ref="L167:L178" si="40">-43.84+0.0805*E167+0.00001002*E167^2</f>
        <v>-5.3173058199999996</v>
      </c>
      <c r="M167">
        <f t="shared" ref="M167:M178" si="41">1.5+0.349*F167</f>
        <v>262.90100000000001</v>
      </c>
      <c r="O167">
        <v>307</v>
      </c>
      <c r="P167">
        <v>300</v>
      </c>
      <c r="Q167">
        <v>0.83</v>
      </c>
      <c r="R167">
        <f t="shared" si="36"/>
        <v>-0.82188165151444292</v>
      </c>
    </row>
    <row r="168" spans="1:18" x14ac:dyDescent="0.25">
      <c r="A168">
        <v>11</v>
      </c>
      <c r="B168">
        <v>99</v>
      </c>
      <c r="C168">
        <v>256</v>
      </c>
      <c r="D168">
        <v>467</v>
      </c>
      <c r="E168">
        <v>452</v>
      </c>
      <c r="F168">
        <v>749</v>
      </c>
      <c r="G168" t="s">
        <v>5</v>
      </c>
      <c r="H168" s="1">
        <f t="shared" si="35"/>
        <v>36832.145833333736</v>
      </c>
      <c r="I168">
        <f t="shared" si="37"/>
        <v>7.7854000000000001</v>
      </c>
      <c r="J168">
        <f t="shared" si="38"/>
        <v>19.497599999999998</v>
      </c>
      <c r="K168">
        <f t="shared" si="39"/>
        <v>45.581400000000002</v>
      </c>
      <c r="L168">
        <f t="shared" si="40"/>
        <v>-5.4068739200000007</v>
      </c>
      <c r="M168">
        <f t="shared" si="41"/>
        <v>262.90100000000001</v>
      </c>
      <c r="O168">
        <v>307</v>
      </c>
      <c r="P168">
        <v>330</v>
      </c>
      <c r="Q168">
        <v>0.82</v>
      </c>
      <c r="R168">
        <f t="shared" si="36"/>
        <v>-0.81184368127552042</v>
      </c>
    </row>
    <row r="169" spans="1:18" x14ac:dyDescent="0.25">
      <c r="A169">
        <v>11</v>
      </c>
      <c r="B169">
        <v>92</v>
      </c>
      <c r="C169">
        <v>252</v>
      </c>
      <c r="D169">
        <v>439</v>
      </c>
      <c r="E169">
        <v>450</v>
      </c>
      <c r="F169">
        <v>729</v>
      </c>
      <c r="G169" t="s">
        <v>5</v>
      </c>
      <c r="H169" s="1">
        <f t="shared" si="35"/>
        <v>36832.166666667072</v>
      </c>
      <c r="I169">
        <f t="shared" si="37"/>
        <v>7.2632000000000003</v>
      </c>
      <c r="J169">
        <f t="shared" si="38"/>
        <v>19.199199999999998</v>
      </c>
      <c r="K169">
        <f t="shared" si="39"/>
        <v>42.719799999999999</v>
      </c>
      <c r="L169">
        <f t="shared" si="40"/>
        <v>-5.5859500000000022</v>
      </c>
      <c r="M169">
        <f t="shared" si="41"/>
        <v>255.92099999999999</v>
      </c>
      <c r="O169">
        <v>307</v>
      </c>
      <c r="P169">
        <v>400</v>
      </c>
      <c r="Q169">
        <v>0.81200000000000006</v>
      </c>
      <c r="R169">
        <f t="shared" si="36"/>
        <v>-0.80365436398352941</v>
      </c>
    </row>
    <row r="170" spans="1:18" x14ac:dyDescent="0.25">
      <c r="A170">
        <v>11</v>
      </c>
      <c r="B170">
        <v>100</v>
      </c>
      <c r="C170">
        <v>224</v>
      </c>
      <c r="D170">
        <v>489</v>
      </c>
      <c r="E170">
        <v>444</v>
      </c>
      <c r="F170">
        <v>789</v>
      </c>
      <c r="G170" t="s">
        <v>5</v>
      </c>
      <c r="H170" s="1">
        <f t="shared" si="35"/>
        <v>36832.187500000407</v>
      </c>
      <c r="I170">
        <f t="shared" si="37"/>
        <v>7.86</v>
      </c>
      <c r="J170">
        <f t="shared" si="38"/>
        <v>17.110399999999998</v>
      </c>
      <c r="K170">
        <f t="shared" si="39"/>
        <v>47.829799999999999</v>
      </c>
      <c r="L170">
        <f t="shared" si="40"/>
        <v>-6.1226972799999988</v>
      </c>
      <c r="M170">
        <f t="shared" si="41"/>
        <v>276.86099999999999</v>
      </c>
      <c r="O170">
        <v>307</v>
      </c>
      <c r="P170">
        <v>430</v>
      </c>
      <c r="Q170">
        <v>0.81</v>
      </c>
      <c r="R170">
        <f t="shared" si="36"/>
        <v>-0.80087041545362592</v>
      </c>
    </row>
    <row r="171" spans="1:18" x14ac:dyDescent="0.25">
      <c r="A171">
        <v>11</v>
      </c>
      <c r="B171">
        <v>92</v>
      </c>
      <c r="C171">
        <v>192</v>
      </c>
      <c r="D171">
        <v>519</v>
      </c>
      <c r="E171">
        <v>448</v>
      </c>
      <c r="F171">
        <v>697</v>
      </c>
      <c r="G171" t="s">
        <v>5</v>
      </c>
      <c r="H171" s="1">
        <f t="shared" si="35"/>
        <v>36832.208333333743</v>
      </c>
      <c r="I171">
        <f t="shared" si="37"/>
        <v>7.2632000000000003</v>
      </c>
      <c r="J171">
        <f t="shared" si="38"/>
        <v>14.7232</v>
      </c>
      <c r="K171">
        <f t="shared" si="39"/>
        <v>50.895800000000001</v>
      </c>
      <c r="L171">
        <f t="shared" si="40"/>
        <v>-5.7649459200000033</v>
      </c>
      <c r="M171">
        <f t="shared" si="41"/>
        <v>244.75299999999999</v>
      </c>
      <c r="O171">
        <v>307</v>
      </c>
      <c r="P171">
        <v>500</v>
      </c>
      <c r="Q171">
        <v>0.81499999999999995</v>
      </c>
      <c r="R171">
        <f t="shared" si="36"/>
        <v>-0.80635367631921917</v>
      </c>
    </row>
    <row r="172" spans="1:18" x14ac:dyDescent="0.25">
      <c r="A172">
        <v>11</v>
      </c>
      <c r="B172">
        <v>83</v>
      </c>
      <c r="C172">
        <v>204</v>
      </c>
      <c r="D172">
        <v>478</v>
      </c>
      <c r="E172">
        <v>449</v>
      </c>
      <c r="F172">
        <v>713</v>
      </c>
      <c r="G172" t="s">
        <v>5</v>
      </c>
      <c r="H172" s="1">
        <f t="shared" si="35"/>
        <v>36832.229166667079</v>
      </c>
      <c r="I172">
        <f t="shared" si="37"/>
        <v>6.5918000000000001</v>
      </c>
      <c r="J172">
        <f t="shared" si="38"/>
        <v>15.618399999999999</v>
      </c>
      <c r="K172">
        <f t="shared" si="39"/>
        <v>46.705599999999997</v>
      </c>
      <c r="L172">
        <f t="shared" si="40"/>
        <v>-5.6754579800000027</v>
      </c>
      <c r="M172">
        <f t="shared" si="41"/>
        <v>250.33699999999999</v>
      </c>
      <c r="O172">
        <v>307</v>
      </c>
      <c r="P172">
        <v>530</v>
      </c>
      <c r="Q172">
        <v>0.81</v>
      </c>
      <c r="R172">
        <f t="shared" si="36"/>
        <v>-0.80154081669758037</v>
      </c>
    </row>
    <row r="173" spans="1:18" x14ac:dyDescent="0.25">
      <c r="A173">
        <v>11</v>
      </c>
      <c r="B173">
        <v>73</v>
      </c>
      <c r="C173">
        <v>192</v>
      </c>
      <c r="D173">
        <v>457</v>
      </c>
      <c r="E173">
        <v>450</v>
      </c>
      <c r="F173">
        <v>689</v>
      </c>
      <c r="G173" t="s">
        <v>5</v>
      </c>
      <c r="H173" s="1">
        <f t="shared" si="35"/>
        <v>36832.250000000415</v>
      </c>
      <c r="I173">
        <f t="shared" si="37"/>
        <v>5.8458000000000006</v>
      </c>
      <c r="J173">
        <f t="shared" si="38"/>
        <v>14.7232</v>
      </c>
      <c r="K173">
        <f t="shared" si="39"/>
        <v>44.559399999999997</v>
      </c>
      <c r="L173">
        <f t="shared" si="40"/>
        <v>-5.5859500000000022</v>
      </c>
      <c r="M173">
        <f t="shared" si="41"/>
        <v>241.96099999999998</v>
      </c>
      <c r="O173">
        <v>307</v>
      </c>
      <c r="P173">
        <v>600</v>
      </c>
      <c r="Q173">
        <v>0.81499999999999995</v>
      </c>
      <c r="R173">
        <f t="shared" si="36"/>
        <v>-0.80662353035292667</v>
      </c>
    </row>
    <row r="174" spans="1:18" x14ac:dyDescent="0.25">
      <c r="A174">
        <v>11</v>
      </c>
      <c r="B174">
        <v>51</v>
      </c>
      <c r="C174">
        <v>172</v>
      </c>
      <c r="D174">
        <v>383</v>
      </c>
      <c r="E174">
        <v>442</v>
      </c>
      <c r="F174">
        <v>804</v>
      </c>
      <c r="G174" t="s">
        <v>5</v>
      </c>
      <c r="H174" s="1">
        <f t="shared" si="35"/>
        <v>36832.27083333375</v>
      </c>
      <c r="I174">
        <f t="shared" si="37"/>
        <v>4.2046000000000001</v>
      </c>
      <c r="J174">
        <f t="shared" si="38"/>
        <v>13.231199999999999</v>
      </c>
      <c r="K174">
        <f t="shared" si="39"/>
        <v>36.996600000000001</v>
      </c>
      <c r="L174">
        <f t="shared" si="40"/>
        <v>-6.3014527200000003</v>
      </c>
      <c r="M174">
        <f t="shared" si="41"/>
        <v>282.096</v>
      </c>
      <c r="O174">
        <v>307</v>
      </c>
      <c r="P174">
        <v>630</v>
      </c>
      <c r="Q174">
        <v>0.82</v>
      </c>
      <c r="R174">
        <f t="shared" si="36"/>
        <v>-0.81048628731969763</v>
      </c>
    </row>
    <row r="175" spans="1:18" x14ac:dyDescent="0.25">
      <c r="A175">
        <v>11</v>
      </c>
      <c r="B175">
        <v>32</v>
      </c>
      <c r="C175">
        <v>72</v>
      </c>
      <c r="D175">
        <v>176</v>
      </c>
      <c r="E175">
        <v>442</v>
      </c>
      <c r="F175">
        <v>821</v>
      </c>
      <c r="G175" t="s">
        <v>5</v>
      </c>
      <c r="H175" s="1">
        <f t="shared" si="35"/>
        <v>36832.291666667086</v>
      </c>
      <c r="I175">
        <f t="shared" si="37"/>
        <v>2.7871999999999999</v>
      </c>
      <c r="J175">
        <f t="shared" si="38"/>
        <v>5.7712000000000003</v>
      </c>
      <c r="K175">
        <f t="shared" si="39"/>
        <v>15.841200000000001</v>
      </c>
      <c r="L175">
        <f t="shared" si="40"/>
        <v>-6.3014527200000003</v>
      </c>
      <c r="M175">
        <f t="shared" si="41"/>
        <v>288.029</v>
      </c>
      <c r="O175">
        <v>307</v>
      </c>
      <c r="P175">
        <v>700</v>
      </c>
      <c r="Q175">
        <v>0.82199999999999995</v>
      </c>
      <c r="R175">
        <f t="shared" si="36"/>
        <v>-0.81246308314242854</v>
      </c>
    </row>
    <row r="176" spans="1:18" x14ac:dyDescent="0.25">
      <c r="A176">
        <v>11</v>
      </c>
      <c r="B176">
        <v>29</v>
      </c>
      <c r="C176">
        <v>60</v>
      </c>
      <c r="D176">
        <v>224</v>
      </c>
      <c r="E176">
        <v>443</v>
      </c>
      <c r="F176">
        <v>833</v>
      </c>
      <c r="G176" t="s">
        <v>5</v>
      </c>
      <c r="H176" s="1">
        <f t="shared" si="35"/>
        <v>36832.312500000422</v>
      </c>
      <c r="I176">
        <f t="shared" si="37"/>
        <v>2.5634000000000001</v>
      </c>
      <c r="J176">
        <f t="shared" si="38"/>
        <v>4.8760000000000003</v>
      </c>
      <c r="K176">
        <f t="shared" si="39"/>
        <v>20.7468</v>
      </c>
      <c r="L176">
        <f t="shared" si="40"/>
        <v>-6.21208502</v>
      </c>
      <c r="M176">
        <f t="shared" si="41"/>
        <v>292.21699999999998</v>
      </c>
      <c r="O176">
        <v>307</v>
      </c>
      <c r="P176">
        <v>730</v>
      </c>
      <c r="Q176">
        <v>0.82199999999999995</v>
      </c>
      <c r="R176">
        <f t="shared" si="36"/>
        <v>-0.81259911888203373</v>
      </c>
    </row>
    <row r="177" spans="1:18" x14ac:dyDescent="0.25">
      <c r="A177">
        <v>11</v>
      </c>
      <c r="B177">
        <v>24</v>
      </c>
      <c r="C177">
        <v>52</v>
      </c>
      <c r="D177">
        <v>698</v>
      </c>
      <c r="E177">
        <v>444</v>
      </c>
      <c r="F177">
        <v>853</v>
      </c>
      <c r="G177" t="s">
        <v>5</v>
      </c>
      <c r="H177" s="1">
        <f t="shared" si="35"/>
        <v>36832.333333333758</v>
      </c>
      <c r="I177">
        <f t="shared" si="37"/>
        <v>2.1903999999999999</v>
      </c>
      <c r="J177">
        <f t="shared" si="38"/>
        <v>4.2792000000000003</v>
      </c>
      <c r="K177">
        <f t="shared" si="39"/>
        <v>69.189599999999999</v>
      </c>
      <c r="L177">
        <f t="shared" si="40"/>
        <v>-6.1226972799999988</v>
      </c>
      <c r="M177">
        <f t="shared" si="41"/>
        <v>299.197</v>
      </c>
      <c r="O177">
        <v>307</v>
      </c>
      <c r="P177">
        <v>800</v>
      </c>
      <c r="Q177">
        <v>0.82499999999999996</v>
      </c>
      <c r="R177">
        <f t="shared" si="36"/>
        <v>-0.81570134907313741</v>
      </c>
    </row>
    <row r="178" spans="1:18" x14ac:dyDescent="0.25">
      <c r="A178">
        <v>11</v>
      </c>
      <c r="B178">
        <v>57</v>
      </c>
      <c r="C178">
        <v>188</v>
      </c>
      <c r="D178">
        <v>403</v>
      </c>
      <c r="E178">
        <v>453</v>
      </c>
      <c r="F178">
        <v>673</v>
      </c>
      <c r="G178" t="s">
        <v>5</v>
      </c>
      <c r="H178" s="1">
        <f t="shared" si="35"/>
        <v>36832.354166667094</v>
      </c>
      <c r="I178">
        <f t="shared" si="37"/>
        <v>4.6522000000000006</v>
      </c>
      <c r="J178">
        <f t="shared" si="38"/>
        <v>14.424799999999999</v>
      </c>
      <c r="K178">
        <f t="shared" si="39"/>
        <v>39.040599999999998</v>
      </c>
      <c r="L178">
        <f t="shared" si="40"/>
        <v>-5.3173058199999996</v>
      </c>
      <c r="M178">
        <f t="shared" si="41"/>
        <v>236.37699999999998</v>
      </c>
      <c r="O178">
        <v>307</v>
      </c>
      <c r="P178">
        <v>830</v>
      </c>
      <c r="Q178">
        <v>0.82199999999999995</v>
      </c>
      <c r="R178">
        <f t="shared" si="36"/>
        <v>-0.81395990065647239</v>
      </c>
    </row>
    <row r="179" spans="1:18" x14ac:dyDescent="0.25">
      <c r="A179">
        <v>11</v>
      </c>
      <c r="B179">
        <v>44</v>
      </c>
      <c r="C179">
        <v>128</v>
      </c>
      <c r="D179">
        <v>642</v>
      </c>
      <c r="E179">
        <v>454</v>
      </c>
      <c r="F179">
        <v>689</v>
      </c>
      <c r="G179" t="s">
        <v>5</v>
      </c>
      <c r="H179" s="1">
        <f t="shared" si="35"/>
        <v>36832.375000000429</v>
      </c>
      <c r="I179">
        <f t="shared" ref="I179:I189" si="42">0.4+0.0746*B179</f>
        <v>3.6823999999999999</v>
      </c>
      <c r="J179">
        <f t="shared" ref="J179:J189" si="43">0.4+0.0746*C179</f>
        <v>9.9488000000000003</v>
      </c>
      <c r="K179">
        <f t="shared" ref="K179:K189" si="44">-2.146+0.1022*D179</f>
        <v>63.466399999999993</v>
      </c>
      <c r="L179">
        <f t="shared" ref="L179:L189" si="45">-43.84+0.0805*E179+0.00001002*E179^2</f>
        <v>-5.2277176799999996</v>
      </c>
      <c r="M179">
        <f t="shared" ref="M179:M189" si="46">1.5+0.349*F179</f>
        <v>241.96099999999998</v>
      </c>
      <c r="O179">
        <v>307</v>
      </c>
      <c r="P179">
        <v>900</v>
      </c>
      <c r="Q179">
        <v>0.81</v>
      </c>
      <c r="R179">
        <f t="shared" si="36"/>
        <v>-0.80221140773865196</v>
      </c>
    </row>
    <row r="180" spans="1:18" x14ac:dyDescent="0.25">
      <c r="A180">
        <v>11</v>
      </c>
      <c r="B180">
        <v>37</v>
      </c>
      <c r="C180">
        <v>96</v>
      </c>
      <c r="D180">
        <v>307</v>
      </c>
      <c r="E180">
        <v>446</v>
      </c>
      <c r="F180">
        <v>809</v>
      </c>
      <c r="G180" t="s">
        <v>5</v>
      </c>
      <c r="H180" s="1">
        <f t="shared" si="35"/>
        <v>36832.395833333765</v>
      </c>
      <c r="I180">
        <f t="shared" si="42"/>
        <v>3.1602000000000001</v>
      </c>
      <c r="J180">
        <f t="shared" si="43"/>
        <v>7.5616000000000003</v>
      </c>
      <c r="K180">
        <f t="shared" si="44"/>
        <v>29.229399999999998</v>
      </c>
      <c r="L180">
        <f t="shared" si="45"/>
        <v>-5.9438616800000048</v>
      </c>
      <c r="M180">
        <f t="shared" si="46"/>
        <v>283.84100000000001</v>
      </c>
      <c r="O180">
        <v>307</v>
      </c>
      <c r="P180">
        <v>930</v>
      </c>
      <c r="Q180">
        <v>0.81499999999999995</v>
      </c>
      <c r="R180">
        <f t="shared" si="36"/>
        <v>-0.80608385285582818</v>
      </c>
    </row>
    <row r="181" spans="1:18" x14ac:dyDescent="0.25">
      <c r="A181">
        <v>1</v>
      </c>
      <c r="B181">
        <v>53</v>
      </c>
      <c r="C181">
        <v>140</v>
      </c>
      <c r="D181">
        <v>32</v>
      </c>
      <c r="E181">
        <v>460</v>
      </c>
      <c r="F181">
        <v>605</v>
      </c>
      <c r="G181" t="s">
        <v>5</v>
      </c>
      <c r="H181" s="1">
        <f t="shared" si="35"/>
        <v>36832.416666667101</v>
      </c>
      <c r="I181">
        <f t="shared" si="42"/>
        <v>4.3538000000000006</v>
      </c>
      <c r="J181">
        <f t="shared" si="43"/>
        <v>10.843999999999999</v>
      </c>
      <c r="K181">
        <f t="shared" si="44"/>
        <v>1.1244000000000001</v>
      </c>
      <c r="L181">
        <f t="shared" si="45"/>
        <v>-4.6897680000000026</v>
      </c>
      <c r="M181">
        <f t="shared" si="46"/>
        <v>212.64499999999998</v>
      </c>
      <c r="O181">
        <v>307</v>
      </c>
      <c r="P181">
        <v>1000</v>
      </c>
      <c r="Q181">
        <v>0.81499999999999995</v>
      </c>
      <c r="R181">
        <f t="shared" si="36"/>
        <v>-0.80797325800402753</v>
      </c>
    </row>
    <row r="182" spans="1:18" x14ac:dyDescent="0.25">
      <c r="A182">
        <v>1</v>
      </c>
      <c r="B182">
        <v>59</v>
      </c>
      <c r="C182">
        <v>196</v>
      </c>
      <c r="D182">
        <v>522</v>
      </c>
      <c r="E182">
        <v>454</v>
      </c>
      <c r="F182">
        <v>657</v>
      </c>
      <c r="G182" t="s">
        <v>5</v>
      </c>
      <c r="H182" s="1">
        <f t="shared" si="35"/>
        <v>36832.437500000437</v>
      </c>
      <c r="I182">
        <f t="shared" si="42"/>
        <v>4.8014000000000001</v>
      </c>
      <c r="J182">
        <f t="shared" si="43"/>
        <v>15.021600000000001</v>
      </c>
      <c r="K182">
        <f t="shared" si="44"/>
        <v>51.202399999999997</v>
      </c>
      <c r="L182">
        <f t="shared" si="45"/>
        <v>-5.2277176799999996</v>
      </c>
      <c r="M182">
        <f t="shared" si="46"/>
        <v>230.79299999999998</v>
      </c>
      <c r="O182">
        <v>307</v>
      </c>
      <c r="P182">
        <v>1030</v>
      </c>
      <c r="Q182">
        <v>0.80500000000000005</v>
      </c>
      <c r="R182">
        <f t="shared" si="36"/>
        <v>-0.79725948546866032</v>
      </c>
    </row>
    <row r="183" spans="1:18" x14ac:dyDescent="0.25">
      <c r="A183">
        <v>1</v>
      </c>
      <c r="B183">
        <v>47</v>
      </c>
      <c r="C183">
        <v>120</v>
      </c>
      <c r="D183">
        <v>326</v>
      </c>
      <c r="E183">
        <v>450</v>
      </c>
      <c r="F183">
        <v>733</v>
      </c>
      <c r="G183" t="s">
        <v>5</v>
      </c>
      <c r="H183" s="1">
        <f t="shared" si="35"/>
        <v>36832.458333333772</v>
      </c>
      <c r="I183">
        <f t="shared" si="42"/>
        <v>3.9061999999999997</v>
      </c>
      <c r="J183">
        <f t="shared" si="43"/>
        <v>9.3520000000000003</v>
      </c>
      <c r="K183">
        <f t="shared" si="44"/>
        <v>31.171199999999999</v>
      </c>
      <c r="L183">
        <f t="shared" si="45"/>
        <v>-5.5859500000000022</v>
      </c>
      <c r="M183">
        <f t="shared" si="46"/>
        <v>257.31700000000001</v>
      </c>
      <c r="O183">
        <v>307</v>
      </c>
      <c r="P183">
        <v>1100</v>
      </c>
      <c r="Q183">
        <v>0.81200000000000006</v>
      </c>
      <c r="R183">
        <f t="shared" si="36"/>
        <v>-0.80365436398352941</v>
      </c>
    </row>
    <row r="184" spans="1:18" x14ac:dyDescent="0.25">
      <c r="A184">
        <v>1</v>
      </c>
      <c r="B184">
        <v>44</v>
      </c>
      <c r="C184">
        <v>100</v>
      </c>
      <c r="D184">
        <v>304</v>
      </c>
      <c r="E184">
        <v>445</v>
      </c>
      <c r="F184">
        <v>784</v>
      </c>
      <c r="G184" t="s">
        <v>5</v>
      </c>
      <c r="H184" s="1">
        <f t="shared" si="35"/>
        <v>36832.479166667108</v>
      </c>
      <c r="I184">
        <f t="shared" si="42"/>
        <v>3.6823999999999999</v>
      </c>
      <c r="J184">
        <f t="shared" si="43"/>
        <v>7.86</v>
      </c>
      <c r="K184">
        <f t="shared" si="44"/>
        <v>28.922799999999999</v>
      </c>
      <c r="L184">
        <f t="shared" si="45"/>
        <v>-6.0332895000000057</v>
      </c>
      <c r="M184">
        <f t="shared" si="46"/>
        <v>275.11599999999999</v>
      </c>
      <c r="O184">
        <v>307</v>
      </c>
      <c r="P184">
        <v>1130</v>
      </c>
      <c r="Q184">
        <v>0.83199999999999996</v>
      </c>
      <c r="R184">
        <f t="shared" si="36"/>
        <v>-0.82276015774380407</v>
      </c>
    </row>
    <row r="185" spans="1:18" x14ac:dyDescent="0.25">
      <c r="A185">
        <v>1</v>
      </c>
      <c r="B185">
        <v>42</v>
      </c>
      <c r="C185">
        <v>132</v>
      </c>
      <c r="D185">
        <v>437</v>
      </c>
      <c r="E185">
        <v>472</v>
      </c>
      <c r="F185">
        <v>585</v>
      </c>
      <c r="G185" t="s">
        <v>5</v>
      </c>
      <c r="H185" s="1">
        <f t="shared" si="35"/>
        <v>36832.500000000444</v>
      </c>
      <c r="I185">
        <f t="shared" si="42"/>
        <v>3.5331999999999999</v>
      </c>
      <c r="J185">
        <f t="shared" si="43"/>
        <v>10.247200000000001</v>
      </c>
      <c r="K185">
        <f t="shared" si="44"/>
        <v>42.5154</v>
      </c>
      <c r="L185">
        <f t="shared" si="45"/>
        <v>-3.6117043200000012</v>
      </c>
      <c r="M185">
        <f t="shared" si="46"/>
        <v>205.66499999999999</v>
      </c>
      <c r="O185">
        <v>307</v>
      </c>
      <c r="P185">
        <v>1200</v>
      </c>
      <c r="Q185">
        <v>0.84199999999999997</v>
      </c>
      <c r="R185">
        <f t="shared" si="36"/>
        <v>-0.83641483694172536</v>
      </c>
    </row>
    <row r="186" spans="1:18" x14ac:dyDescent="0.25">
      <c r="A186">
        <v>1</v>
      </c>
      <c r="B186">
        <v>61</v>
      </c>
      <c r="C186">
        <v>108</v>
      </c>
      <c r="D186">
        <v>408</v>
      </c>
      <c r="E186">
        <v>460</v>
      </c>
      <c r="F186">
        <v>693</v>
      </c>
      <c r="G186" t="s">
        <v>5</v>
      </c>
      <c r="H186" s="1">
        <f t="shared" si="35"/>
        <v>36832.52083333378</v>
      </c>
      <c r="I186">
        <f t="shared" si="42"/>
        <v>4.9506000000000006</v>
      </c>
      <c r="J186">
        <f t="shared" si="43"/>
        <v>8.4567999999999994</v>
      </c>
      <c r="K186">
        <f t="shared" si="44"/>
        <v>39.551600000000001</v>
      </c>
      <c r="L186">
        <f t="shared" si="45"/>
        <v>-4.6897680000000026</v>
      </c>
      <c r="M186">
        <f t="shared" si="46"/>
        <v>243.35699999999997</v>
      </c>
      <c r="O186">
        <v>307</v>
      </c>
      <c r="P186">
        <v>1230</v>
      </c>
      <c r="Q186">
        <v>0.82</v>
      </c>
      <c r="R186">
        <f t="shared" si="36"/>
        <v>-0.81293014915742645</v>
      </c>
    </row>
    <row r="187" spans="1:18" x14ac:dyDescent="0.25">
      <c r="A187">
        <v>1</v>
      </c>
      <c r="B187">
        <v>60</v>
      </c>
      <c r="C187">
        <v>116</v>
      </c>
      <c r="D187">
        <v>440</v>
      </c>
      <c r="E187">
        <v>459</v>
      </c>
      <c r="F187">
        <v>665</v>
      </c>
      <c r="G187" t="s">
        <v>5</v>
      </c>
      <c r="H187" s="1">
        <f t="shared" si="35"/>
        <v>36832.541666667115</v>
      </c>
      <c r="I187">
        <f t="shared" si="42"/>
        <v>4.8760000000000003</v>
      </c>
      <c r="J187">
        <f t="shared" si="43"/>
        <v>9.0536000000000012</v>
      </c>
      <c r="K187">
        <f t="shared" si="44"/>
        <v>42.821999999999996</v>
      </c>
      <c r="L187">
        <f t="shared" si="45"/>
        <v>-4.7794763800000029</v>
      </c>
      <c r="M187">
        <f t="shared" si="46"/>
        <v>233.58499999999998</v>
      </c>
      <c r="O187">
        <v>307</v>
      </c>
      <c r="P187">
        <v>1300</v>
      </c>
      <c r="Q187">
        <v>0.81</v>
      </c>
      <c r="R187">
        <f t="shared" si="36"/>
        <v>-0.80288218810126821</v>
      </c>
    </row>
    <row r="188" spans="1:18" x14ac:dyDescent="0.25">
      <c r="A188">
        <v>1</v>
      </c>
      <c r="B188">
        <v>70</v>
      </c>
      <c r="C188">
        <v>120</v>
      </c>
      <c r="D188">
        <v>394</v>
      </c>
      <c r="E188">
        <v>458</v>
      </c>
      <c r="F188">
        <v>629</v>
      </c>
      <c r="G188" t="s">
        <v>5</v>
      </c>
      <c r="H188" s="1">
        <f t="shared" si="35"/>
        <v>36832.562500000451</v>
      </c>
      <c r="I188">
        <f t="shared" si="42"/>
        <v>5.6219999999999999</v>
      </c>
      <c r="J188">
        <f t="shared" si="43"/>
        <v>9.3520000000000003</v>
      </c>
      <c r="K188">
        <f t="shared" si="44"/>
        <v>38.120799999999996</v>
      </c>
      <c r="L188">
        <f t="shared" si="45"/>
        <v>-4.8691647200000041</v>
      </c>
      <c r="M188">
        <f t="shared" si="46"/>
        <v>221.02099999999999</v>
      </c>
      <c r="O188">
        <v>307</v>
      </c>
      <c r="P188">
        <v>1330</v>
      </c>
      <c r="Q188">
        <v>0.82199999999999995</v>
      </c>
      <c r="R188">
        <f t="shared" si="36"/>
        <v>-0.81464058011921903</v>
      </c>
    </row>
    <row r="189" spans="1:18" x14ac:dyDescent="0.25">
      <c r="A189">
        <v>1</v>
      </c>
      <c r="B189">
        <v>47</v>
      </c>
      <c r="C189">
        <v>88</v>
      </c>
      <c r="D189">
        <v>74</v>
      </c>
      <c r="E189">
        <v>462</v>
      </c>
      <c r="F189">
        <v>593</v>
      </c>
      <c r="G189" t="s">
        <v>5</v>
      </c>
      <c r="H189" s="1">
        <f t="shared" si="35"/>
        <v>36832.583333333787</v>
      </c>
      <c r="I189">
        <f t="shared" si="42"/>
        <v>3.9061999999999997</v>
      </c>
      <c r="J189">
        <f t="shared" si="43"/>
        <v>6.9648000000000003</v>
      </c>
      <c r="K189">
        <f t="shared" si="44"/>
        <v>5.4168000000000003</v>
      </c>
      <c r="L189">
        <f t="shared" si="45"/>
        <v>-4.5102911200000007</v>
      </c>
      <c r="M189">
        <f t="shared" si="46"/>
        <v>208.45699999999999</v>
      </c>
      <c r="O189">
        <v>307</v>
      </c>
      <c r="P189">
        <v>1400</v>
      </c>
      <c r="Q189">
        <v>0.81200000000000006</v>
      </c>
      <c r="R189">
        <f t="shared" si="36"/>
        <v>-0.80526816612427043</v>
      </c>
    </row>
    <row r="190" spans="1:18" x14ac:dyDescent="0.25">
      <c r="A190">
        <v>1</v>
      </c>
      <c r="B190">
        <v>58</v>
      </c>
      <c r="C190">
        <v>120</v>
      </c>
      <c r="D190">
        <v>15</v>
      </c>
      <c r="E190">
        <v>458</v>
      </c>
      <c r="F190">
        <v>641</v>
      </c>
      <c r="G190" t="s">
        <v>5</v>
      </c>
      <c r="H190" s="1">
        <f t="shared" si="35"/>
        <v>36832.604166667123</v>
      </c>
      <c r="I190">
        <f t="shared" ref="I190:I199" si="47">0.4+0.0746*B190</f>
        <v>4.7268000000000008</v>
      </c>
      <c r="J190">
        <f t="shared" ref="J190:J200" si="48">0.4+0.0746*C190</f>
        <v>9.3520000000000003</v>
      </c>
      <c r="K190">
        <f t="shared" ref="K190:K200" si="49">-2.146+0.1022*D190</f>
        <v>-0.61299999999999999</v>
      </c>
      <c r="L190">
        <f t="shared" ref="L190:L200" si="50">-43.84+0.0805*E190+0.00001002*E190^2</f>
        <v>-4.8691647200000041</v>
      </c>
      <c r="M190">
        <f t="shared" ref="M190:M200" si="51">1.5+0.349*F190</f>
        <v>225.20899999999997</v>
      </c>
      <c r="O190">
        <v>307</v>
      </c>
      <c r="P190">
        <v>1430</v>
      </c>
      <c r="Q190">
        <v>0.81200000000000006</v>
      </c>
      <c r="R190">
        <f t="shared" si="36"/>
        <v>-0.80473011077470313</v>
      </c>
    </row>
    <row r="191" spans="1:18" x14ac:dyDescent="0.25">
      <c r="A191">
        <v>1</v>
      </c>
      <c r="B191">
        <v>81</v>
      </c>
      <c r="C191">
        <v>120</v>
      </c>
      <c r="D191">
        <v>237</v>
      </c>
      <c r="E191">
        <v>452</v>
      </c>
      <c r="F191">
        <v>697</v>
      </c>
      <c r="G191" t="s">
        <v>5</v>
      </c>
      <c r="H191" s="1">
        <f t="shared" si="35"/>
        <v>36832.625000000458</v>
      </c>
      <c r="I191">
        <f t="shared" si="47"/>
        <v>6.4426000000000005</v>
      </c>
      <c r="J191">
        <f t="shared" si="48"/>
        <v>9.3520000000000003</v>
      </c>
      <c r="K191">
        <f t="shared" si="49"/>
        <v>22.075399999999998</v>
      </c>
      <c r="L191">
        <f t="shared" si="50"/>
        <v>-5.4068739200000007</v>
      </c>
      <c r="M191">
        <f t="shared" si="51"/>
        <v>244.75299999999999</v>
      </c>
      <c r="O191">
        <v>307</v>
      </c>
      <c r="P191">
        <v>1500</v>
      </c>
      <c r="Q191">
        <v>0.81499999999999995</v>
      </c>
      <c r="R191">
        <f t="shared" si="36"/>
        <v>-0.80689341492627942</v>
      </c>
    </row>
    <row r="192" spans="1:18" x14ac:dyDescent="0.25">
      <c r="A192">
        <v>1</v>
      </c>
      <c r="B192">
        <v>68</v>
      </c>
      <c r="C192">
        <v>104</v>
      </c>
      <c r="D192">
        <v>271</v>
      </c>
      <c r="E192">
        <v>451</v>
      </c>
      <c r="F192">
        <v>743</v>
      </c>
      <c r="G192" t="s">
        <v>5</v>
      </c>
      <c r="H192" s="1">
        <f t="shared" si="35"/>
        <v>36832.645833333794</v>
      </c>
      <c r="I192">
        <f t="shared" si="47"/>
        <v>5.4728000000000003</v>
      </c>
      <c r="J192">
        <f t="shared" si="48"/>
        <v>8.1584000000000003</v>
      </c>
      <c r="K192">
        <f t="shared" si="49"/>
        <v>25.5502</v>
      </c>
      <c r="L192">
        <f t="shared" si="50"/>
        <v>-5.4964219800000009</v>
      </c>
      <c r="M192">
        <f t="shared" si="51"/>
        <v>260.80699999999996</v>
      </c>
      <c r="O192">
        <v>307</v>
      </c>
      <c r="P192">
        <v>1530</v>
      </c>
      <c r="Q192">
        <v>0.81699999999999995</v>
      </c>
      <c r="R192">
        <f t="shared" si="36"/>
        <v>-0.80873824420768026</v>
      </c>
    </row>
    <row r="193" spans="1:18" x14ac:dyDescent="0.25">
      <c r="A193">
        <v>1</v>
      </c>
      <c r="B193">
        <v>68</v>
      </c>
      <c r="C193">
        <v>108</v>
      </c>
      <c r="D193">
        <v>1002</v>
      </c>
      <c r="E193">
        <v>454</v>
      </c>
      <c r="F193">
        <v>761</v>
      </c>
      <c r="G193" t="s">
        <v>5</v>
      </c>
      <c r="H193" s="1">
        <f t="shared" ref="H193:H254" si="52">H192+1/48</f>
        <v>36832.66666666713</v>
      </c>
      <c r="I193">
        <f t="shared" si="47"/>
        <v>5.4728000000000003</v>
      </c>
      <c r="J193">
        <f t="shared" si="48"/>
        <v>8.4567999999999994</v>
      </c>
      <c r="K193">
        <f t="shared" si="49"/>
        <v>100.25839999999999</v>
      </c>
      <c r="L193">
        <f t="shared" si="50"/>
        <v>-5.2277176799999996</v>
      </c>
      <c r="M193">
        <f t="shared" si="51"/>
        <v>267.089</v>
      </c>
      <c r="O193">
        <v>307</v>
      </c>
      <c r="P193">
        <v>1600</v>
      </c>
      <c r="Q193">
        <v>0.82</v>
      </c>
      <c r="R193">
        <f t="shared" si="36"/>
        <v>-0.81211525227863524</v>
      </c>
    </row>
    <row r="194" spans="1:18" x14ac:dyDescent="0.25">
      <c r="A194">
        <v>1</v>
      </c>
      <c r="B194">
        <v>27</v>
      </c>
      <c r="C194">
        <v>68</v>
      </c>
      <c r="D194">
        <v>93</v>
      </c>
      <c r="E194">
        <v>454</v>
      </c>
      <c r="F194">
        <v>765</v>
      </c>
      <c r="G194" t="s">
        <v>5</v>
      </c>
      <c r="H194" s="1">
        <f t="shared" si="52"/>
        <v>36832.687500000466</v>
      </c>
      <c r="I194">
        <f t="shared" si="47"/>
        <v>2.4141999999999997</v>
      </c>
      <c r="J194">
        <f t="shared" si="48"/>
        <v>5.4728000000000003</v>
      </c>
      <c r="K194">
        <f t="shared" si="49"/>
        <v>7.3586</v>
      </c>
      <c r="L194">
        <f t="shared" si="50"/>
        <v>-5.2277176799999996</v>
      </c>
      <c r="M194">
        <f t="shared" si="51"/>
        <v>268.48499999999996</v>
      </c>
      <c r="O194">
        <v>307</v>
      </c>
      <c r="P194">
        <v>1630</v>
      </c>
      <c r="Q194">
        <v>0.82</v>
      </c>
      <c r="R194">
        <f t="shared" si="36"/>
        <v>-0.81211525227863524</v>
      </c>
    </row>
    <row r="195" spans="1:18" x14ac:dyDescent="0.25">
      <c r="A195">
        <v>71</v>
      </c>
      <c r="B195">
        <v>59</v>
      </c>
      <c r="C195">
        <v>164</v>
      </c>
      <c r="D195">
        <v>165</v>
      </c>
      <c r="E195">
        <v>464</v>
      </c>
      <c r="F195">
        <v>545</v>
      </c>
      <c r="G195" t="s">
        <v>5</v>
      </c>
      <c r="H195" s="1">
        <f t="shared" si="52"/>
        <v>36832.708333333801</v>
      </c>
      <c r="I195">
        <f t="shared" si="47"/>
        <v>4.8014000000000001</v>
      </c>
      <c r="J195">
        <f t="shared" si="48"/>
        <v>12.634400000000001</v>
      </c>
      <c r="K195">
        <f t="shared" si="49"/>
        <v>14.716999999999999</v>
      </c>
      <c r="L195">
        <f t="shared" si="50"/>
        <v>-4.3307340799999992</v>
      </c>
      <c r="M195">
        <f t="shared" si="51"/>
        <v>191.70499999999998</v>
      </c>
      <c r="O195">
        <v>307</v>
      </c>
      <c r="P195">
        <v>1700</v>
      </c>
      <c r="Q195">
        <v>0.81699999999999995</v>
      </c>
      <c r="R195">
        <f t="shared" si="36"/>
        <v>-0.81049744385597589</v>
      </c>
    </row>
    <row r="196" spans="1:18" x14ac:dyDescent="0.25">
      <c r="A196">
        <v>71</v>
      </c>
      <c r="B196">
        <v>42</v>
      </c>
      <c r="C196">
        <v>140</v>
      </c>
      <c r="D196">
        <v>172</v>
      </c>
      <c r="E196">
        <v>465</v>
      </c>
      <c r="F196">
        <v>553</v>
      </c>
      <c r="G196" t="s">
        <v>5</v>
      </c>
      <c r="H196" s="1">
        <f t="shared" si="52"/>
        <v>36832.729166667137</v>
      </c>
      <c r="I196">
        <f t="shared" si="47"/>
        <v>3.5331999999999999</v>
      </c>
      <c r="J196">
        <f t="shared" si="48"/>
        <v>10.843999999999999</v>
      </c>
      <c r="K196">
        <f t="shared" si="49"/>
        <v>15.432399999999998</v>
      </c>
      <c r="L196">
        <f t="shared" si="50"/>
        <v>-4.2409255000000057</v>
      </c>
      <c r="M196">
        <f t="shared" si="51"/>
        <v>194.49699999999999</v>
      </c>
      <c r="O196">
        <v>307</v>
      </c>
      <c r="P196">
        <v>1730</v>
      </c>
      <c r="Q196">
        <v>0.81699999999999995</v>
      </c>
      <c r="R196">
        <f t="shared" si="36"/>
        <v>-0.81063282021340632</v>
      </c>
    </row>
    <row r="197" spans="1:18" x14ac:dyDescent="0.25">
      <c r="A197">
        <v>71</v>
      </c>
      <c r="B197">
        <v>45</v>
      </c>
      <c r="C197">
        <v>156</v>
      </c>
      <c r="D197">
        <v>157</v>
      </c>
      <c r="E197">
        <v>463</v>
      </c>
      <c r="F197">
        <v>517</v>
      </c>
      <c r="G197" t="s">
        <v>5</v>
      </c>
      <c r="H197" s="1">
        <f t="shared" si="52"/>
        <v>36832.750000000473</v>
      </c>
      <c r="I197">
        <f t="shared" si="47"/>
        <v>3.7570000000000001</v>
      </c>
      <c r="J197">
        <f t="shared" si="48"/>
        <v>12.037599999999999</v>
      </c>
      <c r="K197">
        <f t="shared" si="49"/>
        <v>13.8994</v>
      </c>
      <c r="L197">
        <f t="shared" si="50"/>
        <v>-4.4205226199999998</v>
      </c>
      <c r="M197">
        <f t="shared" si="51"/>
        <v>181.93299999999999</v>
      </c>
      <c r="O197">
        <v>307</v>
      </c>
      <c r="P197">
        <v>1800</v>
      </c>
      <c r="Q197">
        <v>0.81699999999999995</v>
      </c>
      <c r="R197">
        <f t="shared" si="36"/>
        <v>-0.81036207509864822</v>
      </c>
    </row>
    <row r="198" spans="1:18" x14ac:dyDescent="0.25">
      <c r="A198">
        <v>71</v>
      </c>
      <c r="B198">
        <v>42</v>
      </c>
      <c r="C198">
        <v>140</v>
      </c>
      <c r="D198">
        <v>172</v>
      </c>
      <c r="E198">
        <v>462</v>
      </c>
      <c r="F198">
        <v>553</v>
      </c>
      <c r="G198" t="s">
        <v>5</v>
      </c>
      <c r="H198" s="1">
        <f t="shared" si="52"/>
        <v>36832.770833333809</v>
      </c>
      <c r="I198">
        <f t="shared" si="47"/>
        <v>3.5331999999999999</v>
      </c>
      <c r="J198">
        <f t="shared" si="48"/>
        <v>10.843999999999999</v>
      </c>
      <c r="K198">
        <f t="shared" si="49"/>
        <v>15.432399999999998</v>
      </c>
      <c r="L198">
        <f t="shared" si="50"/>
        <v>-4.5102911200000007</v>
      </c>
      <c r="M198">
        <f t="shared" si="51"/>
        <v>194.49699999999999</v>
      </c>
      <c r="O198">
        <v>307</v>
      </c>
      <c r="P198">
        <v>1830</v>
      </c>
      <c r="Q198">
        <v>0.81499999999999995</v>
      </c>
      <c r="R198">
        <f t="shared" si="36"/>
        <v>-0.80824329481684776</v>
      </c>
    </row>
    <row r="199" spans="1:18" x14ac:dyDescent="0.25">
      <c r="A199">
        <v>71</v>
      </c>
      <c r="B199">
        <v>46</v>
      </c>
      <c r="C199">
        <v>212</v>
      </c>
      <c r="D199">
        <v>994</v>
      </c>
      <c r="E199">
        <v>461</v>
      </c>
      <c r="F199">
        <v>605</v>
      </c>
      <c r="G199" t="s">
        <v>5</v>
      </c>
      <c r="H199" s="1">
        <f t="shared" si="52"/>
        <v>36832.791666667144</v>
      </c>
      <c r="I199">
        <f t="shared" si="47"/>
        <v>3.8315999999999999</v>
      </c>
      <c r="J199">
        <f t="shared" si="48"/>
        <v>16.215199999999999</v>
      </c>
      <c r="K199">
        <f t="shared" si="49"/>
        <v>99.440799999999996</v>
      </c>
      <c r="L199">
        <f t="shared" si="50"/>
        <v>-4.6000395800000016</v>
      </c>
      <c r="M199">
        <f t="shared" si="51"/>
        <v>212.64499999999998</v>
      </c>
      <c r="O199">
        <v>307</v>
      </c>
      <c r="P199">
        <v>1900</v>
      </c>
      <c r="Q199">
        <v>0.81699999999999995</v>
      </c>
      <c r="R199">
        <f t="shared" ref="R199:R262" si="53">-SQRT((L199+273.15)/273.15)*Q199</f>
        <v>-0.81009136039954099</v>
      </c>
    </row>
    <row r="200" spans="1:18" x14ac:dyDescent="0.25">
      <c r="A200">
        <v>71</v>
      </c>
      <c r="B200">
        <v>33</v>
      </c>
      <c r="C200">
        <v>72</v>
      </c>
      <c r="D200">
        <v>505</v>
      </c>
      <c r="E200">
        <v>449</v>
      </c>
      <c r="F200">
        <v>753</v>
      </c>
      <c r="G200" t="s">
        <v>5</v>
      </c>
      <c r="H200" s="1">
        <f t="shared" si="52"/>
        <v>36832.81250000048</v>
      </c>
      <c r="I200">
        <f>0.4+0.0746*B200</f>
        <v>2.8618000000000001</v>
      </c>
      <c r="J200">
        <f t="shared" si="48"/>
        <v>5.7712000000000003</v>
      </c>
      <c r="K200">
        <f t="shared" si="49"/>
        <v>49.464999999999996</v>
      </c>
      <c r="L200">
        <f t="shared" si="50"/>
        <v>-5.6754579800000027</v>
      </c>
      <c r="M200">
        <f t="shared" si="51"/>
        <v>264.29699999999997</v>
      </c>
      <c r="O200">
        <v>307</v>
      </c>
      <c r="P200">
        <v>1930</v>
      </c>
      <c r="Q200">
        <v>0.81699999999999995</v>
      </c>
      <c r="R200">
        <f t="shared" si="53"/>
        <v>-0.80846771264434947</v>
      </c>
    </row>
    <row r="201" spans="1:18" x14ac:dyDescent="0.25">
      <c r="A201">
        <v>71</v>
      </c>
      <c r="B201">
        <v>36</v>
      </c>
      <c r="C201">
        <v>96</v>
      </c>
      <c r="D201">
        <v>940</v>
      </c>
      <c r="E201">
        <v>458</v>
      </c>
      <c r="F201">
        <v>557</v>
      </c>
      <c r="G201" t="s">
        <v>5</v>
      </c>
      <c r="H201" s="1">
        <f>H200+1/48</f>
        <v>36832.833333333816</v>
      </c>
      <c r="I201">
        <f t="shared" ref="I201:J205" si="54">0.4+0.0746*B201</f>
        <v>3.0855999999999999</v>
      </c>
      <c r="J201">
        <f t="shared" si="54"/>
        <v>7.5616000000000003</v>
      </c>
      <c r="K201">
        <f>-2.146+0.1022*D201</f>
        <v>93.921999999999997</v>
      </c>
      <c r="L201">
        <f>-43.84+0.0805*E201+0.00001002*E201^2</f>
        <v>-4.8691647200000041</v>
      </c>
      <c r="M201">
        <f>1.5+0.349*F201</f>
        <v>195.893</v>
      </c>
      <c r="O201">
        <v>307</v>
      </c>
      <c r="P201">
        <v>2000</v>
      </c>
      <c r="Q201">
        <v>0.82199999999999995</v>
      </c>
      <c r="R201">
        <f t="shared" si="53"/>
        <v>-0.81464058011921903</v>
      </c>
    </row>
    <row r="202" spans="1:18" x14ac:dyDescent="0.25">
      <c r="A202">
        <v>71</v>
      </c>
      <c r="B202">
        <v>42</v>
      </c>
      <c r="C202">
        <v>120</v>
      </c>
      <c r="D202">
        <v>179</v>
      </c>
      <c r="E202">
        <v>450</v>
      </c>
      <c r="F202">
        <v>673</v>
      </c>
      <c r="G202" t="s">
        <v>5</v>
      </c>
      <c r="H202" s="1">
        <f t="shared" si="52"/>
        <v>36832.854166667152</v>
      </c>
      <c r="I202">
        <f t="shared" si="54"/>
        <v>3.5331999999999999</v>
      </c>
      <c r="J202">
        <f t="shared" si="54"/>
        <v>9.3520000000000003</v>
      </c>
      <c r="K202">
        <f>-2.146+0.1022*D202</f>
        <v>16.1478</v>
      </c>
      <c r="L202">
        <f>-43.84+0.0805*E202+0.00001002*E202^2</f>
        <v>-5.5859500000000022</v>
      </c>
      <c r="M202">
        <f>1.5+0.349*F202</f>
        <v>236.37699999999998</v>
      </c>
      <c r="O202">
        <v>307</v>
      </c>
      <c r="P202">
        <v>2030</v>
      </c>
      <c r="Q202">
        <v>0.81699999999999995</v>
      </c>
      <c r="R202">
        <f t="shared" si="53"/>
        <v>-0.8086029745991915</v>
      </c>
    </row>
    <row r="203" spans="1:18" x14ac:dyDescent="0.25">
      <c r="A203">
        <v>71</v>
      </c>
      <c r="B203">
        <v>54</v>
      </c>
      <c r="C203">
        <v>144</v>
      </c>
      <c r="D203">
        <v>540</v>
      </c>
      <c r="E203">
        <v>447</v>
      </c>
      <c r="F203">
        <v>697</v>
      </c>
      <c r="G203" t="s">
        <v>5</v>
      </c>
      <c r="H203" s="1">
        <f t="shared" si="52"/>
        <v>36832.875000000487</v>
      </c>
      <c r="I203">
        <f t="shared" si="54"/>
        <v>4.4283999999999999</v>
      </c>
      <c r="J203">
        <f t="shared" si="54"/>
        <v>11.1424</v>
      </c>
      <c r="K203">
        <f>-2.146+0.1022*D203</f>
        <v>53.042000000000002</v>
      </c>
      <c r="L203">
        <f>-43.84+0.0805*E203+0.00001002*E203^2</f>
        <v>-5.854413820000004</v>
      </c>
      <c r="M203">
        <f>1.5+0.349*F203</f>
        <v>244.75299999999999</v>
      </c>
      <c r="O203">
        <v>307</v>
      </c>
      <c r="P203">
        <v>2100</v>
      </c>
      <c r="Q203">
        <v>0.82</v>
      </c>
      <c r="R203">
        <f t="shared" si="53"/>
        <v>-0.81116488813096788</v>
      </c>
    </row>
    <row r="204" spans="1:18" x14ac:dyDescent="0.25">
      <c r="A204">
        <v>71</v>
      </c>
      <c r="B204">
        <v>91</v>
      </c>
      <c r="C204">
        <v>168</v>
      </c>
      <c r="D204">
        <v>591</v>
      </c>
      <c r="E204">
        <v>436</v>
      </c>
      <c r="F204">
        <v>825</v>
      </c>
      <c r="G204" t="s">
        <v>5</v>
      </c>
      <c r="H204" s="1">
        <f t="shared" si="52"/>
        <v>36832.895833333823</v>
      </c>
      <c r="I204">
        <f t="shared" si="54"/>
        <v>7.1886000000000001</v>
      </c>
      <c r="J204">
        <f t="shared" si="54"/>
        <v>12.9328</v>
      </c>
      <c r="K204">
        <f>-2.146+0.1022*D204</f>
        <v>58.254199999999997</v>
      </c>
      <c r="L204">
        <f>-43.84+0.0805*E204+0.00001002*E204^2</f>
        <v>-6.8372380800000041</v>
      </c>
      <c r="M204">
        <f>1.5+0.349*F204</f>
        <v>289.42499999999995</v>
      </c>
      <c r="O204">
        <v>307</v>
      </c>
      <c r="P204">
        <v>2130</v>
      </c>
      <c r="Q204">
        <v>0.81499999999999995</v>
      </c>
      <c r="R204">
        <f t="shared" si="53"/>
        <v>-0.80473519516975844</v>
      </c>
    </row>
    <row r="205" spans="1:18" x14ac:dyDescent="0.25">
      <c r="A205">
        <v>71</v>
      </c>
      <c r="B205">
        <v>114</v>
      </c>
      <c r="C205">
        <v>204</v>
      </c>
      <c r="D205">
        <v>487</v>
      </c>
      <c r="E205">
        <v>433</v>
      </c>
      <c r="F205">
        <v>783</v>
      </c>
      <c r="G205" t="s">
        <v>5</v>
      </c>
      <c r="H205" s="1">
        <f t="shared" si="52"/>
        <v>36832.916666667159</v>
      </c>
      <c r="I205">
        <f t="shared" si="54"/>
        <v>8.9044000000000008</v>
      </c>
      <c r="J205">
        <f t="shared" si="54"/>
        <v>15.618399999999999</v>
      </c>
      <c r="K205">
        <f>-2.146+0.1022*D205</f>
        <v>47.625399999999999</v>
      </c>
      <c r="L205">
        <f>-43.84+0.0805*E205+0.00001002*E205^2</f>
        <v>-7.1048602199999991</v>
      </c>
      <c r="M205">
        <f>1.5+0.349*F205</f>
        <v>274.767</v>
      </c>
      <c r="O205">
        <v>307</v>
      </c>
      <c r="P205">
        <v>2200</v>
      </c>
      <c r="Q205">
        <v>0.82199999999999995</v>
      </c>
      <c r="R205">
        <f t="shared" si="53"/>
        <v>-0.81123910986917247</v>
      </c>
    </row>
    <row r="206" spans="1:18" x14ac:dyDescent="0.25">
      <c r="A206">
        <v>71</v>
      </c>
      <c r="B206">
        <v>123</v>
      </c>
      <c r="C206">
        <v>224</v>
      </c>
      <c r="D206">
        <v>480</v>
      </c>
      <c r="E206">
        <v>433</v>
      </c>
      <c r="F206">
        <v>711</v>
      </c>
      <c r="G206" t="s">
        <v>5</v>
      </c>
      <c r="H206" s="1">
        <f t="shared" si="52"/>
        <v>36832.937500000495</v>
      </c>
      <c r="I206">
        <f t="shared" ref="I206:I252" si="55">0.4+0.0746*B206</f>
        <v>9.575800000000001</v>
      </c>
      <c r="J206">
        <f t="shared" ref="J206:J252" si="56">0.4+0.0746*C206</f>
        <v>17.110399999999998</v>
      </c>
      <c r="K206">
        <f t="shared" ref="K206:K252" si="57">-2.146+0.1022*D206</f>
        <v>46.91</v>
      </c>
      <c r="L206">
        <f t="shared" ref="L206:L252" si="58">-43.84+0.0805*E206+0.00001002*E206^2</f>
        <v>-7.1048602199999991</v>
      </c>
      <c r="M206">
        <f t="shared" ref="M206:M252" si="59">1.5+0.349*F206</f>
        <v>249.63899999999998</v>
      </c>
      <c r="O206">
        <v>307</v>
      </c>
      <c r="P206">
        <v>2230</v>
      </c>
      <c r="Q206">
        <v>0.81499999999999995</v>
      </c>
      <c r="R206">
        <f t="shared" si="53"/>
        <v>-0.80433074761967827</v>
      </c>
    </row>
    <row r="207" spans="1:18" x14ac:dyDescent="0.25">
      <c r="A207">
        <v>711</v>
      </c>
      <c r="B207">
        <v>104</v>
      </c>
      <c r="C207">
        <v>204</v>
      </c>
      <c r="D207">
        <v>563</v>
      </c>
      <c r="E207">
        <v>430</v>
      </c>
      <c r="F207">
        <v>701</v>
      </c>
      <c r="G207" t="s">
        <v>5</v>
      </c>
      <c r="H207" s="1">
        <f t="shared" si="52"/>
        <v>36832.958333333831</v>
      </c>
      <c r="I207">
        <f t="shared" si="55"/>
        <v>8.1584000000000003</v>
      </c>
      <c r="J207">
        <f t="shared" si="56"/>
        <v>15.618399999999999</v>
      </c>
      <c r="K207">
        <f t="shared" si="57"/>
        <v>55.392600000000002</v>
      </c>
      <c r="L207">
        <f t="shared" si="58"/>
        <v>-7.3723020000000012</v>
      </c>
      <c r="M207">
        <f t="shared" si="59"/>
        <v>246.14899999999997</v>
      </c>
      <c r="O207">
        <v>307</v>
      </c>
      <c r="P207">
        <v>2300</v>
      </c>
      <c r="Q207">
        <v>0.82499999999999996</v>
      </c>
      <c r="R207">
        <f t="shared" si="53"/>
        <v>-0.81379049660467628</v>
      </c>
    </row>
    <row r="208" spans="1:18" x14ac:dyDescent="0.25">
      <c r="A208">
        <v>711</v>
      </c>
      <c r="B208">
        <v>88</v>
      </c>
      <c r="C208">
        <v>184</v>
      </c>
      <c r="D208">
        <v>616</v>
      </c>
      <c r="E208">
        <v>436</v>
      </c>
      <c r="F208">
        <v>629</v>
      </c>
      <c r="G208" t="s">
        <v>5</v>
      </c>
      <c r="H208" s="1">
        <f t="shared" si="52"/>
        <v>36832.979166667166</v>
      </c>
      <c r="I208">
        <f t="shared" si="55"/>
        <v>6.9648000000000003</v>
      </c>
      <c r="J208">
        <f t="shared" si="56"/>
        <v>14.1264</v>
      </c>
      <c r="K208">
        <f t="shared" si="57"/>
        <v>60.809199999999997</v>
      </c>
      <c r="L208">
        <f t="shared" si="58"/>
        <v>-6.8372380800000041</v>
      </c>
      <c r="M208">
        <f t="shared" si="59"/>
        <v>221.02099999999999</v>
      </c>
      <c r="O208">
        <v>307</v>
      </c>
      <c r="P208">
        <v>2330</v>
      </c>
      <c r="Q208">
        <v>0.83699999999999997</v>
      </c>
      <c r="R208">
        <f t="shared" si="53"/>
        <v>-0.82645810841360479</v>
      </c>
    </row>
    <row r="209" spans="1:18" x14ac:dyDescent="0.25">
      <c r="A209">
        <v>711</v>
      </c>
      <c r="B209">
        <v>64</v>
      </c>
      <c r="C209">
        <v>232</v>
      </c>
      <c r="D209">
        <v>455</v>
      </c>
      <c r="E209">
        <v>425</v>
      </c>
      <c r="F209">
        <v>829</v>
      </c>
      <c r="G209" t="s">
        <v>5</v>
      </c>
      <c r="H209" s="1">
        <f t="shared" si="52"/>
        <v>36833.000000000502</v>
      </c>
      <c r="I209">
        <f t="shared" si="55"/>
        <v>5.1744000000000003</v>
      </c>
      <c r="J209">
        <f t="shared" si="56"/>
        <v>17.7072</v>
      </c>
      <c r="K209">
        <f t="shared" si="57"/>
        <v>44.354999999999997</v>
      </c>
      <c r="L209">
        <f t="shared" si="58"/>
        <v>-7.8176375000000045</v>
      </c>
      <c r="M209">
        <f t="shared" si="59"/>
        <v>290.82099999999997</v>
      </c>
      <c r="O209">
        <v>307</v>
      </c>
      <c r="P209">
        <v>2400</v>
      </c>
      <c r="Q209">
        <v>0.83</v>
      </c>
      <c r="R209">
        <f t="shared" si="53"/>
        <v>-0.81803634936727787</v>
      </c>
    </row>
    <row r="210" spans="1:18" x14ac:dyDescent="0.25">
      <c r="A210">
        <v>711</v>
      </c>
      <c r="B210">
        <v>69</v>
      </c>
      <c r="C210">
        <v>180</v>
      </c>
      <c r="D210">
        <v>565</v>
      </c>
      <c r="E210">
        <v>422</v>
      </c>
      <c r="F210">
        <v>809</v>
      </c>
      <c r="G210" t="s">
        <v>5</v>
      </c>
      <c r="H210" s="1">
        <f t="shared" si="52"/>
        <v>36833.020833333838</v>
      </c>
      <c r="I210">
        <f t="shared" si="55"/>
        <v>5.5474000000000006</v>
      </c>
      <c r="J210">
        <f t="shared" si="56"/>
        <v>13.828000000000001</v>
      </c>
      <c r="K210">
        <f t="shared" si="57"/>
        <v>55.597000000000001</v>
      </c>
      <c r="L210">
        <f t="shared" si="58"/>
        <v>-8.0845983199999996</v>
      </c>
      <c r="M210">
        <f t="shared" si="59"/>
        <v>283.84100000000001</v>
      </c>
      <c r="O210">
        <v>308</v>
      </c>
      <c r="P210">
        <v>30</v>
      </c>
      <c r="Q210">
        <v>0.83699999999999997</v>
      </c>
      <c r="R210">
        <f t="shared" si="53"/>
        <v>-0.82452034745449843</v>
      </c>
    </row>
    <row r="211" spans="1:18" x14ac:dyDescent="0.25">
      <c r="A211">
        <v>711</v>
      </c>
      <c r="B211">
        <v>59</v>
      </c>
      <c r="C211">
        <v>164</v>
      </c>
      <c r="D211">
        <v>666</v>
      </c>
      <c r="E211">
        <v>430</v>
      </c>
      <c r="F211">
        <v>673</v>
      </c>
      <c r="G211" t="s">
        <v>5</v>
      </c>
      <c r="H211" s="1">
        <f t="shared" si="52"/>
        <v>36833.041666667174</v>
      </c>
      <c r="I211">
        <f t="shared" si="55"/>
        <v>4.8014000000000001</v>
      </c>
      <c r="J211">
        <f t="shared" si="56"/>
        <v>12.634400000000001</v>
      </c>
      <c r="K211">
        <f t="shared" si="57"/>
        <v>65.919200000000004</v>
      </c>
      <c r="L211">
        <f t="shared" si="58"/>
        <v>-7.3723020000000012</v>
      </c>
      <c r="M211">
        <f t="shared" si="59"/>
        <v>236.37699999999998</v>
      </c>
      <c r="O211">
        <v>308</v>
      </c>
      <c r="P211">
        <v>100</v>
      </c>
      <c r="Q211">
        <v>0.83499999999999996</v>
      </c>
      <c r="R211">
        <f t="shared" si="53"/>
        <v>-0.8236546238362481</v>
      </c>
    </row>
    <row r="212" spans="1:18" x14ac:dyDescent="0.25">
      <c r="A212">
        <v>711</v>
      </c>
      <c r="B212">
        <v>48</v>
      </c>
      <c r="C212">
        <v>148</v>
      </c>
      <c r="D212">
        <v>556</v>
      </c>
      <c r="E212">
        <v>419</v>
      </c>
      <c r="F212">
        <v>793</v>
      </c>
      <c r="G212" t="s">
        <v>5</v>
      </c>
      <c r="H212" s="1">
        <f t="shared" si="52"/>
        <v>36833.062500000509</v>
      </c>
      <c r="I212">
        <f t="shared" si="55"/>
        <v>3.9807999999999999</v>
      </c>
      <c r="J212">
        <f t="shared" si="56"/>
        <v>11.440800000000001</v>
      </c>
      <c r="K212">
        <f t="shared" si="57"/>
        <v>54.677199999999999</v>
      </c>
      <c r="L212">
        <f t="shared" si="58"/>
        <v>-8.351378780000001</v>
      </c>
      <c r="M212">
        <f t="shared" si="59"/>
        <v>278.25700000000001</v>
      </c>
      <c r="O212">
        <v>308</v>
      </c>
      <c r="P212">
        <v>130</v>
      </c>
      <c r="Q212">
        <v>0.83499999999999996</v>
      </c>
      <c r="R212">
        <f t="shared" si="53"/>
        <v>-0.82213612704107875</v>
      </c>
    </row>
    <row r="213" spans="1:18" x14ac:dyDescent="0.25">
      <c r="A213">
        <v>711</v>
      </c>
      <c r="B213">
        <v>77</v>
      </c>
      <c r="C213">
        <v>280</v>
      </c>
      <c r="D213">
        <v>400</v>
      </c>
      <c r="E213">
        <v>421</v>
      </c>
      <c r="F213">
        <v>661</v>
      </c>
      <c r="G213" t="s">
        <v>5</v>
      </c>
      <c r="H213" s="1">
        <f t="shared" si="52"/>
        <v>36833.083333333845</v>
      </c>
      <c r="I213">
        <f t="shared" si="55"/>
        <v>6.1442000000000005</v>
      </c>
      <c r="J213">
        <f t="shared" si="56"/>
        <v>21.287999999999997</v>
      </c>
      <c r="K213">
        <f t="shared" si="57"/>
        <v>38.734000000000002</v>
      </c>
      <c r="L213">
        <f t="shared" si="58"/>
        <v>-8.1735451799999996</v>
      </c>
      <c r="M213">
        <f t="shared" si="59"/>
        <v>232.18899999999999</v>
      </c>
      <c r="O213">
        <v>308</v>
      </c>
      <c r="P213">
        <v>200</v>
      </c>
      <c r="Q213">
        <v>0.83</v>
      </c>
      <c r="R213">
        <f t="shared" si="53"/>
        <v>-0.81748752238824551</v>
      </c>
    </row>
    <row r="214" spans="1:18" x14ac:dyDescent="0.25">
      <c r="A214">
        <v>711</v>
      </c>
      <c r="B214">
        <v>89</v>
      </c>
      <c r="C214">
        <v>208</v>
      </c>
      <c r="D214">
        <v>743</v>
      </c>
      <c r="E214">
        <v>424</v>
      </c>
      <c r="F214">
        <v>673</v>
      </c>
      <c r="G214" t="s">
        <v>5</v>
      </c>
      <c r="H214" s="1">
        <f t="shared" si="52"/>
        <v>36833.104166667181</v>
      </c>
      <c r="I214">
        <f t="shared" si="55"/>
        <v>7.0394000000000005</v>
      </c>
      <c r="J214">
        <f t="shared" si="56"/>
        <v>15.9168</v>
      </c>
      <c r="K214">
        <f t="shared" si="57"/>
        <v>73.788600000000002</v>
      </c>
      <c r="L214">
        <f t="shared" si="58"/>
        <v>-7.9066444800000051</v>
      </c>
      <c r="M214">
        <f t="shared" si="59"/>
        <v>236.37699999999998</v>
      </c>
      <c r="O214">
        <v>308</v>
      </c>
      <c r="P214">
        <v>230</v>
      </c>
      <c r="Q214">
        <v>0.82699999999999996</v>
      </c>
      <c r="R214">
        <f t="shared" si="53"/>
        <v>-0.81494286888344492</v>
      </c>
    </row>
    <row r="215" spans="1:18" x14ac:dyDescent="0.25">
      <c r="A215">
        <v>711</v>
      </c>
      <c r="B215">
        <v>57</v>
      </c>
      <c r="C215">
        <v>168</v>
      </c>
      <c r="D215">
        <v>943</v>
      </c>
      <c r="E215">
        <v>419</v>
      </c>
      <c r="F215">
        <v>665</v>
      </c>
      <c r="G215" t="s">
        <v>5</v>
      </c>
      <c r="H215" s="1">
        <f t="shared" si="52"/>
        <v>36833.125000000517</v>
      </c>
      <c r="I215">
        <f t="shared" si="55"/>
        <v>4.6522000000000006</v>
      </c>
      <c r="J215">
        <f t="shared" si="56"/>
        <v>12.9328</v>
      </c>
      <c r="K215">
        <f t="shared" si="57"/>
        <v>94.2286</v>
      </c>
      <c r="L215">
        <f t="shared" si="58"/>
        <v>-8.351378780000001</v>
      </c>
      <c r="M215">
        <f t="shared" si="59"/>
        <v>233.58499999999998</v>
      </c>
      <c r="O215">
        <v>308</v>
      </c>
      <c r="P215">
        <v>300</v>
      </c>
      <c r="Q215">
        <v>0.83699999999999997</v>
      </c>
      <c r="R215">
        <f t="shared" si="53"/>
        <v>-0.82410531536932086</v>
      </c>
    </row>
    <row r="216" spans="1:18" x14ac:dyDescent="0.25">
      <c r="A216">
        <v>711</v>
      </c>
      <c r="B216">
        <v>44</v>
      </c>
      <c r="C216">
        <v>116</v>
      </c>
      <c r="D216">
        <v>582</v>
      </c>
      <c r="E216">
        <v>416</v>
      </c>
      <c r="F216">
        <v>717</v>
      </c>
      <c r="G216" t="s">
        <v>5</v>
      </c>
      <c r="H216" s="1">
        <f t="shared" si="52"/>
        <v>36833.145833333852</v>
      </c>
      <c r="I216">
        <f t="shared" si="55"/>
        <v>3.6823999999999999</v>
      </c>
      <c r="J216">
        <f t="shared" si="56"/>
        <v>9.0536000000000012</v>
      </c>
      <c r="K216">
        <f t="shared" si="57"/>
        <v>57.334400000000002</v>
      </c>
      <c r="L216">
        <f t="shared" si="58"/>
        <v>-8.6179788800000043</v>
      </c>
      <c r="M216">
        <f t="shared" si="59"/>
        <v>251.73299999999998</v>
      </c>
      <c r="O216">
        <v>308</v>
      </c>
      <c r="P216">
        <v>330</v>
      </c>
      <c r="Q216">
        <v>0.83699999999999997</v>
      </c>
      <c r="R216">
        <f t="shared" si="53"/>
        <v>-0.82369035496158105</v>
      </c>
    </row>
    <row r="217" spans="1:18" x14ac:dyDescent="0.25">
      <c r="A217">
        <v>711</v>
      </c>
      <c r="B217">
        <v>71</v>
      </c>
      <c r="C217">
        <v>124</v>
      </c>
      <c r="D217">
        <v>605</v>
      </c>
      <c r="E217">
        <v>412</v>
      </c>
      <c r="F217">
        <v>745</v>
      </c>
      <c r="G217" t="s">
        <v>5</v>
      </c>
      <c r="H217" s="1">
        <f t="shared" si="52"/>
        <v>36833.166666667188</v>
      </c>
      <c r="I217">
        <f t="shared" si="55"/>
        <v>5.6966000000000001</v>
      </c>
      <c r="J217">
        <f t="shared" si="56"/>
        <v>9.6503999999999994</v>
      </c>
      <c r="K217">
        <f t="shared" si="57"/>
        <v>59.684999999999995</v>
      </c>
      <c r="L217">
        <f t="shared" si="58"/>
        <v>-8.9731651199999991</v>
      </c>
      <c r="M217">
        <f t="shared" si="59"/>
        <v>261.505</v>
      </c>
      <c r="O217">
        <v>308</v>
      </c>
      <c r="P217">
        <v>400</v>
      </c>
      <c r="Q217">
        <v>0.84699999999999998</v>
      </c>
      <c r="R217">
        <f t="shared" si="53"/>
        <v>-0.8329715610868399</v>
      </c>
    </row>
    <row r="218" spans="1:18" x14ac:dyDescent="0.25">
      <c r="A218">
        <v>711</v>
      </c>
      <c r="B218">
        <v>58</v>
      </c>
      <c r="C218">
        <v>152</v>
      </c>
      <c r="D218">
        <v>439</v>
      </c>
      <c r="E218">
        <v>407</v>
      </c>
      <c r="F218">
        <v>771</v>
      </c>
      <c r="G218" t="s">
        <v>5</v>
      </c>
      <c r="H218" s="1">
        <f t="shared" si="52"/>
        <v>36833.187500000524</v>
      </c>
      <c r="I218">
        <f t="shared" si="55"/>
        <v>4.7268000000000008</v>
      </c>
      <c r="J218">
        <f t="shared" si="56"/>
        <v>11.7392</v>
      </c>
      <c r="K218">
        <f t="shared" si="57"/>
        <v>42.719799999999999</v>
      </c>
      <c r="L218">
        <f t="shared" si="58"/>
        <v>-9.4166970200000026</v>
      </c>
      <c r="M218">
        <f t="shared" si="59"/>
        <v>270.57900000000001</v>
      </c>
      <c r="O218">
        <v>308</v>
      </c>
      <c r="P218">
        <v>430</v>
      </c>
      <c r="Q218">
        <v>0.84699999999999998</v>
      </c>
      <c r="R218">
        <f t="shared" si="53"/>
        <v>-0.83227202083630991</v>
      </c>
    </row>
    <row r="219" spans="1:18" x14ac:dyDescent="0.25">
      <c r="A219">
        <v>711</v>
      </c>
      <c r="B219">
        <v>77</v>
      </c>
      <c r="C219">
        <v>188</v>
      </c>
      <c r="D219">
        <v>545</v>
      </c>
      <c r="E219">
        <v>410</v>
      </c>
      <c r="F219">
        <v>705</v>
      </c>
      <c r="G219" t="s">
        <v>5</v>
      </c>
      <c r="H219" s="1">
        <f t="shared" si="52"/>
        <v>36833.20833333386</v>
      </c>
      <c r="I219">
        <f t="shared" si="55"/>
        <v>6.1442000000000005</v>
      </c>
      <c r="J219">
        <f t="shared" si="56"/>
        <v>14.424799999999999</v>
      </c>
      <c r="K219">
        <f t="shared" si="57"/>
        <v>53.552999999999997</v>
      </c>
      <c r="L219">
        <f t="shared" si="58"/>
        <v>-9.1506380000000007</v>
      </c>
      <c r="M219">
        <f t="shared" si="59"/>
        <v>247.54499999999999</v>
      </c>
      <c r="O219">
        <v>308</v>
      </c>
      <c r="P219">
        <v>500</v>
      </c>
      <c r="Q219">
        <v>0.84499999999999997</v>
      </c>
      <c r="R219">
        <f t="shared" si="53"/>
        <v>-0.8307255064782173</v>
      </c>
    </row>
    <row r="220" spans="1:18" x14ac:dyDescent="0.25">
      <c r="A220">
        <v>711</v>
      </c>
      <c r="B220">
        <v>66</v>
      </c>
      <c r="C220">
        <v>140</v>
      </c>
      <c r="D220">
        <v>730</v>
      </c>
      <c r="E220">
        <v>413</v>
      </c>
      <c r="F220">
        <v>645</v>
      </c>
      <c r="G220" t="s">
        <v>5</v>
      </c>
      <c r="H220" s="1">
        <f t="shared" si="52"/>
        <v>36833.229166667195</v>
      </c>
      <c r="I220">
        <f t="shared" si="55"/>
        <v>5.3236000000000008</v>
      </c>
      <c r="J220">
        <f t="shared" si="56"/>
        <v>10.843999999999999</v>
      </c>
      <c r="K220">
        <f t="shared" si="57"/>
        <v>72.459999999999994</v>
      </c>
      <c r="L220">
        <f t="shared" si="58"/>
        <v>-8.884398620000006</v>
      </c>
      <c r="M220">
        <f t="shared" si="59"/>
        <v>226.60499999999999</v>
      </c>
      <c r="O220">
        <v>308</v>
      </c>
      <c r="P220">
        <v>530</v>
      </c>
      <c r="Q220">
        <v>0.84</v>
      </c>
      <c r="R220">
        <f t="shared" si="53"/>
        <v>-0.82622627446274444</v>
      </c>
    </row>
    <row r="221" spans="1:18" x14ac:dyDescent="0.25">
      <c r="A221">
        <v>711</v>
      </c>
      <c r="B221">
        <v>65</v>
      </c>
      <c r="C221">
        <v>164</v>
      </c>
      <c r="D221">
        <v>587</v>
      </c>
      <c r="E221">
        <v>407</v>
      </c>
      <c r="F221">
        <v>705</v>
      </c>
      <c r="G221" t="s">
        <v>5</v>
      </c>
      <c r="H221" s="1">
        <f t="shared" si="52"/>
        <v>36833.250000000531</v>
      </c>
      <c r="I221">
        <f t="shared" si="55"/>
        <v>5.2490000000000006</v>
      </c>
      <c r="J221">
        <f t="shared" si="56"/>
        <v>12.634400000000001</v>
      </c>
      <c r="K221">
        <f t="shared" si="57"/>
        <v>57.845399999999998</v>
      </c>
      <c r="L221">
        <f t="shared" si="58"/>
        <v>-9.4166970200000026</v>
      </c>
      <c r="M221">
        <f t="shared" si="59"/>
        <v>247.54499999999999</v>
      </c>
      <c r="O221">
        <v>308</v>
      </c>
      <c r="P221">
        <v>600</v>
      </c>
      <c r="Q221">
        <v>0.82</v>
      </c>
      <c r="R221">
        <f t="shared" si="53"/>
        <v>-0.8057415077754122</v>
      </c>
    </row>
    <row r="222" spans="1:18" x14ac:dyDescent="0.25">
      <c r="A222">
        <v>711</v>
      </c>
      <c r="B222">
        <v>52</v>
      </c>
      <c r="C222">
        <v>100</v>
      </c>
      <c r="D222">
        <v>985</v>
      </c>
      <c r="E222">
        <v>411</v>
      </c>
      <c r="F222">
        <v>635</v>
      </c>
      <c r="G222" t="s">
        <v>5</v>
      </c>
      <c r="H222" s="1">
        <f t="shared" si="52"/>
        <v>36833.270833333867</v>
      </c>
      <c r="I222">
        <f t="shared" si="55"/>
        <v>4.2792000000000003</v>
      </c>
      <c r="J222">
        <f t="shared" si="56"/>
        <v>7.86</v>
      </c>
      <c r="K222">
        <f t="shared" si="57"/>
        <v>98.521000000000001</v>
      </c>
      <c r="L222">
        <f t="shared" si="58"/>
        <v>-9.0619115800000003</v>
      </c>
      <c r="M222">
        <f t="shared" si="59"/>
        <v>223.11499999999998</v>
      </c>
      <c r="O222">
        <v>308</v>
      </c>
      <c r="P222">
        <v>630</v>
      </c>
      <c r="Q222">
        <v>0.82</v>
      </c>
      <c r="R222">
        <f t="shared" si="53"/>
        <v>-0.80628328478486877</v>
      </c>
    </row>
    <row r="223" spans="1:18" x14ac:dyDescent="0.25">
      <c r="A223">
        <v>711</v>
      </c>
      <c r="B223">
        <v>30</v>
      </c>
      <c r="C223">
        <v>96</v>
      </c>
      <c r="D223">
        <v>377</v>
      </c>
      <c r="E223">
        <v>414</v>
      </c>
      <c r="F223">
        <v>673</v>
      </c>
      <c r="G223" t="s">
        <v>5</v>
      </c>
      <c r="H223" s="1">
        <f t="shared" si="52"/>
        <v>36833.291666667203</v>
      </c>
      <c r="I223">
        <f t="shared" si="55"/>
        <v>2.6379999999999999</v>
      </c>
      <c r="J223">
        <f t="shared" si="56"/>
        <v>7.5616000000000003</v>
      </c>
      <c r="K223">
        <f t="shared" si="57"/>
        <v>36.383400000000002</v>
      </c>
      <c r="L223">
        <f t="shared" si="58"/>
        <v>-8.7956120800000051</v>
      </c>
      <c r="M223">
        <f t="shared" si="59"/>
        <v>236.37699999999998</v>
      </c>
      <c r="O223">
        <v>308</v>
      </c>
      <c r="P223">
        <v>700</v>
      </c>
      <c r="Q223">
        <v>0.81</v>
      </c>
      <c r="R223">
        <f t="shared" si="53"/>
        <v>-0.79685202054587245</v>
      </c>
    </row>
    <row r="224" spans="1:18" x14ac:dyDescent="0.25">
      <c r="A224">
        <v>711</v>
      </c>
      <c r="B224">
        <v>58</v>
      </c>
      <c r="C224">
        <v>132</v>
      </c>
      <c r="D224">
        <v>652</v>
      </c>
      <c r="E224">
        <v>413</v>
      </c>
      <c r="F224">
        <v>673</v>
      </c>
      <c r="G224" t="s">
        <v>5</v>
      </c>
      <c r="H224" s="1">
        <f t="shared" si="52"/>
        <v>36833.312500000538</v>
      </c>
      <c r="I224">
        <f t="shared" si="55"/>
        <v>4.7268000000000008</v>
      </c>
      <c r="J224">
        <f t="shared" si="56"/>
        <v>10.247200000000001</v>
      </c>
      <c r="K224">
        <f t="shared" si="57"/>
        <v>64.488399999999999</v>
      </c>
      <c r="L224">
        <f t="shared" si="58"/>
        <v>-8.884398620000006</v>
      </c>
      <c r="M224">
        <f t="shared" si="59"/>
        <v>236.37699999999998</v>
      </c>
      <c r="O224">
        <v>308</v>
      </c>
      <c r="P224">
        <v>730</v>
      </c>
      <c r="Q224">
        <v>0.81</v>
      </c>
      <c r="R224">
        <f t="shared" si="53"/>
        <v>-0.79671819323193227</v>
      </c>
    </row>
    <row r="225" spans="1:18" x14ac:dyDescent="0.25">
      <c r="A225">
        <v>711</v>
      </c>
      <c r="B225">
        <v>30</v>
      </c>
      <c r="C225">
        <v>56</v>
      </c>
      <c r="D225">
        <v>120</v>
      </c>
      <c r="E225">
        <v>416</v>
      </c>
      <c r="F225">
        <v>649</v>
      </c>
      <c r="G225" t="s">
        <v>5</v>
      </c>
      <c r="H225" s="1">
        <f t="shared" si="52"/>
        <v>36833.333333333874</v>
      </c>
      <c r="I225">
        <f t="shared" si="55"/>
        <v>2.6379999999999999</v>
      </c>
      <c r="J225">
        <f t="shared" si="56"/>
        <v>4.5776000000000003</v>
      </c>
      <c r="K225">
        <f t="shared" si="57"/>
        <v>10.117999999999999</v>
      </c>
      <c r="L225">
        <f t="shared" si="58"/>
        <v>-8.6179788800000043</v>
      </c>
      <c r="M225">
        <f t="shared" si="59"/>
        <v>228.00099999999998</v>
      </c>
      <c r="O225">
        <v>308</v>
      </c>
      <c r="P225">
        <v>800</v>
      </c>
      <c r="Q225">
        <v>0.81699999999999995</v>
      </c>
      <c r="R225">
        <f t="shared" si="53"/>
        <v>-0.80400838710108924</v>
      </c>
    </row>
    <row r="226" spans="1:18" x14ac:dyDescent="0.25">
      <c r="A226">
        <v>711</v>
      </c>
      <c r="B226">
        <v>38</v>
      </c>
      <c r="C226">
        <v>76</v>
      </c>
      <c r="D226">
        <v>924</v>
      </c>
      <c r="E226">
        <v>411</v>
      </c>
      <c r="F226">
        <v>753</v>
      </c>
      <c r="G226" t="s">
        <v>5</v>
      </c>
      <c r="H226" s="1">
        <f t="shared" si="52"/>
        <v>36833.35416666721</v>
      </c>
      <c r="I226">
        <f t="shared" si="55"/>
        <v>3.2347999999999999</v>
      </c>
      <c r="J226">
        <f t="shared" si="56"/>
        <v>6.0696000000000003</v>
      </c>
      <c r="K226">
        <f t="shared" si="57"/>
        <v>92.286799999999999</v>
      </c>
      <c r="L226">
        <f t="shared" si="58"/>
        <v>-9.0619115800000003</v>
      </c>
      <c r="M226">
        <f t="shared" si="59"/>
        <v>264.29699999999997</v>
      </c>
      <c r="O226">
        <v>308</v>
      </c>
      <c r="P226">
        <v>830</v>
      </c>
      <c r="Q226">
        <v>0.82</v>
      </c>
      <c r="R226">
        <f t="shared" si="53"/>
        <v>-0.80628328478486877</v>
      </c>
    </row>
    <row r="227" spans="1:18" x14ac:dyDescent="0.25">
      <c r="A227">
        <v>711</v>
      </c>
      <c r="B227">
        <v>19</v>
      </c>
      <c r="C227">
        <v>48</v>
      </c>
      <c r="D227">
        <v>263</v>
      </c>
      <c r="E227">
        <v>417</v>
      </c>
      <c r="F227">
        <v>792</v>
      </c>
      <c r="G227" t="s">
        <v>5</v>
      </c>
      <c r="H227" s="1">
        <f t="shared" si="52"/>
        <v>36833.375000000546</v>
      </c>
      <c r="I227">
        <f t="shared" si="55"/>
        <v>1.8174000000000001</v>
      </c>
      <c r="J227">
        <f t="shared" si="56"/>
        <v>3.9807999999999999</v>
      </c>
      <c r="K227">
        <f t="shared" si="57"/>
        <v>24.732599999999998</v>
      </c>
      <c r="L227">
        <f t="shared" si="58"/>
        <v>-8.5291322200000028</v>
      </c>
      <c r="M227">
        <f t="shared" si="59"/>
        <v>277.90799999999996</v>
      </c>
      <c r="O227">
        <v>308</v>
      </c>
      <c r="P227">
        <v>900</v>
      </c>
      <c r="Q227">
        <v>0.83</v>
      </c>
      <c r="R227">
        <f t="shared" si="53"/>
        <v>-0.81693882164291276</v>
      </c>
    </row>
    <row r="228" spans="1:18" x14ac:dyDescent="0.25">
      <c r="A228">
        <v>711</v>
      </c>
      <c r="B228">
        <v>34</v>
      </c>
      <c r="C228">
        <v>100</v>
      </c>
      <c r="D228">
        <v>838</v>
      </c>
      <c r="E228">
        <v>413</v>
      </c>
      <c r="F228">
        <v>772</v>
      </c>
      <c r="G228" t="s">
        <v>5</v>
      </c>
      <c r="H228" s="1">
        <f t="shared" si="52"/>
        <v>36833.395833333881</v>
      </c>
      <c r="I228">
        <f t="shared" si="55"/>
        <v>2.9363999999999999</v>
      </c>
      <c r="J228">
        <f t="shared" si="56"/>
        <v>7.86</v>
      </c>
      <c r="K228">
        <f t="shared" si="57"/>
        <v>83.497600000000006</v>
      </c>
      <c r="L228">
        <f t="shared" si="58"/>
        <v>-8.884398620000006</v>
      </c>
      <c r="M228">
        <f t="shared" si="59"/>
        <v>270.928</v>
      </c>
      <c r="O228">
        <v>308</v>
      </c>
      <c r="P228">
        <v>930</v>
      </c>
      <c r="Q228">
        <v>0.83</v>
      </c>
      <c r="R228">
        <f t="shared" si="53"/>
        <v>-0.81639024738580701</v>
      </c>
    </row>
    <row r="229" spans="1:18" x14ac:dyDescent="0.25">
      <c r="A229">
        <v>711</v>
      </c>
      <c r="B229">
        <v>32</v>
      </c>
      <c r="C229">
        <v>72</v>
      </c>
      <c r="D229">
        <v>882</v>
      </c>
      <c r="E229">
        <v>415</v>
      </c>
      <c r="F229">
        <v>761</v>
      </c>
      <c r="G229" t="s">
        <v>5</v>
      </c>
      <c r="H229" s="1">
        <f t="shared" si="52"/>
        <v>36833.416666667217</v>
      </c>
      <c r="I229">
        <f t="shared" si="55"/>
        <v>2.7871999999999999</v>
      </c>
      <c r="J229">
        <f t="shared" si="56"/>
        <v>5.7712000000000003</v>
      </c>
      <c r="K229">
        <f t="shared" si="57"/>
        <v>87.994399999999999</v>
      </c>
      <c r="L229">
        <f t="shared" si="58"/>
        <v>-8.7068055000000051</v>
      </c>
      <c r="M229">
        <f t="shared" si="59"/>
        <v>267.089</v>
      </c>
      <c r="O229">
        <v>308</v>
      </c>
      <c r="P229">
        <v>1000</v>
      </c>
      <c r="Q229">
        <v>0.84</v>
      </c>
      <c r="R229">
        <f t="shared" si="53"/>
        <v>-0.82650385023784978</v>
      </c>
    </row>
    <row r="230" spans="1:18" x14ac:dyDescent="0.25">
      <c r="A230">
        <v>711</v>
      </c>
      <c r="B230">
        <v>17</v>
      </c>
      <c r="C230">
        <v>48</v>
      </c>
      <c r="D230">
        <v>561</v>
      </c>
      <c r="E230">
        <v>421</v>
      </c>
      <c r="F230">
        <v>785</v>
      </c>
      <c r="G230" t="s">
        <v>5</v>
      </c>
      <c r="H230" s="1">
        <f t="shared" si="52"/>
        <v>36833.437500000553</v>
      </c>
      <c r="I230">
        <f t="shared" si="55"/>
        <v>1.6682000000000001</v>
      </c>
      <c r="J230">
        <f t="shared" si="56"/>
        <v>3.9807999999999999</v>
      </c>
      <c r="K230">
        <f t="shared" si="57"/>
        <v>55.188200000000002</v>
      </c>
      <c r="L230">
        <f t="shared" si="58"/>
        <v>-8.1735451799999996</v>
      </c>
      <c r="M230">
        <f t="shared" si="59"/>
        <v>275.46499999999997</v>
      </c>
      <c r="O230">
        <v>308</v>
      </c>
      <c r="P230">
        <v>1030</v>
      </c>
      <c r="Q230">
        <v>0.83199999999999996</v>
      </c>
      <c r="R230">
        <f t="shared" si="53"/>
        <v>-0.8194573718397834</v>
      </c>
    </row>
    <row r="231" spans="1:18" x14ac:dyDescent="0.25">
      <c r="A231">
        <v>711</v>
      </c>
      <c r="B231">
        <v>39</v>
      </c>
      <c r="C231">
        <v>100</v>
      </c>
      <c r="D231">
        <v>806</v>
      </c>
      <c r="E231">
        <v>416</v>
      </c>
      <c r="F231">
        <v>757</v>
      </c>
      <c r="G231" t="s">
        <v>5</v>
      </c>
      <c r="H231" s="1">
        <f t="shared" si="52"/>
        <v>36833.458333333889</v>
      </c>
      <c r="I231">
        <f t="shared" si="55"/>
        <v>3.3093999999999997</v>
      </c>
      <c r="J231">
        <f t="shared" si="56"/>
        <v>7.86</v>
      </c>
      <c r="K231">
        <f t="shared" si="57"/>
        <v>80.227199999999996</v>
      </c>
      <c r="L231">
        <f t="shared" si="58"/>
        <v>-8.6179788800000043</v>
      </c>
      <c r="M231">
        <f t="shared" si="59"/>
        <v>265.69299999999998</v>
      </c>
      <c r="O231">
        <v>308</v>
      </c>
      <c r="P231">
        <v>1100</v>
      </c>
      <c r="Q231">
        <v>0.81499999999999995</v>
      </c>
      <c r="R231">
        <f t="shared" si="53"/>
        <v>-0.80204019031504004</v>
      </c>
    </row>
    <row r="232" spans="1:18" x14ac:dyDescent="0.25">
      <c r="A232">
        <v>711</v>
      </c>
      <c r="B232">
        <v>40</v>
      </c>
      <c r="C232">
        <v>88</v>
      </c>
      <c r="D232">
        <v>405</v>
      </c>
      <c r="E232">
        <v>426</v>
      </c>
      <c r="F232">
        <v>637</v>
      </c>
      <c r="G232" t="s">
        <v>5</v>
      </c>
      <c r="H232" s="1">
        <f t="shared" si="52"/>
        <v>36833.479166667224</v>
      </c>
      <c r="I232">
        <f t="shared" si="55"/>
        <v>3.3839999999999999</v>
      </c>
      <c r="J232">
        <f t="shared" si="56"/>
        <v>6.9648000000000003</v>
      </c>
      <c r="K232">
        <f t="shared" si="57"/>
        <v>39.244999999999997</v>
      </c>
      <c r="L232">
        <f t="shared" si="58"/>
        <v>-7.7286104800000039</v>
      </c>
      <c r="M232">
        <f t="shared" si="59"/>
        <v>223.81299999999999</v>
      </c>
      <c r="O232">
        <v>308</v>
      </c>
      <c r="P232">
        <v>1130</v>
      </c>
      <c r="Q232">
        <v>0.8</v>
      </c>
      <c r="R232">
        <f t="shared" si="53"/>
        <v>-0.78860103692171923</v>
      </c>
    </row>
    <row r="233" spans="1:18" x14ac:dyDescent="0.25">
      <c r="A233">
        <v>711</v>
      </c>
      <c r="B233">
        <v>48</v>
      </c>
      <c r="C233">
        <v>128</v>
      </c>
      <c r="D233">
        <v>572</v>
      </c>
      <c r="E233">
        <v>424</v>
      </c>
      <c r="F233">
        <v>655</v>
      </c>
      <c r="G233" t="s">
        <v>5</v>
      </c>
      <c r="H233" s="1">
        <f t="shared" si="52"/>
        <v>36833.50000000056</v>
      </c>
      <c r="I233">
        <f t="shared" si="55"/>
        <v>3.9807999999999999</v>
      </c>
      <c r="J233">
        <f t="shared" si="56"/>
        <v>9.9488000000000003</v>
      </c>
      <c r="K233">
        <f t="shared" si="57"/>
        <v>56.312399999999997</v>
      </c>
      <c r="L233">
        <f t="shared" si="58"/>
        <v>-7.9066444800000051</v>
      </c>
      <c r="M233">
        <f t="shared" si="59"/>
        <v>230.095</v>
      </c>
      <c r="O233">
        <v>308</v>
      </c>
      <c r="P233">
        <v>1200</v>
      </c>
      <c r="Q233">
        <v>0.80200000000000005</v>
      </c>
      <c r="R233">
        <f t="shared" si="53"/>
        <v>-0.79030735289543275</v>
      </c>
    </row>
    <row r="234" spans="1:18" x14ac:dyDescent="0.25">
      <c r="A234">
        <v>711</v>
      </c>
      <c r="B234">
        <v>36</v>
      </c>
      <c r="C234">
        <v>96</v>
      </c>
      <c r="D234">
        <v>853</v>
      </c>
      <c r="E234">
        <v>427</v>
      </c>
      <c r="F234">
        <v>745</v>
      </c>
      <c r="G234" t="s">
        <v>5</v>
      </c>
      <c r="H234" s="1">
        <f t="shared" si="52"/>
        <v>36833.520833333896</v>
      </c>
      <c r="I234">
        <f t="shared" si="55"/>
        <v>3.0855999999999999</v>
      </c>
      <c r="J234">
        <f t="shared" si="56"/>
        <v>7.5616000000000003</v>
      </c>
      <c r="K234">
        <f t="shared" si="57"/>
        <v>85.030599999999993</v>
      </c>
      <c r="L234">
        <f t="shared" si="58"/>
        <v>-7.6395634200000035</v>
      </c>
      <c r="M234">
        <f t="shared" si="59"/>
        <v>261.505</v>
      </c>
      <c r="O234">
        <v>308</v>
      </c>
      <c r="P234">
        <v>1230</v>
      </c>
      <c r="Q234">
        <v>0.79700000000000004</v>
      </c>
      <c r="R234">
        <f t="shared" si="53"/>
        <v>-0.78577556103819846</v>
      </c>
    </row>
    <row r="235" spans="1:18" x14ac:dyDescent="0.25">
      <c r="A235">
        <v>711</v>
      </c>
      <c r="B235">
        <v>33</v>
      </c>
      <c r="C235">
        <v>112</v>
      </c>
      <c r="D235">
        <v>716</v>
      </c>
      <c r="E235">
        <v>429</v>
      </c>
      <c r="F235">
        <v>609</v>
      </c>
      <c r="G235" t="s">
        <v>5</v>
      </c>
      <c r="H235" s="1">
        <f t="shared" si="52"/>
        <v>36833.541666667232</v>
      </c>
      <c r="I235">
        <f t="shared" si="55"/>
        <v>2.8618000000000001</v>
      </c>
      <c r="J235">
        <f t="shared" si="56"/>
        <v>8.7552000000000003</v>
      </c>
      <c r="K235">
        <f t="shared" si="57"/>
        <v>71.029200000000003</v>
      </c>
      <c r="L235">
        <f t="shared" si="58"/>
        <v>-7.4614091800000022</v>
      </c>
      <c r="M235">
        <f t="shared" si="59"/>
        <v>214.041</v>
      </c>
      <c r="O235">
        <v>308</v>
      </c>
      <c r="P235">
        <v>1300</v>
      </c>
      <c r="Q235">
        <v>0.8</v>
      </c>
      <c r="R235">
        <f t="shared" si="53"/>
        <v>-0.78899788176010299</v>
      </c>
    </row>
    <row r="236" spans="1:18" x14ac:dyDescent="0.25">
      <c r="A236">
        <v>711</v>
      </c>
      <c r="B236">
        <v>73</v>
      </c>
      <c r="C236">
        <v>152</v>
      </c>
      <c r="D236">
        <v>674</v>
      </c>
      <c r="E236">
        <v>429</v>
      </c>
      <c r="F236">
        <v>669</v>
      </c>
      <c r="G236" t="s">
        <v>5</v>
      </c>
      <c r="H236" s="1">
        <f t="shared" si="52"/>
        <v>36833.562500000568</v>
      </c>
      <c r="I236">
        <f t="shared" si="55"/>
        <v>5.8458000000000006</v>
      </c>
      <c r="J236">
        <f t="shared" si="56"/>
        <v>11.7392</v>
      </c>
      <c r="K236">
        <f t="shared" si="57"/>
        <v>66.736800000000002</v>
      </c>
      <c r="L236">
        <f t="shared" si="58"/>
        <v>-7.4614091800000022</v>
      </c>
      <c r="M236">
        <f t="shared" si="59"/>
        <v>234.98099999999999</v>
      </c>
      <c r="O236">
        <v>308</v>
      </c>
      <c r="P236">
        <v>1330</v>
      </c>
      <c r="Q236">
        <v>0.79200000000000004</v>
      </c>
      <c r="R236">
        <f t="shared" si="53"/>
        <v>-0.78110790294250199</v>
      </c>
    </row>
    <row r="237" spans="1:18" x14ac:dyDescent="0.25">
      <c r="A237">
        <v>711</v>
      </c>
      <c r="B237">
        <v>55</v>
      </c>
      <c r="C237">
        <v>160</v>
      </c>
      <c r="D237">
        <v>637</v>
      </c>
      <c r="E237">
        <v>430</v>
      </c>
      <c r="F237">
        <v>603</v>
      </c>
      <c r="G237" t="s">
        <v>5</v>
      </c>
      <c r="H237" s="1">
        <f t="shared" si="52"/>
        <v>36833.583333333903</v>
      </c>
      <c r="I237">
        <f t="shared" si="55"/>
        <v>4.5030000000000001</v>
      </c>
      <c r="J237">
        <f t="shared" si="56"/>
        <v>12.336</v>
      </c>
      <c r="K237">
        <f t="shared" si="57"/>
        <v>62.955399999999997</v>
      </c>
      <c r="L237">
        <f t="shared" si="58"/>
        <v>-7.3723020000000012</v>
      </c>
      <c r="M237">
        <f t="shared" si="59"/>
        <v>211.94699999999997</v>
      </c>
      <c r="O237">
        <v>308</v>
      </c>
      <c r="P237">
        <v>1400</v>
      </c>
      <c r="Q237">
        <v>0.81499999999999995</v>
      </c>
      <c r="R237">
        <f t="shared" si="53"/>
        <v>-0.80392636937310447</v>
      </c>
    </row>
    <row r="238" spans="1:18" x14ac:dyDescent="0.25">
      <c r="A238">
        <v>711</v>
      </c>
      <c r="B238">
        <v>81</v>
      </c>
      <c r="C238">
        <v>176</v>
      </c>
      <c r="D238">
        <v>528</v>
      </c>
      <c r="E238">
        <v>433</v>
      </c>
      <c r="F238">
        <v>597</v>
      </c>
      <c r="G238" t="s">
        <v>5</v>
      </c>
      <c r="H238" s="1">
        <f t="shared" si="52"/>
        <v>36833.604166667239</v>
      </c>
      <c r="I238">
        <f t="shared" si="55"/>
        <v>6.4426000000000005</v>
      </c>
      <c r="J238">
        <f t="shared" si="56"/>
        <v>13.5296</v>
      </c>
      <c r="K238">
        <f t="shared" si="57"/>
        <v>51.815599999999996</v>
      </c>
      <c r="L238">
        <f t="shared" si="58"/>
        <v>-7.1048602199999991</v>
      </c>
      <c r="M238">
        <f t="shared" si="59"/>
        <v>209.85299999999998</v>
      </c>
      <c r="O238">
        <v>308</v>
      </c>
      <c r="P238">
        <v>1430</v>
      </c>
      <c r="Q238">
        <v>0.78500000000000003</v>
      </c>
      <c r="R238">
        <f t="shared" si="53"/>
        <v>-0.77472348083613185</v>
      </c>
    </row>
    <row r="239" spans="1:18" x14ac:dyDescent="0.25">
      <c r="A239">
        <v>711</v>
      </c>
      <c r="B239">
        <v>89</v>
      </c>
      <c r="C239">
        <v>188</v>
      </c>
      <c r="D239">
        <v>680</v>
      </c>
      <c r="E239">
        <v>425</v>
      </c>
      <c r="F239">
        <v>701</v>
      </c>
      <c r="G239" t="s">
        <v>5</v>
      </c>
      <c r="H239" s="1">
        <f t="shared" si="52"/>
        <v>36833.625000000575</v>
      </c>
      <c r="I239">
        <f t="shared" si="55"/>
        <v>7.0394000000000005</v>
      </c>
      <c r="J239">
        <f t="shared" si="56"/>
        <v>14.424799999999999</v>
      </c>
      <c r="K239">
        <f t="shared" si="57"/>
        <v>67.349999999999994</v>
      </c>
      <c r="L239">
        <f t="shared" si="58"/>
        <v>-7.8176375000000045</v>
      </c>
      <c r="M239">
        <f t="shared" si="59"/>
        <v>246.14899999999997</v>
      </c>
      <c r="O239">
        <v>308</v>
      </c>
      <c r="P239">
        <v>1500</v>
      </c>
      <c r="Q239">
        <v>0.78</v>
      </c>
      <c r="R239">
        <f t="shared" si="53"/>
        <v>-0.76875705121262261</v>
      </c>
    </row>
    <row r="240" spans="1:18" x14ac:dyDescent="0.25">
      <c r="A240">
        <v>711</v>
      </c>
      <c r="B240">
        <v>53</v>
      </c>
      <c r="C240">
        <v>128</v>
      </c>
      <c r="D240">
        <v>729</v>
      </c>
      <c r="E240">
        <v>429</v>
      </c>
      <c r="F240">
        <v>685</v>
      </c>
      <c r="G240" t="s">
        <v>5</v>
      </c>
      <c r="H240" s="1">
        <f t="shared" si="52"/>
        <v>36833.645833333911</v>
      </c>
      <c r="I240">
        <f t="shared" si="55"/>
        <v>4.3538000000000006</v>
      </c>
      <c r="J240">
        <f t="shared" si="56"/>
        <v>9.9488000000000003</v>
      </c>
      <c r="K240">
        <f t="shared" si="57"/>
        <v>72.357799999999997</v>
      </c>
      <c r="L240">
        <f t="shared" si="58"/>
        <v>-7.4614091800000022</v>
      </c>
      <c r="M240">
        <f t="shared" si="59"/>
        <v>240.565</v>
      </c>
      <c r="O240">
        <v>308</v>
      </c>
      <c r="P240">
        <v>1530</v>
      </c>
      <c r="Q240">
        <v>0.80500000000000005</v>
      </c>
      <c r="R240">
        <f t="shared" si="53"/>
        <v>-0.7939291185211037</v>
      </c>
    </row>
    <row r="241" spans="1:18" x14ac:dyDescent="0.25">
      <c r="A241">
        <v>711</v>
      </c>
      <c r="B241">
        <v>63</v>
      </c>
      <c r="C241">
        <v>172</v>
      </c>
      <c r="D241">
        <v>731</v>
      </c>
      <c r="E241">
        <v>430</v>
      </c>
      <c r="F241">
        <v>661</v>
      </c>
      <c r="G241" t="s">
        <v>5</v>
      </c>
      <c r="H241" s="1">
        <f t="shared" si="52"/>
        <v>36833.666666667246</v>
      </c>
      <c r="I241">
        <f t="shared" si="55"/>
        <v>5.0998000000000001</v>
      </c>
      <c r="J241">
        <f t="shared" si="56"/>
        <v>13.231199999999999</v>
      </c>
      <c r="K241">
        <f t="shared" si="57"/>
        <v>72.562200000000004</v>
      </c>
      <c r="L241">
        <f t="shared" si="58"/>
        <v>-7.3723020000000012</v>
      </c>
      <c r="M241">
        <f t="shared" si="59"/>
        <v>232.18899999999999</v>
      </c>
      <c r="O241">
        <v>308</v>
      </c>
      <c r="P241">
        <v>1600</v>
      </c>
      <c r="Q241">
        <v>0.81</v>
      </c>
      <c r="R241">
        <f t="shared" si="53"/>
        <v>-0.79899430575731867</v>
      </c>
    </row>
    <row r="242" spans="1:18" x14ac:dyDescent="0.25">
      <c r="A242">
        <v>711</v>
      </c>
      <c r="B242">
        <v>93</v>
      </c>
      <c r="C242">
        <v>252</v>
      </c>
      <c r="D242">
        <v>424</v>
      </c>
      <c r="E242">
        <v>425</v>
      </c>
      <c r="F242">
        <v>691</v>
      </c>
      <c r="G242" t="s">
        <v>5</v>
      </c>
      <c r="H242" s="1">
        <f t="shared" si="52"/>
        <v>36833.687500000582</v>
      </c>
      <c r="I242">
        <f t="shared" si="55"/>
        <v>7.3378000000000005</v>
      </c>
      <c r="J242">
        <f t="shared" si="56"/>
        <v>19.199199999999998</v>
      </c>
      <c r="K242">
        <f t="shared" si="57"/>
        <v>41.186799999999998</v>
      </c>
      <c r="L242">
        <f t="shared" si="58"/>
        <v>-7.8176375000000045</v>
      </c>
      <c r="M242">
        <f t="shared" si="59"/>
        <v>242.65899999999999</v>
      </c>
      <c r="O242">
        <v>308</v>
      </c>
      <c r="P242">
        <v>1630</v>
      </c>
      <c r="Q242">
        <v>0.79</v>
      </c>
      <c r="R242">
        <f t="shared" si="53"/>
        <v>-0.77861291084355366</v>
      </c>
    </row>
    <row r="243" spans="1:18" x14ac:dyDescent="0.25">
      <c r="A243">
        <v>711</v>
      </c>
      <c r="B243">
        <v>72</v>
      </c>
      <c r="C243">
        <v>204</v>
      </c>
      <c r="D243">
        <v>620</v>
      </c>
      <c r="E243">
        <v>428</v>
      </c>
      <c r="F243">
        <v>683</v>
      </c>
      <c r="G243" t="s">
        <v>5</v>
      </c>
      <c r="H243" s="1">
        <f t="shared" si="52"/>
        <v>36833.708333333918</v>
      </c>
      <c r="I243">
        <f t="shared" si="55"/>
        <v>5.7712000000000003</v>
      </c>
      <c r="J243">
        <f t="shared" si="56"/>
        <v>15.618399999999999</v>
      </c>
      <c r="K243">
        <f t="shared" si="57"/>
        <v>61.217999999999996</v>
      </c>
      <c r="L243">
        <f t="shared" si="58"/>
        <v>-7.5504963200000024</v>
      </c>
      <c r="M243">
        <f t="shared" si="59"/>
        <v>239.86699999999999</v>
      </c>
      <c r="O243">
        <v>308</v>
      </c>
      <c r="P243">
        <v>1700</v>
      </c>
      <c r="Q243">
        <v>0.78500000000000003</v>
      </c>
      <c r="R243">
        <f t="shared" si="53"/>
        <v>-0.77407436270768626</v>
      </c>
    </row>
    <row r="244" spans="1:18" x14ac:dyDescent="0.25">
      <c r="A244">
        <v>711</v>
      </c>
      <c r="B244">
        <v>87</v>
      </c>
      <c r="C244">
        <v>252</v>
      </c>
      <c r="D244">
        <v>661</v>
      </c>
      <c r="E244">
        <v>426</v>
      </c>
      <c r="F244">
        <v>665</v>
      </c>
      <c r="G244" t="s">
        <v>5</v>
      </c>
      <c r="H244" s="1">
        <f t="shared" si="52"/>
        <v>36833.729166667254</v>
      </c>
      <c r="I244">
        <f t="shared" si="55"/>
        <v>6.8902000000000001</v>
      </c>
      <c r="J244">
        <f t="shared" si="56"/>
        <v>19.199199999999998</v>
      </c>
      <c r="K244">
        <f t="shared" si="57"/>
        <v>65.408199999999994</v>
      </c>
      <c r="L244">
        <f t="shared" si="58"/>
        <v>-7.7286104800000039</v>
      </c>
      <c r="M244">
        <f t="shared" si="59"/>
        <v>233.58499999999998</v>
      </c>
      <c r="O244">
        <v>308</v>
      </c>
      <c r="P244">
        <v>1730</v>
      </c>
      <c r="Q244">
        <v>0.79700000000000004</v>
      </c>
      <c r="R244">
        <f t="shared" si="53"/>
        <v>-0.78564378303326277</v>
      </c>
    </row>
    <row r="245" spans="1:18" x14ac:dyDescent="0.25">
      <c r="A245">
        <v>711</v>
      </c>
      <c r="B245">
        <v>67</v>
      </c>
      <c r="C245">
        <v>244</v>
      </c>
      <c r="D245">
        <v>730</v>
      </c>
      <c r="E245">
        <v>430</v>
      </c>
      <c r="F245">
        <v>685</v>
      </c>
      <c r="G245" t="s">
        <v>5</v>
      </c>
      <c r="H245" s="1">
        <f t="shared" si="52"/>
        <v>36833.750000000589</v>
      </c>
      <c r="I245">
        <f t="shared" si="55"/>
        <v>5.3982000000000001</v>
      </c>
      <c r="J245">
        <f t="shared" si="56"/>
        <v>18.602399999999999</v>
      </c>
      <c r="K245">
        <f t="shared" si="57"/>
        <v>72.459999999999994</v>
      </c>
      <c r="L245">
        <f t="shared" si="58"/>
        <v>-7.3723020000000012</v>
      </c>
      <c r="M245">
        <f t="shared" si="59"/>
        <v>240.565</v>
      </c>
      <c r="O245">
        <v>308</v>
      </c>
      <c r="P245">
        <v>1800</v>
      </c>
      <c r="Q245">
        <v>0.78700000000000003</v>
      </c>
      <c r="R245">
        <f t="shared" si="53"/>
        <v>-0.7763068131247034</v>
      </c>
    </row>
    <row r="246" spans="1:18" x14ac:dyDescent="0.25">
      <c r="A246">
        <v>711</v>
      </c>
      <c r="B246">
        <v>91</v>
      </c>
      <c r="C246">
        <v>204</v>
      </c>
      <c r="D246">
        <v>629</v>
      </c>
      <c r="E246">
        <v>428</v>
      </c>
      <c r="F246">
        <v>701</v>
      </c>
      <c r="G246" t="s">
        <v>5</v>
      </c>
      <c r="H246" s="1">
        <f t="shared" si="52"/>
        <v>36833.770833333925</v>
      </c>
      <c r="I246">
        <f t="shared" si="55"/>
        <v>7.1886000000000001</v>
      </c>
      <c r="J246">
        <f t="shared" si="56"/>
        <v>15.618399999999999</v>
      </c>
      <c r="K246">
        <f t="shared" si="57"/>
        <v>62.137799999999999</v>
      </c>
      <c r="L246">
        <f t="shared" si="58"/>
        <v>-7.5504963200000024</v>
      </c>
      <c r="M246">
        <f t="shared" si="59"/>
        <v>246.14899999999997</v>
      </c>
      <c r="O246">
        <v>308</v>
      </c>
      <c r="P246">
        <v>1830</v>
      </c>
      <c r="Q246">
        <v>0.78500000000000003</v>
      </c>
      <c r="R246">
        <f t="shared" si="53"/>
        <v>-0.77407436270768626</v>
      </c>
    </row>
    <row r="247" spans="1:18" x14ac:dyDescent="0.25">
      <c r="A247">
        <v>711</v>
      </c>
      <c r="B247">
        <v>92</v>
      </c>
      <c r="C247">
        <v>208</v>
      </c>
      <c r="D247">
        <v>543</v>
      </c>
      <c r="E247">
        <v>429</v>
      </c>
      <c r="F247">
        <v>733</v>
      </c>
      <c r="G247" t="s">
        <v>5</v>
      </c>
      <c r="H247" s="1">
        <f t="shared" si="52"/>
        <v>36833.791666667261</v>
      </c>
      <c r="I247">
        <f t="shared" si="55"/>
        <v>7.2632000000000003</v>
      </c>
      <c r="J247">
        <f t="shared" si="56"/>
        <v>15.9168</v>
      </c>
      <c r="K247">
        <f t="shared" si="57"/>
        <v>53.348599999999998</v>
      </c>
      <c r="L247">
        <f t="shared" si="58"/>
        <v>-7.4614091800000022</v>
      </c>
      <c r="M247">
        <f t="shared" si="59"/>
        <v>257.31700000000001</v>
      </c>
      <c r="O247">
        <v>308</v>
      </c>
      <c r="P247">
        <v>1900</v>
      </c>
      <c r="Q247">
        <v>0.79200000000000004</v>
      </c>
      <c r="R247">
        <f t="shared" si="53"/>
        <v>-0.78110790294250199</v>
      </c>
    </row>
    <row r="248" spans="1:18" x14ac:dyDescent="0.25">
      <c r="A248">
        <v>711</v>
      </c>
      <c r="B248">
        <v>110</v>
      </c>
      <c r="C248">
        <v>240</v>
      </c>
      <c r="D248">
        <v>882</v>
      </c>
      <c r="E248">
        <v>429</v>
      </c>
      <c r="F248">
        <v>61</v>
      </c>
      <c r="G248" t="s">
        <v>5</v>
      </c>
      <c r="H248" s="1">
        <f t="shared" si="52"/>
        <v>36833.812500000597</v>
      </c>
      <c r="I248">
        <f t="shared" si="55"/>
        <v>8.6059999999999999</v>
      </c>
      <c r="J248">
        <f t="shared" si="56"/>
        <v>18.303999999999998</v>
      </c>
      <c r="K248">
        <f t="shared" si="57"/>
        <v>87.994399999999999</v>
      </c>
      <c r="L248">
        <f t="shared" si="58"/>
        <v>-7.4614091800000022</v>
      </c>
      <c r="M248">
        <f t="shared" si="59"/>
        <v>22.788999999999998</v>
      </c>
      <c r="O248">
        <v>308</v>
      </c>
      <c r="P248">
        <v>1930</v>
      </c>
      <c r="Q248">
        <v>0.78</v>
      </c>
      <c r="R248">
        <f t="shared" si="53"/>
        <v>-0.76927293471610048</v>
      </c>
    </row>
    <row r="249" spans="1:18" x14ac:dyDescent="0.25">
      <c r="A249">
        <v>711</v>
      </c>
      <c r="B249">
        <v>118</v>
      </c>
      <c r="C249">
        <v>308</v>
      </c>
      <c r="D249">
        <v>653</v>
      </c>
      <c r="E249">
        <v>433</v>
      </c>
      <c r="F249">
        <v>781</v>
      </c>
      <c r="G249" t="s">
        <v>5</v>
      </c>
      <c r="H249" s="1">
        <f>H248+1/48</f>
        <v>36833.833333333932</v>
      </c>
      <c r="I249">
        <f t="shared" si="55"/>
        <v>9.2027999999999999</v>
      </c>
      <c r="J249">
        <f t="shared" si="56"/>
        <v>23.376799999999999</v>
      </c>
      <c r="K249">
        <f t="shared" si="57"/>
        <v>64.590599999999995</v>
      </c>
      <c r="L249">
        <f t="shared" si="58"/>
        <v>-7.1048602199999991</v>
      </c>
      <c r="M249">
        <f t="shared" si="59"/>
        <v>274.06899999999996</v>
      </c>
      <c r="O249">
        <v>308</v>
      </c>
      <c r="P249">
        <v>2000</v>
      </c>
      <c r="Q249">
        <v>0.78500000000000003</v>
      </c>
      <c r="R249">
        <f t="shared" si="53"/>
        <v>-0.77472348083613185</v>
      </c>
    </row>
    <row r="250" spans="1:18" x14ac:dyDescent="0.25">
      <c r="A250">
        <v>711</v>
      </c>
      <c r="B250">
        <v>145</v>
      </c>
      <c r="C250">
        <v>264</v>
      </c>
      <c r="D250">
        <v>678</v>
      </c>
      <c r="E250">
        <v>435</v>
      </c>
      <c r="F250">
        <v>832</v>
      </c>
      <c r="G250" t="s">
        <v>5</v>
      </c>
      <c r="H250" s="1">
        <f t="shared" si="52"/>
        <v>36833.854166667268</v>
      </c>
      <c r="I250">
        <f t="shared" si="55"/>
        <v>11.217000000000001</v>
      </c>
      <c r="J250">
        <f t="shared" si="56"/>
        <v>20.0944</v>
      </c>
      <c r="K250">
        <f t="shared" si="57"/>
        <v>67.145600000000002</v>
      </c>
      <c r="L250">
        <f t="shared" si="58"/>
        <v>-6.9264655000000053</v>
      </c>
      <c r="M250">
        <f t="shared" si="59"/>
        <v>291.86799999999999</v>
      </c>
      <c r="O250">
        <v>308</v>
      </c>
      <c r="P250">
        <v>2030</v>
      </c>
      <c r="Q250">
        <v>0.77700000000000002</v>
      </c>
      <c r="R250">
        <f t="shared" si="53"/>
        <v>-0.7670852622739156</v>
      </c>
    </row>
    <row r="251" spans="1:18" x14ac:dyDescent="0.25">
      <c r="A251">
        <v>711</v>
      </c>
      <c r="B251">
        <v>156</v>
      </c>
      <c r="C251">
        <v>260</v>
      </c>
      <c r="D251">
        <v>600</v>
      </c>
      <c r="E251">
        <v>436</v>
      </c>
      <c r="F251">
        <v>809</v>
      </c>
      <c r="G251" t="s">
        <v>5</v>
      </c>
      <c r="H251" s="1">
        <f t="shared" si="52"/>
        <v>36833.875000000604</v>
      </c>
      <c r="I251">
        <f t="shared" si="55"/>
        <v>12.037599999999999</v>
      </c>
      <c r="J251">
        <f t="shared" si="56"/>
        <v>19.795999999999999</v>
      </c>
      <c r="K251">
        <f t="shared" si="57"/>
        <v>59.173999999999999</v>
      </c>
      <c r="L251">
        <f t="shared" si="58"/>
        <v>-6.8372380800000041</v>
      </c>
      <c r="M251">
        <f t="shared" si="59"/>
        <v>283.84100000000001</v>
      </c>
      <c r="O251">
        <v>308</v>
      </c>
      <c r="P251">
        <v>2100</v>
      </c>
      <c r="Q251">
        <v>0.78700000000000003</v>
      </c>
      <c r="R251">
        <f t="shared" si="53"/>
        <v>-0.77708785104122702</v>
      </c>
    </row>
    <row r="252" spans="1:18" x14ac:dyDescent="0.25">
      <c r="A252">
        <v>711</v>
      </c>
      <c r="B252">
        <v>168</v>
      </c>
      <c r="C252">
        <v>288</v>
      </c>
      <c r="D252">
        <v>626</v>
      </c>
      <c r="E252">
        <v>436</v>
      </c>
      <c r="F252">
        <v>832</v>
      </c>
      <c r="G252" t="s">
        <v>5</v>
      </c>
      <c r="H252" s="1">
        <f t="shared" si="52"/>
        <v>36833.89583333394</v>
      </c>
      <c r="I252">
        <f t="shared" si="55"/>
        <v>12.9328</v>
      </c>
      <c r="J252">
        <f t="shared" si="56"/>
        <v>21.884799999999998</v>
      </c>
      <c r="K252">
        <f t="shared" si="57"/>
        <v>61.831199999999995</v>
      </c>
      <c r="L252">
        <f t="shared" si="58"/>
        <v>-6.8372380800000041</v>
      </c>
      <c r="M252">
        <f t="shared" si="59"/>
        <v>291.86799999999999</v>
      </c>
      <c r="O252">
        <v>308</v>
      </c>
      <c r="P252">
        <v>2130</v>
      </c>
      <c r="Q252">
        <v>0.77700000000000002</v>
      </c>
      <c r="R252">
        <f t="shared" si="53"/>
        <v>-0.7672137995667514</v>
      </c>
    </row>
    <row r="253" spans="1:18" x14ac:dyDescent="0.25">
      <c r="A253">
        <v>711</v>
      </c>
      <c r="B253">
        <v>160</v>
      </c>
      <c r="C253">
        <v>324</v>
      </c>
      <c r="D253">
        <v>699</v>
      </c>
      <c r="E253">
        <v>436</v>
      </c>
      <c r="F253">
        <v>825</v>
      </c>
      <c r="G253" t="s">
        <v>5</v>
      </c>
      <c r="H253" s="1">
        <f t="shared" si="52"/>
        <v>36833.916666667275</v>
      </c>
      <c r="I253">
        <f>0.4+0.0746*B253</f>
        <v>12.336</v>
      </c>
      <c r="J253">
        <f>0.4+0.0746*C253</f>
        <v>24.570399999999999</v>
      </c>
      <c r="K253">
        <f>-2.146+0.1022*D253</f>
        <v>69.291799999999995</v>
      </c>
      <c r="L253">
        <f>-43.84+0.0805*E253+0.00001002*E253^2</f>
        <v>-6.8372380800000041</v>
      </c>
      <c r="M253">
        <f>1.5+0.349*F253</f>
        <v>289.42499999999995</v>
      </c>
      <c r="O253">
        <v>308</v>
      </c>
      <c r="P253">
        <v>2200</v>
      </c>
      <c r="Q253">
        <v>0.76200000000000001</v>
      </c>
      <c r="R253">
        <f t="shared" si="53"/>
        <v>-0.75240272235503802</v>
      </c>
    </row>
    <row r="254" spans="1:18" x14ac:dyDescent="0.25">
      <c r="A254">
        <v>711</v>
      </c>
      <c r="B254">
        <v>131</v>
      </c>
      <c r="C254">
        <v>280</v>
      </c>
      <c r="D254">
        <v>4</v>
      </c>
      <c r="E254">
        <v>7</v>
      </c>
      <c r="F254">
        <v>3</v>
      </c>
      <c r="H254" s="1">
        <f t="shared" si="52"/>
        <v>36833.937500000611</v>
      </c>
      <c r="O254">
        <v>308</v>
      </c>
      <c r="P254">
        <v>2230</v>
      </c>
      <c r="Q254">
        <v>0.76500000000000001</v>
      </c>
    </row>
    <row r="255" spans="1:18" x14ac:dyDescent="0.25">
      <c r="A255">
        <v>1</v>
      </c>
      <c r="B255">
        <v>9</v>
      </c>
      <c r="C255">
        <v>6</v>
      </c>
      <c r="D255">
        <v>6</v>
      </c>
      <c r="E255">
        <v>438</v>
      </c>
      <c r="F255">
        <v>7</v>
      </c>
      <c r="H255" s="1">
        <f t="shared" ref="H255:H317" si="60">H254+1/48</f>
        <v>36833.958333333947</v>
      </c>
      <c r="O255">
        <v>308</v>
      </c>
      <c r="P255">
        <v>2300</v>
      </c>
      <c r="Q255">
        <v>0.76500000000000001</v>
      </c>
    </row>
    <row r="256" spans="1:18" x14ac:dyDescent="0.25">
      <c r="A256">
        <v>1</v>
      </c>
      <c r="B256">
        <v>145</v>
      </c>
      <c r="C256">
        <v>248</v>
      </c>
      <c r="D256">
        <v>679</v>
      </c>
      <c r="E256">
        <v>437</v>
      </c>
      <c r="F256">
        <v>793</v>
      </c>
      <c r="G256" t="s">
        <v>5</v>
      </c>
      <c r="H256" s="1">
        <f t="shared" si="60"/>
        <v>36833.979166667283</v>
      </c>
      <c r="I256">
        <f t="shared" ref="I256:I273" si="61">0.4+0.0746*B256</f>
        <v>11.217000000000001</v>
      </c>
      <c r="J256">
        <f t="shared" ref="J256:J273" si="62">0.4+0.0746*C256</f>
        <v>18.900799999999997</v>
      </c>
      <c r="K256">
        <f t="shared" ref="K256:K273" si="63">-2.146+0.1022*D256</f>
        <v>67.247799999999998</v>
      </c>
      <c r="L256">
        <f t="shared" ref="L256:L273" si="64">-43.84+0.0805*E256+0.00001002*E256^2</f>
        <v>-6.7479906200000039</v>
      </c>
      <c r="M256">
        <f t="shared" ref="M256:M273" si="65">1.5+0.349*F256</f>
        <v>278.25700000000001</v>
      </c>
      <c r="O256">
        <v>308</v>
      </c>
      <c r="P256">
        <v>2330</v>
      </c>
      <c r="Q256">
        <v>0.76</v>
      </c>
      <c r="R256">
        <f t="shared" si="53"/>
        <v>-0.75055364425264515</v>
      </c>
    </row>
    <row r="257" spans="1:18" x14ac:dyDescent="0.25">
      <c r="A257">
        <v>1</v>
      </c>
      <c r="B257">
        <v>168</v>
      </c>
      <c r="C257">
        <v>272</v>
      </c>
      <c r="D257">
        <v>704</v>
      </c>
      <c r="E257">
        <v>435</v>
      </c>
      <c r="F257">
        <v>839</v>
      </c>
      <c r="G257" t="s">
        <v>5</v>
      </c>
      <c r="H257" s="1">
        <f t="shared" si="60"/>
        <v>36834.000000000618</v>
      </c>
      <c r="I257">
        <f t="shared" si="61"/>
        <v>12.9328</v>
      </c>
      <c r="J257">
        <f t="shared" si="62"/>
        <v>20.691199999999998</v>
      </c>
      <c r="K257">
        <f t="shared" si="63"/>
        <v>69.802800000000005</v>
      </c>
      <c r="L257">
        <f t="shared" si="64"/>
        <v>-6.9264655000000053</v>
      </c>
      <c r="M257">
        <f t="shared" si="65"/>
        <v>294.31099999999998</v>
      </c>
      <c r="O257">
        <v>308</v>
      </c>
      <c r="P257">
        <v>2400</v>
      </c>
      <c r="Q257">
        <v>0.75</v>
      </c>
      <c r="R257">
        <f t="shared" si="53"/>
        <v>-0.74042978983968688</v>
      </c>
    </row>
    <row r="258" spans="1:18" x14ac:dyDescent="0.25">
      <c r="A258">
        <v>1</v>
      </c>
      <c r="B258">
        <v>166</v>
      </c>
      <c r="C258">
        <v>288</v>
      </c>
      <c r="D258">
        <v>717</v>
      </c>
      <c r="E258">
        <v>434</v>
      </c>
      <c r="F258">
        <v>844</v>
      </c>
      <c r="G258" t="s">
        <v>5</v>
      </c>
      <c r="H258" s="1">
        <f t="shared" si="60"/>
        <v>36834.020833333954</v>
      </c>
      <c r="I258">
        <f t="shared" si="61"/>
        <v>12.7836</v>
      </c>
      <c r="J258">
        <f t="shared" si="62"/>
        <v>21.884799999999998</v>
      </c>
      <c r="K258">
        <f t="shared" si="63"/>
        <v>71.131399999999999</v>
      </c>
      <c r="L258">
        <f t="shared" si="64"/>
        <v>-7.0156728800000057</v>
      </c>
      <c r="M258">
        <f t="shared" si="65"/>
        <v>296.05599999999998</v>
      </c>
      <c r="O258">
        <v>309</v>
      </c>
      <c r="P258">
        <v>30</v>
      </c>
      <c r="Q258">
        <v>0.747</v>
      </c>
      <c r="R258">
        <f t="shared" si="53"/>
        <v>-0.73734450326814016</v>
      </c>
    </row>
    <row r="259" spans="1:18" x14ac:dyDescent="0.25">
      <c r="A259">
        <v>1</v>
      </c>
      <c r="B259">
        <v>192</v>
      </c>
      <c r="C259">
        <v>316</v>
      </c>
      <c r="D259">
        <v>727</v>
      </c>
      <c r="E259">
        <v>434</v>
      </c>
      <c r="F259">
        <v>836</v>
      </c>
      <c r="G259" t="s">
        <v>5</v>
      </c>
      <c r="H259" s="1">
        <f t="shared" si="60"/>
        <v>36834.04166666729</v>
      </c>
      <c r="I259">
        <f t="shared" si="61"/>
        <v>14.7232</v>
      </c>
      <c r="J259">
        <f t="shared" si="62"/>
        <v>23.973599999999998</v>
      </c>
      <c r="K259">
        <f t="shared" si="63"/>
        <v>72.153400000000005</v>
      </c>
      <c r="L259">
        <f t="shared" si="64"/>
        <v>-7.0156728800000057</v>
      </c>
      <c r="M259">
        <f t="shared" si="65"/>
        <v>293.26399999999995</v>
      </c>
      <c r="O259">
        <v>309</v>
      </c>
      <c r="P259">
        <v>100</v>
      </c>
      <c r="Q259">
        <v>0.76700000000000002</v>
      </c>
      <c r="R259">
        <f t="shared" si="53"/>
        <v>-0.75708598929941562</v>
      </c>
    </row>
    <row r="260" spans="1:18" x14ac:dyDescent="0.25">
      <c r="A260">
        <v>1</v>
      </c>
      <c r="B260">
        <v>212</v>
      </c>
      <c r="C260">
        <v>312</v>
      </c>
      <c r="D260">
        <v>717</v>
      </c>
      <c r="E260">
        <v>435</v>
      </c>
      <c r="F260">
        <v>840</v>
      </c>
      <c r="G260" t="s">
        <v>5</v>
      </c>
      <c r="H260" s="1">
        <f t="shared" si="60"/>
        <v>36834.062500000626</v>
      </c>
      <c r="I260">
        <f t="shared" si="61"/>
        <v>16.215199999999999</v>
      </c>
      <c r="J260">
        <f t="shared" si="62"/>
        <v>23.675199999999997</v>
      </c>
      <c r="K260">
        <f t="shared" si="63"/>
        <v>71.131399999999999</v>
      </c>
      <c r="L260">
        <f t="shared" si="64"/>
        <v>-6.9264655000000053</v>
      </c>
      <c r="M260">
        <f t="shared" si="65"/>
        <v>294.65999999999997</v>
      </c>
      <c r="O260">
        <v>309</v>
      </c>
      <c r="P260">
        <v>130</v>
      </c>
      <c r="Q260">
        <v>0.73699999999999999</v>
      </c>
      <c r="R260">
        <f t="shared" si="53"/>
        <v>-0.72759567348246557</v>
      </c>
    </row>
    <row r="261" spans="1:18" x14ac:dyDescent="0.25">
      <c r="A261">
        <v>1</v>
      </c>
      <c r="B261">
        <v>203</v>
      </c>
      <c r="C261">
        <v>292</v>
      </c>
      <c r="D261">
        <v>737</v>
      </c>
      <c r="E261">
        <v>434</v>
      </c>
      <c r="F261">
        <v>828</v>
      </c>
      <c r="G261" t="s">
        <v>5</v>
      </c>
      <c r="H261" s="1">
        <f t="shared" si="60"/>
        <v>36834.083333333961</v>
      </c>
      <c r="I261">
        <f t="shared" si="61"/>
        <v>15.543800000000001</v>
      </c>
      <c r="J261">
        <f t="shared" si="62"/>
        <v>22.183199999999999</v>
      </c>
      <c r="K261">
        <f t="shared" si="63"/>
        <v>73.175399999999996</v>
      </c>
      <c r="L261">
        <f t="shared" si="64"/>
        <v>-7.0156728800000057</v>
      </c>
      <c r="M261">
        <f t="shared" si="65"/>
        <v>290.47199999999998</v>
      </c>
      <c r="O261">
        <v>309</v>
      </c>
      <c r="P261">
        <v>200</v>
      </c>
      <c r="Q261">
        <v>0.71199999999999997</v>
      </c>
      <c r="R261">
        <f t="shared" si="53"/>
        <v>-0.702796902713408</v>
      </c>
    </row>
    <row r="262" spans="1:18" x14ac:dyDescent="0.25">
      <c r="A262">
        <v>1</v>
      </c>
      <c r="B262">
        <v>160</v>
      </c>
      <c r="C262">
        <v>284</v>
      </c>
      <c r="D262">
        <v>756</v>
      </c>
      <c r="E262">
        <v>431</v>
      </c>
      <c r="F262">
        <v>848</v>
      </c>
      <c r="G262" t="s">
        <v>5</v>
      </c>
      <c r="H262" s="1">
        <f t="shared" si="60"/>
        <v>36834.104166667297</v>
      </c>
      <c r="I262">
        <f t="shared" si="61"/>
        <v>12.336</v>
      </c>
      <c r="J262">
        <f t="shared" si="62"/>
        <v>21.586399999999998</v>
      </c>
      <c r="K262">
        <f t="shared" si="63"/>
        <v>75.117199999999997</v>
      </c>
      <c r="L262">
        <f t="shared" si="64"/>
        <v>-7.2831747800000004</v>
      </c>
      <c r="M262">
        <f t="shared" si="65"/>
        <v>297.452</v>
      </c>
      <c r="O262">
        <v>309</v>
      </c>
      <c r="P262">
        <v>230</v>
      </c>
      <c r="Q262">
        <v>0.7</v>
      </c>
      <c r="R262">
        <f t="shared" si="53"/>
        <v>-0.69060467250378221</v>
      </c>
    </row>
    <row r="263" spans="1:18" x14ac:dyDescent="0.25">
      <c r="A263">
        <v>1</v>
      </c>
      <c r="B263">
        <v>161</v>
      </c>
      <c r="C263">
        <v>280</v>
      </c>
      <c r="D263">
        <v>789</v>
      </c>
      <c r="E263">
        <v>430</v>
      </c>
      <c r="F263">
        <v>825</v>
      </c>
      <c r="G263" t="s">
        <v>5</v>
      </c>
      <c r="H263" s="1">
        <f t="shared" si="60"/>
        <v>36834.125000000633</v>
      </c>
      <c r="I263">
        <f t="shared" si="61"/>
        <v>12.410600000000001</v>
      </c>
      <c r="J263">
        <f t="shared" si="62"/>
        <v>21.287999999999997</v>
      </c>
      <c r="K263">
        <f t="shared" si="63"/>
        <v>78.489800000000002</v>
      </c>
      <c r="L263">
        <f t="shared" si="64"/>
        <v>-7.3723020000000012</v>
      </c>
      <c r="M263">
        <f t="shared" si="65"/>
        <v>289.42499999999995</v>
      </c>
      <c r="O263">
        <v>309</v>
      </c>
      <c r="P263">
        <v>300</v>
      </c>
      <c r="Q263">
        <v>0.70699999999999996</v>
      </c>
      <c r="R263">
        <f t="shared" ref="R263:R326" si="66">-SQRT((L263+273.15)/273.15)*Q263</f>
        <v>-0.69739379527212864</v>
      </c>
    </row>
    <row r="264" spans="1:18" x14ac:dyDescent="0.25">
      <c r="A264">
        <v>1</v>
      </c>
      <c r="B264">
        <v>117</v>
      </c>
      <c r="C264">
        <v>296</v>
      </c>
      <c r="D264">
        <v>813</v>
      </c>
      <c r="E264">
        <v>431</v>
      </c>
      <c r="F264">
        <v>793</v>
      </c>
      <c r="G264" t="s">
        <v>5</v>
      </c>
      <c r="H264" s="1">
        <f t="shared" si="60"/>
        <v>36834.145833333969</v>
      </c>
      <c r="I264">
        <f t="shared" si="61"/>
        <v>9.1281999999999996</v>
      </c>
      <c r="J264">
        <f t="shared" si="62"/>
        <v>22.4816</v>
      </c>
      <c r="K264">
        <f t="shared" si="63"/>
        <v>80.942599999999999</v>
      </c>
      <c r="L264">
        <f t="shared" si="64"/>
        <v>-7.2831747800000004</v>
      </c>
      <c r="M264">
        <f t="shared" si="65"/>
        <v>278.25700000000001</v>
      </c>
      <c r="O264">
        <v>309</v>
      </c>
      <c r="P264">
        <v>330</v>
      </c>
      <c r="Q264">
        <v>0.70699999999999996</v>
      </c>
      <c r="R264">
        <f t="shared" si="66"/>
        <v>-0.69751071922882013</v>
      </c>
    </row>
    <row r="265" spans="1:18" x14ac:dyDescent="0.25">
      <c r="A265">
        <v>1</v>
      </c>
      <c r="B265">
        <v>69</v>
      </c>
      <c r="C265">
        <v>116</v>
      </c>
      <c r="D265">
        <v>591</v>
      </c>
      <c r="E265">
        <v>435</v>
      </c>
      <c r="F265">
        <v>799</v>
      </c>
      <c r="G265" t="s">
        <v>5</v>
      </c>
      <c r="H265" s="1">
        <f t="shared" si="60"/>
        <v>36834.166666667305</v>
      </c>
      <c r="I265">
        <f t="shared" si="61"/>
        <v>5.5474000000000006</v>
      </c>
      <c r="J265">
        <f t="shared" si="62"/>
        <v>9.0536000000000012</v>
      </c>
      <c r="K265">
        <f t="shared" si="63"/>
        <v>58.254199999999997</v>
      </c>
      <c r="L265">
        <f t="shared" si="64"/>
        <v>-6.9264655000000053</v>
      </c>
      <c r="M265">
        <f t="shared" si="65"/>
        <v>280.351</v>
      </c>
      <c r="O265">
        <v>309</v>
      </c>
      <c r="P265">
        <v>400</v>
      </c>
      <c r="Q265">
        <v>0.69</v>
      </c>
      <c r="R265">
        <f t="shared" si="66"/>
        <v>-0.68119540665251188</v>
      </c>
    </row>
    <row r="266" spans="1:18" x14ac:dyDescent="0.25">
      <c r="A266">
        <v>1</v>
      </c>
      <c r="B266">
        <v>59</v>
      </c>
      <c r="C266">
        <v>116</v>
      </c>
      <c r="D266">
        <v>853</v>
      </c>
      <c r="E266">
        <v>426</v>
      </c>
      <c r="F266">
        <v>781</v>
      </c>
      <c r="G266" t="s">
        <v>5</v>
      </c>
      <c r="H266" s="1">
        <f t="shared" si="60"/>
        <v>36834.18750000064</v>
      </c>
      <c r="I266">
        <f t="shared" si="61"/>
        <v>4.8014000000000001</v>
      </c>
      <c r="J266">
        <f t="shared" si="62"/>
        <v>9.0536000000000012</v>
      </c>
      <c r="K266">
        <f t="shared" si="63"/>
        <v>85.030599999999993</v>
      </c>
      <c r="L266">
        <f t="shared" si="64"/>
        <v>-7.7286104800000039</v>
      </c>
      <c r="M266">
        <f t="shared" si="65"/>
        <v>274.06899999999996</v>
      </c>
      <c r="O266">
        <v>309</v>
      </c>
      <c r="P266">
        <v>430</v>
      </c>
      <c r="Q266">
        <v>0.69</v>
      </c>
      <c r="R266">
        <f t="shared" si="66"/>
        <v>-0.68016839434498277</v>
      </c>
    </row>
    <row r="267" spans="1:18" x14ac:dyDescent="0.25">
      <c r="A267">
        <v>1</v>
      </c>
      <c r="B267">
        <v>64</v>
      </c>
      <c r="C267">
        <v>104</v>
      </c>
      <c r="D267">
        <v>770</v>
      </c>
      <c r="E267">
        <v>422</v>
      </c>
      <c r="F267">
        <v>773</v>
      </c>
      <c r="G267" t="s">
        <v>5</v>
      </c>
      <c r="H267" s="1">
        <f t="shared" si="60"/>
        <v>36834.208333333976</v>
      </c>
      <c r="I267">
        <f t="shared" si="61"/>
        <v>5.1744000000000003</v>
      </c>
      <c r="J267">
        <f t="shared" si="62"/>
        <v>8.1584000000000003</v>
      </c>
      <c r="K267">
        <f t="shared" si="63"/>
        <v>76.548000000000002</v>
      </c>
      <c r="L267">
        <f t="shared" si="64"/>
        <v>-8.0845983199999996</v>
      </c>
      <c r="M267">
        <f t="shared" si="65"/>
        <v>271.27699999999999</v>
      </c>
      <c r="O267">
        <v>309</v>
      </c>
      <c r="P267">
        <v>500</v>
      </c>
      <c r="Q267">
        <v>0.69499999999999995</v>
      </c>
      <c r="R267">
        <f t="shared" si="66"/>
        <v>-0.68463756449328128</v>
      </c>
    </row>
    <row r="268" spans="1:18" x14ac:dyDescent="0.25">
      <c r="A268">
        <v>1</v>
      </c>
      <c r="B268">
        <v>22</v>
      </c>
      <c r="C268">
        <v>60</v>
      </c>
      <c r="D268">
        <v>254</v>
      </c>
      <c r="E268">
        <v>429</v>
      </c>
      <c r="F268">
        <v>791</v>
      </c>
      <c r="G268" t="s">
        <v>5</v>
      </c>
      <c r="H268" s="1">
        <f t="shared" si="60"/>
        <v>36834.229166667312</v>
      </c>
      <c r="I268">
        <f t="shared" si="61"/>
        <v>2.0411999999999999</v>
      </c>
      <c r="J268">
        <f t="shared" si="62"/>
        <v>4.8760000000000003</v>
      </c>
      <c r="K268">
        <f t="shared" si="63"/>
        <v>23.812799999999999</v>
      </c>
      <c r="L268">
        <f t="shared" si="64"/>
        <v>-7.4614091800000022</v>
      </c>
      <c r="M268">
        <f t="shared" si="65"/>
        <v>277.55899999999997</v>
      </c>
      <c r="O268">
        <v>309</v>
      </c>
      <c r="P268">
        <v>530</v>
      </c>
      <c r="Q268">
        <v>0.69699999999999995</v>
      </c>
      <c r="R268">
        <f t="shared" si="66"/>
        <v>-0.68741440448348967</v>
      </c>
    </row>
    <row r="269" spans="1:18" x14ac:dyDescent="0.25">
      <c r="A269">
        <v>1</v>
      </c>
      <c r="B269">
        <v>37</v>
      </c>
      <c r="C269">
        <v>72</v>
      </c>
      <c r="D269">
        <v>896</v>
      </c>
      <c r="E269">
        <v>425</v>
      </c>
      <c r="F269">
        <v>793</v>
      </c>
      <c r="G269" t="s">
        <v>5</v>
      </c>
      <c r="H269" s="1">
        <f t="shared" si="60"/>
        <v>36834.250000000648</v>
      </c>
      <c r="I269">
        <f t="shared" si="61"/>
        <v>3.1602000000000001</v>
      </c>
      <c r="J269">
        <f t="shared" si="62"/>
        <v>5.7712000000000003</v>
      </c>
      <c r="K269">
        <f t="shared" si="63"/>
        <v>89.425200000000004</v>
      </c>
      <c r="L269">
        <f t="shared" si="64"/>
        <v>-7.8176375000000045</v>
      </c>
      <c r="M269">
        <f t="shared" si="65"/>
        <v>278.25700000000001</v>
      </c>
      <c r="O269">
        <v>309</v>
      </c>
      <c r="P269">
        <v>600</v>
      </c>
      <c r="Q269">
        <v>0.69699999999999995</v>
      </c>
      <c r="R269">
        <f t="shared" si="66"/>
        <v>-0.68695341627589479</v>
      </c>
    </row>
    <row r="270" spans="1:18" x14ac:dyDescent="0.25">
      <c r="A270">
        <v>1</v>
      </c>
      <c r="B270">
        <v>38</v>
      </c>
      <c r="C270">
        <v>96</v>
      </c>
      <c r="D270">
        <v>522</v>
      </c>
      <c r="E270">
        <v>420</v>
      </c>
      <c r="F270">
        <v>797</v>
      </c>
      <c r="G270" t="s">
        <v>5</v>
      </c>
      <c r="H270" s="1">
        <f t="shared" si="60"/>
        <v>36834.270833333983</v>
      </c>
      <c r="I270">
        <f t="shared" si="61"/>
        <v>3.2347999999999999</v>
      </c>
      <c r="J270">
        <f t="shared" si="62"/>
        <v>7.5616000000000003</v>
      </c>
      <c r="K270">
        <f t="shared" si="63"/>
        <v>51.202399999999997</v>
      </c>
      <c r="L270">
        <f t="shared" si="64"/>
        <v>-8.2624720000000007</v>
      </c>
      <c r="M270">
        <f t="shared" si="65"/>
        <v>279.65299999999996</v>
      </c>
      <c r="O270">
        <v>309</v>
      </c>
      <c r="P270">
        <v>630</v>
      </c>
      <c r="Q270">
        <v>0.69699999999999995</v>
      </c>
      <c r="R270">
        <f t="shared" si="66"/>
        <v>-0.6863773298123218</v>
      </c>
    </row>
    <row r="271" spans="1:18" x14ac:dyDescent="0.25">
      <c r="A271">
        <v>1</v>
      </c>
      <c r="B271">
        <v>63</v>
      </c>
      <c r="C271">
        <v>104</v>
      </c>
      <c r="D271">
        <v>547</v>
      </c>
      <c r="E271">
        <v>431</v>
      </c>
      <c r="F271">
        <v>765</v>
      </c>
      <c r="G271" t="s">
        <v>5</v>
      </c>
      <c r="H271" s="1">
        <f t="shared" si="60"/>
        <v>36834.291666667319</v>
      </c>
      <c r="I271">
        <f t="shared" si="61"/>
        <v>5.0998000000000001</v>
      </c>
      <c r="J271">
        <f t="shared" si="62"/>
        <v>8.1584000000000003</v>
      </c>
      <c r="K271">
        <f t="shared" si="63"/>
        <v>53.757399999999997</v>
      </c>
      <c r="L271">
        <f t="shared" si="64"/>
        <v>-7.2831747800000004</v>
      </c>
      <c r="M271">
        <f t="shared" si="65"/>
        <v>268.48499999999996</v>
      </c>
      <c r="O271">
        <v>309</v>
      </c>
      <c r="P271">
        <v>700</v>
      </c>
      <c r="Q271">
        <v>0.7</v>
      </c>
      <c r="R271">
        <f t="shared" si="66"/>
        <v>-0.69060467250378221</v>
      </c>
    </row>
    <row r="272" spans="1:18" x14ac:dyDescent="0.25">
      <c r="A272">
        <v>1</v>
      </c>
      <c r="B272">
        <v>58</v>
      </c>
      <c r="C272">
        <v>112</v>
      </c>
      <c r="D272">
        <v>833</v>
      </c>
      <c r="E272">
        <v>429</v>
      </c>
      <c r="F272">
        <v>757</v>
      </c>
      <c r="G272" t="s">
        <v>5</v>
      </c>
      <c r="H272" s="1">
        <f t="shared" si="60"/>
        <v>36834.312500000655</v>
      </c>
      <c r="I272">
        <f t="shared" si="61"/>
        <v>4.7268000000000008</v>
      </c>
      <c r="J272">
        <f t="shared" si="62"/>
        <v>8.7552000000000003</v>
      </c>
      <c r="K272">
        <f t="shared" si="63"/>
        <v>82.986599999999996</v>
      </c>
      <c r="L272">
        <f t="shared" si="64"/>
        <v>-7.4614091800000022</v>
      </c>
      <c r="M272">
        <f t="shared" si="65"/>
        <v>265.69299999999998</v>
      </c>
      <c r="O272">
        <v>309</v>
      </c>
      <c r="P272">
        <v>730</v>
      </c>
      <c r="Q272">
        <v>0.7</v>
      </c>
      <c r="R272">
        <f t="shared" si="66"/>
        <v>-0.69037314654009008</v>
      </c>
    </row>
    <row r="273" spans="1:18" x14ac:dyDescent="0.25">
      <c r="A273">
        <v>1</v>
      </c>
      <c r="B273">
        <v>45</v>
      </c>
      <c r="C273">
        <v>104</v>
      </c>
      <c r="D273">
        <v>981</v>
      </c>
      <c r="E273">
        <v>436</v>
      </c>
      <c r="F273">
        <v>765</v>
      </c>
      <c r="G273" t="s">
        <v>5</v>
      </c>
      <c r="H273" s="1">
        <f t="shared" si="60"/>
        <v>36834.333333333991</v>
      </c>
      <c r="I273">
        <f t="shared" si="61"/>
        <v>3.7570000000000001</v>
      </c>
      <c r="J273">
        <f t="shared" si="62"/>
        <v>8.1584000000000003</v>
      </c>
      <c r="K273">
        <f t="shared" si="63"/>
        <v>98.112200000000001</v>
      </c>
      <c r="L273">
        <f t="shared" si="64"/>
        <v>-6.8372380800000041</v>
      </c>
      <c r="M273">
        <f t="shared" si="65"/>
        <v>268.48499999999996</v>
      </c>
      <c r="O273">
        <v>309</v>
      </c>
      <c r="P273">
        <v>800</v>
      </c>
      <c r="Q273">
        <v>0.7</v>
      </c>
      <c r="R273">
        <f t="shared" si="66"/>
        <v>-0.69118360321328953</v>
      </c>
    </row>
    <row r="274" spans="1:18" x14ac:dyDescent="0.25">
      <c r="A274">
        <v>1</v>
      </c>
      <c r="B274">
        <v>76</v>
      </c>
      <c r="C274">
        <v>192</v>
      </c>
      <c r="D274">
        <v>137</v>
      </c>
      <c r="E274">
        <v>440</v>
      </c>
      <c r="F274">
        <v>747</v>
      </c>
      <c r="G274" t="s">
        <v>5</v>
      </c>
      <c r="H274" s="1">
        <f t="shared" si="60"/>
        <v>36834.354166667326</v>
      </c>
      <c r="I274">
        <f t="shared" ref="I274:I289" si="67">0.4+0.0746*B274</f>
        <v>6.0696000000000003</v>
      </c>
      <c r="J274">
        <f t="shared" ref="J274:J289" si="68">0.4+0.0746*C274</f>
        <v>14.7232</v>
      </c>
      <c r="K274">
        <f t="shared" ref="K274:K289" si="69">-2.146+0.1022*D274</f>
        <v>11.855399999999999</v>
      </c>
      <c r="L274">
        <f t="shared" ref="L274:L289" si="70">-43.84+0.0805*E274+0.00001002*E274^2</f>
        <v>-6.4801280000000014</v>
      </c>
      <c r="M274">
        <f t="shared" ref="M274:M289" si="71">1.5+0.349*F274</f>
        <v>262.20299999999997</v>
      </c>
      <c r="O274">
        <v>309</v>
      </c>
      <c r="P274">
        <v>830</v>
      </c>
      <c r="Q274">
        <v>0.7</v>
      </c>
      <c r="R274">
        <f t="shared" si="66"/>
        <v>-0.69164686667040964</v>
      </c>
    </row>
    <row r="275" spans="1:18" x14ac:dyDescent="0.25">
      <c r="A275">
        <v>1</v>
      </c>
      <c r="B275">
        <v>33</v>
      </c>
      <c r="C275">
        <v>100</v>
      </c>
      <c r="D275">
        <v>629</v>
      </c>
      <c r="E275">
        <v>443</v>
      </c>
      <c r="F275">
        <v>661</v>
      </c>
      <c r="G275" t="s">
        <v>5</v>
      </c>
      <c r="H275" s="1">
        <f t="shared" si="60"/>
        <v>36834.375000000662</v>
      </c>
      <c r="I275">
        <f t="shared" si="67"/>
        <v>2.8618000000000001</v>
      </c>
      <c r="J275">
        <f t="shared" si="68"/>
        <v>7.86</v>
      </c>
      <c r="K275">
        <f t="shared" si="69"/>
        <v>62.137799999999999</v>
      </c>
      <c r="L275">
        <f t="shared" si="70"/>
        <v>-6.21208502</v>
      </c>
      <c r="M275">
        <f t="shared" si="71"/>
        <v>232.18899999999999</v>
      </c>
      <c r="O275">
        <v>309</v>
      </c>
      <c r="P275">
        <v>900</v>
      </c>
      <c r="Q275">
        <v>0.7</v>
      </c>
      <c r="R275">
        <f t="shared" si="66"/>
        <v>-0.69199438347618447</v>
      </c>
    </row>
    <row r="276" spans="1:18" x14ac:dyDescent="0.25">
      <c r="A276">
        <v>71</v>
      </c>
      <c r="B276">
        <v>32</v>
      </c>
      <c r="C276">
        <v>72</v>
      </c>
      <c r="D276">
        <v>488</v>
      </c>
      <c r="E276">
        <v>449</v>
      </c>
      <c r="F276">
        <v>637</v>
      </c>
      <c r="G276" t="s">
        <v>5</v>
      </c>
      <c r="H276" s="1">
        <f t="shared" si="60"/>
        <v>36834.395833333998</v>
      </c>
      <c r="I276">
        <f t="shared" si="67"/>
        <v>2.7871999999999999</v>
      </c>
      <c r="J276">
        <f t="shared" si="68"/>
        <v>5.7712000000000003</v>
      </c>
      <c r="K276">
        <f t="shared" si="69"/>
        <v>47.727599999999995</v>
      </c>
      <c r="L276">
        <f t="shared" si="70"/>
        <v>-5.6754579800000027</v>
      </c>
      <c r="M276">
        <f t="shared" si="71"/>
        <v>223.81299999999999</v>
      </c>
      <c r="O276">
        <v>309</v>
      </c>
      <c r="P276">
        <v>930</v>
      </c>
      <c r="Q276">
        <v>0.7</v>
      </c>
      <c r="R276">
        <f t="shared" si="66"/>
        <v>-0.69268959467692126</v>
      </c>
    </row>
    <row r="277" spans="1:18" x14ac:dyDescent="0.25">
      <c r="A277">
        <v>71</v>
      </c>
      <c r="B277">
        <v>38</v>
      </c>
      <c r="C277">
        <v>80</v>
      </c>
      <c r="D277">
        <v>411</v>
      </c>
      <c r="E277">
        <v>456</v>
      </c>
      <c r="F277">
        <v>593</v>
      </c>
      <c r="G277" t="s">
        <v>5</v>
      </c>
      <c r="H277" s="1">
        <f t="shared" si="60"/>
        <v>36834.416666667334</v>
      </c>
      <c r="I277">
        <f t="shared" si="67"/>
        <v>3.2347999999999999</v>
      </c>
      <c r="J277">
        <f t="shared" si="68"/>
        <v>6.3680000000000003</v>
      </c>
      <c r="K277">
        <f t="shared" si="69"/>
        <v>39.858199999999997</v>
      </c>
      <c r="L277">
        <f t="shared" si="70"/>
        <v>-5.0484812800000043</v>
      </c>
      <c r="M277">
        <f t="shared" si="71"/>
        <v>208.45699999999999</v>
      </c>
      <c r="O277">
        <v>309</v>
      </c>
      <c r="P277">
        <v>1000</v>
      </c>
      <c r="Q277">
        <v>0.7</v>
      </c>
      <c r="R277">
        <f t="shared" si="66"/>
        <v>-0.69350097288171275</v>
      </c>
    </row>
    <row r="278" spans="1:18" x14ac:dyDescent="0.25">
      <c r="A278">
        <v>71</v>
      </c>
      <c r="B278">
        <v>60</v>
      </c>
      <c r="C278">
        <v>104</v>
      </c>
      <c r="D278">
        <v>376</v>
      </c>
      <c r="E278">
        <v>462</v>
      </c>
      <c r="F278">
        <v>617</v>
      </c>
      <c r="G278" t="s">
        <v>5</v>
      </c>
      <c r="H278" s="1">
        <f t="shared" si="60"/>
        <v>36834.437500000669</v>
      </c>
      <c r="I278">
        <f t="shared" si="67"/>
        <v>4.8760000000000003</v>
      </c>
      <c r="J278">
        <f t="shared" si="68"/>
        <v>8.1584000000000003</v>
      </c>
      <c r="K278">
        <f t="shared" si="69"/>
        <v>36.281199999999998</v>
      </c>
      <c r="L278">
        <f t="shared" si="70"/>
        <v>-4.5102911200000007</v>
      </c>
      <c r="M278">
        <f t="shared" si="71"/>
        <v>216.833</v>
      </c>
      <c r="O278">
        <v>309</v>
      </c>
      <c r="P278">
        <v>1030</v>
      </c>
      <c r="Q278">
        <v>0.69699999999999995</v>
      </c>
      <c r="R278">
        <f t="shared" si="66"/>
        <v>-0.69122156624213849</v>
      </c>
    </row>
    <row r="279" spans="1:18" x14ac:dyDescent="0.25">
      <c r="A279">
        <v>71</v>
      </c>
      <c r="B279">
        <v>55</v>
      </c>
      <c r="C279">
        <v>100</v>
      </c>
      <c r="D279">
        <v>525</v>
      </c>
      <c r="E279">
        <v>466</v>
      </c>
      <c r="F279">
        <v>645</v>
      </c>
      <c r="G279" t="s">
        <v>5</v>
      </c>
      <c r="H279" s="1">
        <f t="shared" si="60"/>
        <v>36834.458333334005</v>
      </c>
      <c r="I279">
        <f t="shared" si="67"/>
        <v>4.5030000000000001</v>
      </c>
      <c r="J279">
        <f t="shared" si="68"/>
        <v>7.86</v>
      </c>
      <c r="K279">
        <f t="shared" si="69"/>
        <v>51.509</v>
      </c>
      <c r="L279">
        <f t="shared" si="70"/>
        <v>-4.1510968800000052</v>
      </c>
      <c r="M279">
        <f t="shared" si="71"/>
        <v>226.60499999999999</v>
      </c>
      <c r="O279">
        <v>309</v>
      </c>
      <c r="P279">
        <v>1100</v>
      </c>
      <c r="Q279">
        <v>0.7</v>
      </c>
      <c r="R279">
        <f t="shared" si="66"/>
        <v>-0.69466064004527872</v>
      </c>
    </row>
    <row r="280" spans="1:18" x14ac:dyDescent="0.25">
      <c r="A280">
        <v>71</v>
      </c>
      <c r="B280">
        <v>93</v>
      </c>
      <c r="C280">
        <v>288</v>
      </c>
      <c r="D280">
        <v>717</v>
      </c>
      <c r="E280">
        <v>504</v>
      </c>
      <c r="F280">
        <v>769</v>
      </c>
      <c r="G280" t="s">
        <v>5</v>
      </c>
      <c r="H280" s="1">
        <f t="shared" si="60"/>
        <v>36834.479166667341</v>
      </c>
      <c r="I280">
        <f t="shared" si="67"/>
        <v>7.3378000000000005</v>
      </c>
      <c r="J280">
        <f t="shared" si="68"/>
        <v>21.884799999999998</v>
      </c>
      <c r="K280">
        <f t="shared" si="69"/>
        <v>71.131399999999999</v>
      </c>
      <c r="L280">
        <f t="shared" si="70"/>
        <v>-0.72275968000000068</v>
      </c>
      <c r="M280">
        <f t="shared" si="71"/>
        <v>269.88099999999997</v>
      </c>
      <c r="O280">
        <v>309</v>
      </c>
      <c r="P280">
        <v>1130</v>
      </c>
      <c r="Q280">
        <v>0.7</v>
      </c>
      <c r="R280">
        <f t="shared" si="66"/>
        <v>-0.69907328044005812</v>
      </c>
    </row>
    <row r="281" spans="1:18" x14ac:dyDescent="0.25">
      <c r="A281">
        <v>71</v>
      </c>
      <c r="B281">
        <v>210</v>
      </c>
      <c r="C281">
        <v>316</v>
      </c>
      <c r="D281">
        <v>779</v>
      </c>
      <c r="E281">
        <v>488</v>
      </c>
      <c r="F281">
        <v>784</v>
      </c>
      <c r="G281" t="s">
        <v>5</v>
      </c>
      <c r="H281" s="1">
        <f t="shared" si="60"/>
        <v>36834.500000000677</v>
      </c>
      <c r="I281">
        <f t="shared" si="67"/>
        <v>16.065999999999999</v>
      </c>
      <c r="J281">
        <f t="shared" si="68"/>
        <v>23.973599999999998</v>
      </c>
      <c r="K281">
        <f t="shared" si="69"/>
        <v>77.467799999999997</v>
      </c>
      <c r="L281">
        <f t="shared" si="70"/>
        <v>-2.1697971200000041</v>
      </c>
      <c r="M281">
        <f t="shared" si="71"/>
        <v>275.11599999999999</v>
      </c>
      <c r="O281">
        <v>309</v>
      </c>
      <c r="P281">
        <v>1200</v>
      </c>
      <c r="Q281">
        <v>0.70699999999999996</v>
      </c>
      <c r="R281">
        <f t="shared" si="66"/>
        <v>-0.70418633499689398</v>
      </c>
    </row>
    <row r="282" spans="1:18" x14ac:dyDescent="0.25">
      <c r="A282">
        <v>71</v>
      </c>
      <c r="B282">
        <v>229</v>
      </c>
      <c r="C282">
        <v>316</v>
      </c>
      <c r="D282">
        <v>787</v>
      </c>
      <c r="E282">
        <v>491</v>
      </c>
      <c r="F282">
        <v>809</v>
      </c>
      <c r="G282" t="s">
        <v>5</v>
      </c>
      <c r="H282" s="1">
        <f t="shared" si="60"/>
        <v>36834.520833334012</v>
      </c>
      <c r="I282">
        <f t="shared" si="67"/>
        <v>17.4834</v>
      </c>
      <c r="J282">
        <f t="shared" si="68"/>
        <v>23.973599999999998</v>
      </c>
      <c r="K282">
        <f t="shared" si="69"/>
        <v>78.285399999999996</v>
      </c>
      <c r="L282">
        <f t="shared" si="70"/>
        <v>-1.8988683800000024</v>
      </c>
      <c r="M282">
        <f t="shared" si="71"/>
        <v>283.84100000000001</v>
      </c>
      <c r="O282">
        <v>309</v>
      </c>
      <c r="P282">
        <v>1230</v>
      </c>
      <c r="Q282">
        <v>0.68700000000000006</v>
      </c>
      <c r="R282">
        <f t="shared" si="66"/>
        <v>-0.68460791201164406</v>
      </c>
    </row>
    <row r="283" spans="1:18" x14ac:dyDescent="0.25">
      <c r="A283">
        <v>71</v>
      </c>
      <c r="B283">
        <v>232</v>
      </c>
      <c r="C283">
        <v>324</v>
      </c>
      <c r="D283">
        <v>816</v>
      </c>
      <c r="E283">
        <v>493</v>
      </c>
      <c r="F283">
        <v>821</v>
      </c>
      <c r="G283" t="s">
        <v>5</v>
      </c>
      <c r="H283" s="1">
        <f t="shared" si="60"/>
        <v>36834.541666667348</v>
      </c>
      <c r="I283">
        <f t="shared" si="67"/>
        <v>17.7072</v>
      </c>
      <c r="J283">
        <f t="shared" si="68"/>
        <v>24.570399999999999</v>
      </c>
      <c r="K283">
        <f t="shared" si="69"/>
        <v>81.249200000000002</v>
      </c>
      <c r="L283">
        <f t="shared" si="70"/>
        <v>-1.7181490200000011</v>
      </c>
      <c r="M283">
        <f t="shared" si="71"/>
        <v>288.029</v>
      </c>
      <c r="O283">
        <v>309</v>
      </c>
      <c r="P283">
        <v>1300</v>
      </c>
      <c r="Q283">
        <v>0.68700000000000006</v>
      </c>
      <c r="R283">
        <f t="shared" si="66"/>
        <v>-0.68483593189601799</v>
      </c>
    </row>
    <row r="284" spans="1:18" x14ac:dyDescent="0.25">
      <c r="A284">
        <v>71</v>
      </c>
      <c r="B284">
        <v>220</v>
      </c>
      <c r="C284">
        <v>316</v>
      </c>
      <c r="D284">
        <v>818</v>
      </c>
      <c r="E284">
        <v>488</v>
      </c>
      <c r="F284">
        <v>873</v>
      </c>
      <c r="G284" t="s">
        <v>5</v>
      </c>
      <c r="H284" s="1">
        <f t="shared" si="60"/>
        <v>36834.562500000684</v>
      </c>
      <c r="I284">
        <f t="shared" si="67"/>
        <v>16.811999999999998</v>
      </c>
      <c r="J284">
        <f t="shared" si="68"/>
        <v>23.973599999999998</v>
      </c>
      <c r="K284">
        <f t="shared" si="69"/>
        <v>81.453599999999994</v>
      </c>
      <c r="L284">
        <f t="shared" si="70"/>
        <v>-2.1697971200000041</v>
      </c>
      <c r="M284">
        <f t="shared" si="71"/>
        <v>306.17699999999996</v>
      </c>
      <c r="O284">
        <v>309</v>
      </c>
      <c r="P284">
        <v>1330</v>
      </c>
      <c r="Q284">
        <v>0.65</v>
      </c>
      <c r="R284">
        <f t="shared" si="66"/>
        <v>-0.64741317927578657</v>
      </c>
    </row>
    <row r="285" spans="1:18" x14ac:dyDescent="0.25">
      <c r="A285">
        <v>71</v>
      </c>
      <c r="B285">
        <v>222</v>
      </c>
      <c r="C285">
        <v>316</v>
      </c>
      <c r="D285">
        <v>854</v>
      </c>
      <c r="E285">
        <v>490</v>
      </c>
      <c r="F285">
        <v>880</v>
      </c>
      <c r="G285" t="s">
        <v>5</v>
      </c>
      <c r="H285" s="1">
        <f t="shared" si="60"/>
        <v>36834.58333333402</v>
      </c>
      <c r="I285">
        <f t="shared" si="67"/>
        <v>16.961199999999998</v>
      </c>
      <c r="J285">
        <f t="shared" si="68"/>
        <v>23.973599999999998</v>
      </c>
      <c r="K285">
        <f t="shared" si="69"/>
        <v>85.132800000000003</v>
      </c>
      <c r="L285">
        <f t="shared" si="70"/>
        <v>-1.9891980000000031</v>
      </c>
      <c r="M285">
        <f t="shared" si="71"/>
        <v>308.62</v>
      </c>
      <c r="O285">
        <v>309</v>
      </c>
      <c r="P285">
        <v>1400</v>
      </c>
      <c r="Q285">
        <v>0.68</v>
      </c>
      <c r="R285">
        <f t="shared" si="66"/>
        <v>-0.6775194466336163</v>
      </c>
    </row>
    <row r="286" spans="1:18" x14ac:dyDescent="0.25">
      <c r="A286">
        <v>71</v>
      </c>
      <c r="B286">
        <v>195</v>
      </c>
      <c r="C286">
        <v>300</v>
      </c>
      <c r="D286">
        <v>792</v>
      </c>
      <c r="E286">
        <v>496</v>
      </c>
      <c r="F286">
        <v>872</v>
      </c>
      <c r="G286" t="s">
        <v>5</v>
      </c>
      <c r="H286" s="1">
        <f t="shared" si="60"/>
        <v>36834.604166667355</v>
      </c>
      <c r="I286">
        <f t="shared" si="67"/>
        <v>14.947000000000001</v>
      </c>
      <c r="J286">
        <f t="shared" si="68"/>
        <v>22.779999999999998</v>
      </c>
      <c r="K286">
        <f t="shared" si="69"/>
        <v>78.796400000000006</v>
      </c>
      <c r="L286">
        <f t="shared" si="70"/>
        <v>-1.4469196799999988</v>
      </c>
      <c r="M286">
        <f t="shared" si="71"/>
        <v>305.82799999999997</v>
      </c>
      <c r="O286">
        <v>309</v>
      </c>
      <c r="P286">
        <v>1430</v>
      </c>
      <c r="Q286">
        <v>0.64700000000000002</v>
      </c>
      <c r="R286">
        <f t="shared" si="66"/>
        <v>-0.64528409285887767</v>
      </c>
    </row>
    <row r="287" spans="1:18" x14ac:dyDescent="0.25">
      <c r="A287">
        <v>71</v>
      </c>
      <c r="B287">
        <v>179</v>
      </c>
      <c r="C287">
        <v>356</v>
      </c>
      <c r="D287">
        <v>877</v>
      </c>
      <c r="E287">
        <v>498</v>
      </c>
      <c r="F287">
        <v>832</v>
      </c>
      <c r="G287" t="s">
        <v>5</v>
      </c>
      <c r="H287" s="1">
        <f t="shared" si="60"/>
        <v>36834.625000000691</v>
      </c>
      <c r="I287">
        <f t="shared" si="67"/>
        <v>13.753400000000001</v>
      </c>
      <c r="J287">
        <f t="shared" si="68"/>
        <v>26.957599999999999</v>
      </c>
      <c r="K287">
        <f t="shared" si="69"/>
        <v>87.483400000000003</v>
      </c>
      <c r="L287">
        <f t="shared" si="70"/>
        <v>-1.2659999200000045</v>
      </c>
      <c r="M287">
        <f t="shared" si="71"/>
        <v>291.86799999999999</v>
      </c>
      <c r="O287">
        <v>309</v>
      </c>
      <c r="P287">
        <v>1500</v>
      </c>
      <c r="Q287">
        <v>0.63200000000000001</v>
      </c>
      <c r="R287">
        <f t="shared" si="66"/>
        <v>-0.63053369724144093</v>
      </c>
    </row>
    <row r="288" spans="1:18" x14ac:dyDescent="0.25">
      <c r="A288">
        <v>71</v>
      </c>
      <c r="B288">
        <v>172</v>
      </c>
      <c r="C288">
        <v>332</v>
      </c>
      <c r="D288">
        <v>816</v>
      </c>
      <c r="E288">
        <v>498</v>
      </c>
      <c r="F288">
        <v>812</v>
      </c>
      <c r="G288" t="s">
        <v>5</v>
      </c>
      <c r="H288" s="1">
        <f t="shared" si="60"/>
        <v>36834.645833334027</v>
      </c>
      <c r="I288">
        <f t="shared" si="67"/>
        <v>13.231199999999999</v>
      </c>
      <c r="J288">
        <f t="shared" si="68"/>
        <v>25.167199999999998</v>
      </c>
      <c r="K288">
        <f t="shared" si="69"/>
        <v>81.249200000000002</v>
      </c>
      <c r="L288">
        <f t="shared" si="70"/>
        <v>-1.2659999200000045</v>
      </c>
      <c r="M288">
        <f t="shared" si="71"/>
        <v>284.88799999999998</v>
      </c>
      <c r="O288">
        <v>309</v>
      </c>
      <c r="P288">
        <v>1530</v>
      </c>
      <c r="Q288">
        <v>0.60199999999999998</v>
      </c>
      <c r="R288">
        <f t="shared" si="66"/>
        <v>-0.60060330022048636</v>
      </c>
    </row>
    <row r="289" spans="1:18" x14ac:dyDescent="0.25">
      <c r="A289">
        <v>71</v>
      </c>
      <c r="B289">
        <v>168</v>
      </c>
      <c r="C289">
        <v>400</v>
      </c>
      <c r="D289">
        <v>932</v>
      </c>
      <c r="E289">
        <v>492</v>
      </c>
      <c r="F289">
        <v>813</v>
      </c>
      <c r="G289" t="s">
        <v>5</v>
      </c>
      <c r="H289" s="1">
        <f t="shared" si="60"/>
        <v>36834.666666667363</v>
      </c>
      <c r="I289">
        <f t="shared" si="67"/>
        <v>12.9328</v>
      </c>
      <c r="J289">
        <f t="shared" si="68"/>
        <v>30.24</v>
      </c>
      <c r="K289">
        <f t="shared" si="69"/>
        <v>93.104399999999998</v>
      </c>
      <c r="L289">
        <f t="shared" si="70"/>
        <v>-1.8085187200000017</v>
      </c>
      <c r="M289">
        <f t="shared" si="71"/>
        <v>285.23699999999997</v>
      </c>
      <c r="O289">
        <v>309</v>
      </c>
      <c r="P289">
        <v>1600</v>
      </c>
      <c r="Q289">
        <v>0.65</v>
      </c>
      <c r="R289">
        <f t="shared" si="66"/>
        <v>-0.64784461022107376</v>
      </c>
    </row>
    <row r="290" spans="1:18" x14ac:dyDescent="0.25">
      <c r="A290">
        <v>71</v>
      </c>
      <c r="B290">
        <v>127</v>
      </c>
      <c r="C290">
        <v>332</v>
      </c>
      <c r="D290">
        <v>602</v>
      </c>
      <c r="E290">
        <v>473</v>
      </c>
      <c r="F290">
        <v>784</v>
      </c>
      <c r="G290" t="s">
        <v>5</v>
      </c>
      <c r="H290" s="1">
        <f t="shared" si="60"/>
        <v>36834.687500000698</v>
      </c>
      <c r="I290">
        <f t="shared" ref="I290:I315" si="72">0.4+0.0746*B290</f>
        <v>9.8742000000000001</v>
      </c>
      <c r="J290">
        <f t="shared" ref="J290:J315" si="73">0.4+0.0746*C290</f>
        <v>25.167199999999998</v>
      </c>
      <c r="K290">
        <f t="shared" ref="K290:K315" si="74">-2.146+0.1022*D290</f>
        <v>59.378399999999999</v>
      </c>
      <c r="L290">
        <f t="shared" ref="L290:L315" si="75">-43.84+0.0805*E290+0.00001002*E290^2</f>
        <v>-3.5217354200000002</v>
      </c>
      <c r="M290">
        <f t="shared" ref="M290:M315" si="76">1.5+0.349*F290</f>
        <v>275.11599999999999</v>
      </c>
      <c r="O290">
        <v>309</v>
      </c>
      <c r="P290">
        <v>1630</v>
      </c>
      <c r="Q290">
        <v>0.63500000000000001</v>
      </c>
      <c r="R290">
        <f t="shared" si="66"/>
        <v>-0.63089317769868269</v>
      </c>
    </row>
    <row r="291" spans="1:18" x14ac:dyDescent="0.25">
      <c r="A291">
        <v>711</v>
      </c>
      <c r="B291">
        <v>175</v>
      </c>
      <c r="C291">
        <v>352</v>
      </c>
      <c r="D291">
        <v>716</v>
      </c>
      <c r="E291">
        <v>461</v>
      </c>
      <c r="F291">
        <v>821</v>
      </c>
      <c r="G291" t="s">
        <v>5</v>
      </c>
      <c r="H291" s="1">
        <f t="shared" si="60"/>
        <v>36834.708333334034</v>
      </c>
      <c r="I291">
        <f t="shared" si="72"/>
        <v>13.455</v>
      </c>
      <c r="J291">
        <f t="shared" si="73"/>
        <v>26.659199999999998</v>
      </c>
      <c r="K291">
        <f t="shared" si="74"/>
        <v>71.029200000000003</v>
      </c>
      <c r="L291">
        <f t="shared" si="75"/>
        <v>-4.6000395800000016</v>
      </c>
      <c r="M291">
        <f t="shared" si="76"/>
        <v>288.029</v>
      </c>
      <c r="O291">
        <v>309</v>
      </c>
      <c r="P291">
        <v>1700</v>
      </c>
      <c r="Q291">
        <v>0.60499999999999998</v>
      </c>
      <c r="R291">
        <f t="shared" si="66"/>
        <v>-0.59988405513062704</v>
      </c>
    </row>
    <row r="292" spans="1:18" x14ac:dyDescent="0.25">
      <c r="A292">
        <v>711</v>
      </c>
      <c r="B292">
        <v>145</v>
      </c>
      <c r="C292">
        <v>492</v>
      </c>
      <c r="D292">
        <v>585</v>
      </c>
      <c r="E292">
        <v>468</v>
      </c>
      <c r="F292">
        <v>837</v>
      </c>
      <c r="G292" t="s">
        <v>5</v>
      </c>
      <c r="H292" s="1">
        <f t="shared" si="60"/>
        <v>36834.72916666737</v>
      </c>
      <c r="I292">
        <f t="shared" si="72"/>
        <v>11.217000000000001</v>
      </c>
      <c r="J292">
        <f t="shared" si="73"/>
        <v>37.103200000000001</v>
      </c>
      <c r="K292">
        <f t="shared" si="74"/>
        <v>57.640999999999998</v>
      </c>
      <c r="L292">
        <f t="shared" si="75"/>
        <v>-3.9713795200000037</v>
      </c>
      <c r="M292">
        <f t="shared" si="76"/>
        <v>293.613</v>
      </c>
      <c r="O292">
        <v>309</v>
      </c>
      <c r="P292">
        <v>1730</v>
      </c>
      <c r="Q292">
        <v>0.57499999999999996</v>
      </c>
      <c r="R292">
        <f t="shared" si="66"/>
        <v>-0.57080467813677727</v>
      </c>
    </row>
    <row r="293" spans="1:18" x14ac:dyDescent="0.25">
      <c r="A293">
        <v>711</v>
      </c>
      <c r="B293">
        <v>120</v>
      </c>
      <c r="C293">
        <v>352</v>
      </c>
      <c r="D293">
        <v>535</v>
      </c>
      <c r="E293">
        <v>463</v>
      </c>
      <c r="F293">
        <v>836</v>
      </c>
      <c r="G293" t="s">
        <v>5</v>
      </c>
      <c r="H293" s="1">
        <f t="shared" si="60"/>
        <v>36834.750000000706</v>
      </c>
      <c r="I293">
        <f t="shared" si="72"/>
        <v>9.3520000000000003</v>
      </c>
      <c r="J293">
        <f t="shared" si="73"/>
        <v>26.659199999999998</v>
      </c>
      <c r="K293">
        <f t="shared" si="74"/>
        <v>52.530999999999999</v>
      </c>
      <c r="L293">
        <f t="shared" si="75"/>
        <v>-4.4205226199999998</v>
      </c>
      <c r="M293">
        <f t="shared" si="76"/>
        <v>293.26399999999995</v>
      </c>
      <c r="O293">
        <v>309</v>
      </c>
      <c r="P293">
        <v>1800</v>
      </c>
      <c r="Q293">
        <v>0.622</v>
      </c>
      <c r="R293">
        <f t="shared" si="66"/>
        <v>-0.61694640233948495</v>
      </c>
    </row>
    <row r="294" spans="1:18" x14ac:dyDescent="0.25">
      <c r="A294">
        <v>711</v>
      </c>
      <c r="B294">
        <v>124</v>
      </c>
      <c r="C294">
        <v>284</v>
      </c>
      <c r="D294">
        <v>588</v>
      </c>
      <c r="E294">
        <v>462</v>
      </c>
      <c r="F294">
        <v>844</v>
      </c>
      <c r="G294" t="s">
        <v>5</v>
      </c>
      <c r="H294" s="1">
        <f t="shared" si="60"/>
        <v>36834.770833334042</v>
      </c>
      <c r="I294">
        <f t="shared" si="72"/>
        <v>9.6503999999999994</v>
      </c>
      <c r="J294">
        <f t="shared" si="73"/>
        <v>21.586399999999998</v>
      </c>
      <c r="K294">
        <f t="shared" si="74"/>
        <v>57.947600000000001</v>
      </c>
      <c r="L294">
        <f t="shared" si="75"/>
        <v>-4.5102911200000007</v>
      </c>
      <c r="M294">
        <f t="shared" si="76"/>
        <v>296.05599999999998</v>
      </c>
      <c r="O294">
        <v>309</v>
      </c>
      <c r="P294">
        <v>1830</v>
      </c>
      <c r="Q294">
        <v>0.64</v>
      </c>
      <c r="R294">
        <f t="shared" si="66"/>
        <v>-0.63469412108316881</v>
      </c>
    </row>
    <row r="295" spans="1:18" x14ac:dyDescent="0.25">
      <c r="A295">
        <v>711</v>
      </c>
      <c r="B295">
        <v>86</v>
      </c>
      <c r="C295">
        <v>248</v>
      </c>
      <c r="D295">
        <v>647</v>
      </c>
      <c r="E295">
        <v>462</v>
      </c>
      <c r="F295">
        <v>812</v>
      </c>
      <c r="G295" t="s">
        <v>5</v>
      </c>
      <c r="H295" s="1">
        <f t="shared" si="60"/>
        <v>36834.791666667377</v>
      </c>
      <c r="I295">
        <f t="shared" si="72"/>
        <v>6.8155999999999999</v>
      </c>
      <c r="J295">
        <f t="shared" si="73"/>
        <v>18.900799999999997</v>
      </c>
      <c r="K295">
        <f t="shared" si="74"/>
        <v>63.977400000000003</v>
      </c>
      <c r="L295">
        <f t="shared" si="75"/>
        <v>-4.5102911200000007</v>
      </c>
      <c r="M295">
        <f t="shared" si="76"/>
        <v>284.88799999999998</v>
      </c>
      <c r="O295">
        <v>309</v>
      </c>
      <c r="P295">
        <v>1900</v>
      </c>
      <c r="Q295">
        <v>0.65700000000000003</v>
      </c>
      <c r="R295">
        <f t="shared" si="66"/>
        <v>-0.65155318367444048</v>
      </c>
    </row>
    <row r="296" spans="1:18" x14ac:dyDescent="0.25">
      <c r="A296">
        <v>711</v>
      </c>
      <c r="B296">
        <v>66</v>
      </c>
      <c r="C296">
        <v>316</v>
      </c>
      <c r="D296">
        <v>904</v>
      </c>
      <c r="E296">
        <v>458</v>
      </c>
      <c r="F296">
        <v>845</v>
      </c>
      <c r="G296" t="s">
        <v>5</v>
      </c>
      <c r="H296" s="1">
        <f t="shared" si="60"/>
        <v>36834.812500000713</v>
      </c>
      <c r="I296">
        <f t="shared" si="72"/>
        <v>5.3236000000000008</v>
      </c>
      <c r="J296">
        <f t="shared" si="73"/>
        <v>23.973599999999998</v>
      </c>
      <c r="K296">
        <f t="shared" si="74"/>
        <v>90.242800000000003</v>
      </c>
      <c r="L296">
        <f t="shared" si="75"/>
        <v>-4.8691647200000041</v>
      </c>
      <c r="M296">
        <f t="shared" si="76"/>
        <v>296.40499999999997</v>
      </c>
      <c r="O296">
        <v>309</v>
      </c>
      <c r="P296">
        <v>1930</v>
      </c>
      <c r="Q296">
        <v>0.61199999999999999</v>
      </c>
      <c r="R296">
        <f t="shared" si="66"/>
        <v>-0.60652072388438205</v>
      </c>
    </row>
    <row r="297" spans="1:18" x14ac:dyDescent="0.25">
      <c r="A297">
        <v>711</v>
      </c>
      <c r="B297">
        <v>68</v>
      </c>
      <c r="C297">
        <v>332</v>
      </c>
      <c r="D297">
        <v>230</v>
      </c>
      <c r="E297">
        <v>458</v>
      </c>
      <c r="F297">
        <v>829</v>
      </c>
      <c r="G297" t="s">
        <v>5</v>
      </c>
      <c r="H297" s="1">
        <f>H296+1/48</f>
        <v>36834.833333334049</v>
      </c>
      <c r="I297">
        <f t="shared" si="72"/>
        <v>5.4728000000000003</v>
      </c>
      <c r="J297">
        <f t="shared" si="73"/>
        <v>25.167199999999998</v>
      </c>
      <c r="K297">
        <f t="shared" si="74"/>
        <v>21.36</v>
      </c>
      <c r="L297">
        <f t="shared" si="75"/>
        <v>-4.8691647200000041</v>
      </c>
      <c r="M297">
        <f t="shared" si="76"/>
        <v>290.82099999999997</v>
      </c>
      <c r="O297">
        <v>309</v>
      </c>
      <c r="P297">
        <v>2000</v>
      </c>
      <c r="Q297">
        <v>0.61199999999999999</v>
      </c>
      <c r="R297">
        <f t="shared" si="66"/>
        <v>-0.60652072388438205</v>
      </c>
    </row>
    <row r="298" spans="1:18" x14ac:dyDescent="0.25">
      <c r="A298">
        <v>711</v>
      </c>
      <c r="B298">
        <v>77</v>
      </c>
      <c r="C298">
        <v>260</v>
      </c>
      <c r="D298">
        <v>486</v>
      </c>
      <c r="E298">
        <v>454</v>
      </c>
      <c r="F298">
        <v>841</v>
      </c>
      <c r="G298" t="s">
        <v>5</v>
      </c>
      <c r="H298" s="1">
        <f t="shared" si="60"/>
        <v>36834.854166667385</v>
      </c>
      <c r="I298">
        <f t="shared" si="72"/>
        <v>6.1442000000000005</v>
      </c>
      <c r="J298">
        <f t="shared" si="73"/>
        <v>19.795999999999999</v>
      </c>
      <c r="K298">
        <f t="shared" si="74"/>
        <v>47.523199999999996</v>
      </c>
      <c r="L298">
        <f t="shared" si="75"/>
        <v>-5.2277176799999996</v>
      </c>
      <c r="M298">
        <f t="shared" si="76"/>
        <v>295.00899999999996</v>
      </c>
      <c r="O298">
        <v>309</v>
      </c>
      <c r="P298">
        <v>2030</v>
      </c>
      <c r="Q298">
        <v>0.60499999999999998</v>
      </c>
      <c r="R298">
        <f t="shared" si="66"/>
        <v>-0.59918259466899315</v>
      </c>
    </row>
    <row r="299" spans="1:18" x14ac:dyDescent="0.25">
      <c r="A299">
        <v>711</v>
      </c>
      <c r="B299">
        <v>96</v>
      </c>
      <c r="C299">
        <v>344</v>
      </c>
      <c r="D299">
        <v>455</v>
      </c>
      <c r="E299">
        <v>456</v>
      </c>
      <c r="F299">
        <v>839</v>
      </c>
      <c r="G299" t="s">
        <v>5</v>
      </c>
      <c r="H299" s="1">
        <f t="shared" si="60"/>
        <v>36834.87500000072</v>
      </c>
      <c r="I299">
        <f t="shared" si="72"/>
        <v>7.5616000000000003</v>
      </c>
      <c r="J299">
        <f t="shared" si="73"/>
        <v>26.062399999999997</v>
      </c>
      <c r="K299">
        <f t="shared" si="74"/>
        <v>44.354999999999997</v>
      </c>
      <c r="L299">
        <f t="shared" si="75"/>
        <v>-5.0484812800000043</v>
      </c>
      <c r="M299">
        <f t="shared" si="76"/>
        <v>294.31099999999998</v>
      </c>
      <c r="O299">
        <v>309</v>
      </c>
      <c r="P299">
        <v>2100</v>
      </c>
      <c r="Q299">
        <v>0.61499999999999999</v>
      </c>
      <c r="R299">
        <f t="shared" si="66"/>
        <v>-0.6092901404603619</v>
      </c>
    </row>
    <row r="300" spans="1:18" x14ac:dyDescent="0.25">
      <c r="A300">
        <v>711</v>
      </c>
      <c r="B300">
        <v>90</v>
      </c>
      <c r="C300">
        <v>300</v>
      </c>
      <c r="D300">
        <v>151</v>
      </c>
      <c r="E300">
        <v>456</v>
      </c>
      <c r="F300">
        <v>829</v>
      </c>
      <c r="G300" t="s">
        <v>5</v>
      </c>
      <c r="H300" s="1">
        <f t="shared" si="60"/>
        <v>36834.895833334056</v>
      </c>
      <c r="I300">
        <f t="shared" si="72"/>
        <v>7.1140000000000008</v>
      </c>
      <c r="J300">
        <f t="shared" si="73"/>
        <v>22.779999999999998</v>
      </c>
      <c r="K300">
        <f t="shared" si="74"/>
        <v>13.286200000000001</v>
      </c>
      <c r="L300">
        <f t="shared" si="75"/>
        <v>-5.0484812800000043</v>
      </c>
      <c r="M300">
        <f t="shared" si="76"/>
        <v>290.82099999999997</v>
      </c>
      <c r="O300">
        <v>309</v>
      </c>
      <c r="P300">
        <v>2130</v>
      </c>
      <c r="Q300">
        <v>0.62</v>
      </c>
      <c r="R300">
        <f t="shared" si="66"/>
        <v>-0.61424371883808848</v>
      </c>
    </row>
    <row r="301" spans="1:18" x14ac:dyDescent="0.25">
      <c r="A301">
        <v>711</v>
      </c>
      <c r="B301">
        <v>86</v>
      </c>
      <c r="C301">
        <v>280</v>
      </c>
      <c r="D301">
        <v>557</v>
      </c>
      <c r="E301">
        <v>452</v>
      </c>
      <c r="F301">
        <v>853</v>
      </c>
      <c r="G301" t="s">
        <v>5</v>
      </c>
      <c r="H301" s="1">
        <f t="shared" si="60"/>
        <v>36834.916666667392</v>
      </c>
      <c r="I301">
        <f t="shared" si="72"/>
        <v>6.8155999999999999</v>
      </c>
      <c r="J301">
        <f t="shared" si="73"/>
        <v>21.287999999999997</v>
      </c>
      <c r="K301">
        <f t="shared" si="74"/>
        <v>54.779399999999995</v>
      </c>
      <c r="L301">
        <f t="shared" si="75"/>
        <v>-5.4068739200000007</v>
      </c>
      <c r="M301">
        <f t="shared" si="76"/>
        <v>299.197</v>
      </c>
      <c r="O301">
        <v>309</v>
      </c>
      <c r="P301">
        <v>2200</v>
      </c>
      <c r="Q301">
        <v>0.63200000000000001</v>
      </c>
      <c r="R301">
        <f t="shared" si="66"/>
        <v>-0.62571366654405969</v>
      </c>
    </row>
    <row r="302" spans="1:18" x14ac:dyDescent="0.25">
      <c r="A302">
        <v>711</v>
      </c>
      <c r="B302">
        <v>77</v>
      </c>
      <c r="C302">
        <v>388</v>
      </c>
      <c r="D302">
        <v>148</v>
      </c>
      <c r="E302">
        <v>455</v>
      </c>
      <c r="F302">
        <v>831</v>
      </c>
      <c r="G302" t="s">
        <v>5</v>
      </c>
      <c r="H302" s="1">
        <f t="shared" si="60"/>
        <v>36834.937500000728</v>
      </c>
      <c r="I302">
        <f t="shared" si="72"/>
        <v>6.1442000000000005</v>
      </c>
      <c r="J302">
        <f t="shared" si="73"/>
        <v>29.344799999999999</v>
      </c>
      <c r="K302">
        <f t="shared" si="74"/>
        <v>12.979600000000001</v>
      </c>
      <c r="L302">
        <f t="shared" si="75"/>
        <v>-5.1381095000000059</v>
      </c>
      <c r="M302">
        <f t="shared" si="76"/>
        <v>291.51900000000001</v>
      </c>
      <c r="O302">
        <v>309</v>
      </c>
      <c r="P302">
        <v>2230</v>
      </c>
      <c r="Q302">
        <v>0.625</v>
      </c>
      <c r="R302">
        <f t="shared" si="66"/>
        <v>-0.61909378756222555</v>
      </c>
    </row>
    <row r="303" spans="1:18" x14ac:dyDescent="0.25">
      <c r="A303">
        <v>711</v>
      </c>
      <c r="B303">
        <v>98</v>
      </c>
      <c r="C303">
        <v>388</v>
      </c>
      <c r="D303">
        <v>26</v>
      </c>
      <c r="E303">
        <v>452</v>
      </c>
      <c r="F303">
        <v>841</v>
      </c>
      <c r="G303" t="s">
        <v>5</v>
      </c>
      <c r="H303" s="1">
        <f t="shared" si="60"/>
        <v>36834.958333334063</v>
      </c>
      <c r="I303">
        <f t="shared" si="72"/>
        <v>7.7108000000000008</v>
      </c>
      <c r="J303">
        <f t="shared" si="73"/>
        <v>29.344799999999999</v>
      </c>
      <c r="K303">
        <f t="shared" si="74"/>
        <v>0.5112000000000001</v>
      </c>
      <c r="L303">
        <f t="shared" si="75"/>
        <v>-5.4068739200000007</v>
      </c>
      <c r="M303">
        <f t="shared" si="76"/>
        <v>295.00899999999996</v>
      </c>
      <c r="O303">
        <v>309</v>
      </c>
      <c r="P303">
        <v>2300</v>
      </c>
      <c r="Q303">
        <v>0.63</v>
      </c>
      <c r="R303">
        <f t="shared" si="66"/>
        <v>-0.62373356000436331</v>
      </c>
    </row>
    <row r="304" spans="1:18" x14ac:dyDescent="0.25">
      <c r="A304">
        <v>711</v>
      </c>
      <c r="B304">
        <v>94</v>
      </c>
      <c r="C304">
        <v>408</v>
      </c>
      <c r="D304">
        <v>612</v>
      </c>
      <c r="E304">
        <v>456</v>
      </c>
      <c r="F304">
        <v>856</v>
      </c>
      <c r="G304" t="s">
        <v>5</v>
      </c>
      <c r="H304" s="1">
        <f t="shared" si="60"/>
        <v>36834.979166667399</v>
      </c>
      <c r="I304">
        <f t="shared" si="72"/>
        <v>7.4123999999999999</v>
      </c>
      <c r="J304">
        <f t="shared" si="73"/>
        <v>30.836799999999997</v>
      </c>
      <c r="K304">
        <f t="shared" si="74"/>
        <v>60.400399999999998</v>
      </c>
      <c r="L304">
        <f t="shared" si="75"/>
        <v>-5.0484812800000043</v>
      </c>
      <c r="M304">
        <f t="shared" si="76"/>
        <v>300.24399999999997</v>
      </c>
      <c r="O304">
        <v>309</v>
      </c>
      <c r="P304">
        <v>2330</v>
      </c>
      <c r="Q304">
        <v>0.622</v>
      </c>
      <c r="R304">
        <f t="shared" si="66"/>
        <v>-0.61622515018917901</v>
      </c>
    </row>
    <row r="305" spans="1:18" x14ac:dyDescent="0.25">
      <c r="A305">
        <v>711</v>
      </c>
      <c r="B305">
        <v>83</v>
      </c>
      <c r="C305">
        <v>492</v>
      </c>
      <c r="D305">
        <v>71</v>
      </c>
      <c r="E305">
        <v>458</v>
      </c>
      <c r="F305">
        <v>837</v>
      </c>
      <c r="G305" t="s">
        <v>5</v>
      </c>
      <c r="H305" s="1">
        <f t="shared" si="60"/>
        <v>36835.000000000735</v>
      </c>
      <c r="I305">
        <f t="shared" si="72"/>
        <v>6.5918000000000001</v>
      </c>
      <c r="J305">
        <f t="shared" si="73"/>
        <v>37.103200000000001</v>
      </c>
      <c r="K305">
        <f t="shared" si="74"/>
        <v>5.1101999999999999</v>
      </c>
      <c r="L305">
        <f t="shared" si="75"/>
        <v>-4.8691647200000041</v>
      </c>
      <c r="M305">
        <f t="shared" si="76"/>
        <v>293.613</v>
      </c>
      <c r="O305">
        <v>309</v>
      </c>
      <c r="P305">
        <v>2400</v>
      </c>
      <c r="Q305">
        <v>0.625</v>
      </c>
      <c r="R305">
        <f t="shared" si="66"/>
        <v>-0.61940433403225292</v>
      </c>
    </row>
    <row r="306" spans="1:18" x14ac:dyDescent="0.25">
      <c r="A306">
        <v>711</v>
      </c>
      <c r="B306">
        <v>74</v>
      </c>
      <c r="C306">
        <v>220</v>
      </c>
      <c r="D306">
        <v>578</v>
      </c>
      <c r="E306">
        <v>458</v>
      </c>
      <c r="F306">
        <v>865</v>
      </c>
      <c r="G306" t="s">
        <v>5</v>
      </c>
      <c r="H306" s="1">
        <f t="shared" si="60"/>
        <v>36835.020833334071</v>
      </c>
      <c r="I306">
        <f t="shared" si="72"/>
        <v>5.9204000000000008</v>
      </c>
      <c r="J306">
        <f t="shared" si="73"/>
        <v>16.811999999999998</v>
      </c>
      <c r="K306">
        <f t="shared" si="74"/>
        <v>56.925599999999996</v>
      </c>
      <c r="L306">
        <f t="shared" si="75"/>
        <v>-4.8691647200000041</v>
      </c>
      <c r="M306">
        <f t="shared" si="76"/>
        <v>303.38499999999999</v>
      </c>
      <c r="O306">
        <v>310</v>
      </c>
      <c r="P306">
        <v>30</v>
      </c>
      <c r="Q306">
        <v>0.627</v>
      </c>
      <c r="R306">
        <f t="shared" si="66"/>
        <v>-0.62138642790115617</v>
      </c>
    </row>
    <row r="307" spans="1:18" x14ac:dyDescent="0.25">
      <c r="A307">
        <v>711</v>
      </c>
      <c r="B307">
        <v>76</v>
      </c>
      <c r="C307">
        <v>208</v>
      </c>
      <c r="D307">
        <v>421</v>
      </c>
      <c r="E307">
        <v>458</v>
      </c>
      <c r="F307">
        <v>860</v>
      </c>
      <c r="G307" t="s">
        <v>5</v>
      </c>
      <c r="H307" s="1">
        <f t="shared" si="60"/>
        <v>36835.041666667406</v>
      </c>
      <c r="I307">
        <f t="shared" si="72"/>
        <v>6.0696000000000003</v>
      </c>
      <c r="J307">
        <f t="shared" si="73"/>
        <v>15.9168</v>
      </c>
      <c r="K307">
        <f t="shared" si="74"/>
        <v>40.880200000000002</v>
      </c>
      <c r="L307">
        <f t="shared" si="75"/>
        <v>-4.8691647200000041</v>
      </c>
      <c r="M307">
        <f t="shared" si="76"/>
        <v>301.64</v>
      </c>
      <c r="O307">
        <v>310</v>
      </c>
      <c r="P307">
        <v>100</v>
      </c>
      <c r="Q307">
        <v>0.63</v>
      </c>
      <c r="R307">
        <f t="shared" si="66"/>
        <v>-0.62435956870451104</v>
      </c>
    </row>
    <row r="308" spans="1:18" x14ac:dyDescent="0.25">
      <c r="A308">
        <v>711</v>
      </c>
      <c r="B308">
        <v>89</v>
      </c>
      <c r="C308">
        <v>276</v>
      </c>
      <c r="D308">
        <v>132</v>
      </c>
      <c r="E308">
        <v>459</v>
      </c>
      <c r="F308">
        <v>853</v>
      </c>
      <c r="G308" t="s">
        <v>5</v>
      </c>
      <c r="H308" s="1">
        <f t="shared" si="60"/>
        <v>36835.062500000742</v>
      </c>
      <c r="I308">
        <f t="shared" si="72"/>
        <v>7.0394000000000005</v>
      </c>
      <c r="J308">
        <f t="shared" si="73"/>
        <v>20.989599999999999</v>
      </c>
      <c r="K308">
        <f t="shared" si="74"/>
        <v>11.3444</v>
      </c>
      <c r="L308">
        <f t="shared" si="75"/>
        <v>-4.7794763800000029</v>
      </c>
      <c r="M308">
        <f t="shared" si="76"/>
        <v>299.197</v>
      </c>
      <c r="O308">
        <v>310</v>
      </c>
      <c r="P308">
        <v>130</v>
      </c>
      <c r="Q308">
        <v>0.62</v>
      </c>
      <c r="R308">
        <f t="shared" si="66"/>
        <v>-0.61455179829973605</v>
      </c>
    </row>
    <row r="309" spans="1:18" x14ac:dyDescent="0.25">
      <c r="A309">
        <v>711</v>
      </c>
      <c r="B309">
        <v>103</v>
      </c>
      <c r="C309">
        <v>380</v>
      </c>
      <c r="D309">
        <v>449</v>
      </c>
      <c r="E309">
        <v>455</v>
      </c>
      <c r="F309">
        <v>864</v>
      </c>
      <c r="G309" t="s">
        <v>5</v>
      </c>
      <c r="H309" s="1">
        <f t="shared" si="60"/>
        <v>36835.083333334078</v>
      </c>
      <c r="I309">
        <f t="shared" si="72"/>
        <v>8.0838000000000001</v>
      </c>
      <c r="J309">
        <f t="shared" si="73"/>
        <v>28.747999999999998</v>
      </c>
      <c r="K309">
        <f t="shared" si="74"/>
        <v>43.741799999999998</v>
      </c>
      <c r="L309">
        <f t="shared" si="75"/>
        <v>-5.1381095000000059</v>
      </c>
      <c r="M309">
        <f t="shared" si="76"/>
        <v>303.036</v>
      </c>
      <c r="O309">
        <v>310</v>
      </c>
      <c r="P309">
        <v>200</v>
      </c>
      <c r="Q309">
        <v>0.59499999999999997</v>
      </c>
      <c r="R309">
        <f t="shared" si="66"/>
        <v>-0.58937728575923876</v>
      </c>
    </row>
    <row r="310" spans="1:18" x14ac:dyDescent="0.25">
      <c r="A310">
        <v>711</v>
      </c>
      <c r="B310">
        <v>50</v>
      </c>
      <c r="C310">
        <v>188</v>
      </c>
      <c r="D310">
        <v>30</v>
      </c>
      <c r="E310">
        <v>458</v>
      </c>
      <c r="F310">
        <v>877</v>
      </c>
      <c r="G310" t="s">
        <v>5</v>
      </c>
      <c r="H310" s="1">
        <f t="shared" si="60"/>
        <v>36835.104166667414</v>
      </c>
      <c r="I310">
        <f t="shared" si="72"/>
        <v>4.13</v>
      </c>
      <c r="J310">
        <f t="shared" si="73"/>
        <v>14.424799999999999</v>
      </c>
      <c r="K310">
        <f t="shared" si="74"/>
        <v>0.91999999999999993</v>
      </c>
      <c r="L310">
        <f t="shared" si="75"/>
        <v>-4.8691647200000041</v>
      </c>
      <c r="M310">
        <f t="shared" si="76"/>
        <v>307.57299999999998</v>
      </c>
      <c r="O310">
        <v>310</v>
      </c>
      <c r="P310">
        <v>230</v>
      </c>
      <c r="Q310">
        <v>0.61</v>
      </c>
      <c r="R310">
        <f t="shared" si="66"/>
        <v>-0.60453863001547892</v>
      </c>
    </row>
    <row r="311" spans="1:18" x14ac:dyDescent="0.25">
      <c r="A311">
        <v>711</v>
      </c>
      <c r="B311">
        <v>80</v>
      </c>
      <c r="C311">
        <v>464</v>
      </c>
      <c r="D311">
        <v>576</v>
      </c>
      <c r="E311">
        <v>457</v>
      </c>
      <c r="F311">
        <v>871</v>
      </c>
      <c r="G311" t="s">
        <v>5</v>
      </c>
      <c r="H311" s="1">
        <f t="shared" si="60"/>
        <v>36835.125000000749</v>
      </c>
      <c r="I311">
        <f t="shared" si="72"/>
        <v>6.3680000000000003</v>
      </c>
      <c r="J311">
        <f t="shared" si="73"/>
        <v>35.014400000000002</v>
      </c>
      <c r="K311">
        <f t="shared" si="74"/>
        <v>56.721199999999996</v>
      </c>
      <c r="L311">
        <f t="shared" si="75"/>
        <v>-4.9588330200000037</v>
      </c>
      <c r="M311">
        <f t="shared" si="76"/>
        <v>305.47899999999998</v>
      </c>
      <c r="O311">
        <v>310</v>
      </c>
      <c r="P311">
        <v>300</v>
      </c>
      <c r="Q311">
        <v>0.61199999999999999</v>
      </c>
      <c r="R311">
        <f t="shared" si="66"/>
        <v>-0.60641935580249828</v>
      </c>
    </row>
    <row r="312" spans="1:18" x14ac:dyDescent="0.25">
      <c r="A312">
        <v>711</v>
      </c>
      <c r="B312">
        <v>129</v>
      </c>
      <c r="C312">
        <v>360</v>
      </c>
      <c r="D312">
        <v>538</v>
      </c>
      <c r="E312">
        <v>457</v>
      </c>
      <c r="F312">
        <v>872</v>
      </c>
      <c r="G312" t="s">
        <v>5</v>
      </c>
      <c r="H312" s="1">
        <f t="shared" si="60"/>
        <v>36835.145833334085</v>
      </c>
      <c r="I312">
        <f t="shared" si="72"/>
        <v>10.023400000000001</v>
      </c>
      <c r="J312">
        <f t="shared" si="73"/>
        <v>27.256</v>
      </c>
      <c r="K312">
        <f t="shared" si="74"/>
        <v>52.837600000000002</v>
      </c>
      <c r="L312">
        <f t="shared" si="75"/>
        <v>-4.9588330200000037</v>
      </c>
      <c r="M312">
        <f t="shared" si="76"/>
        <v>305.82799999999997</v>
      </c>
      <c r="O312">
        <v>310</v>
      </c>
      <c r="P312">
        <v>330</v>
      </c>
      <c r="Q312">
        <v>0.61199999999999999</v>
      </c>
      <c r="R312">
        <f t="shared" si="66"/>
        <v>-0.60641935580249828</v>
      </c>
    </row>
    <row r="313" spans="1:18" x14ac:dyDescent="0.25">
      <c r="A313">
        <v>711</v>
      </c>
      <c r="B313">
        <v>140</v>
      </c>
      <c r="C313">
        <v>388</v>
      </c>
      <c r="D313">
        <v>476</v>
      </c>
      <c r="E313">
        <v>457</v>
      </c>
      <c r="F313">
        <v>876</v>
      </c>
      <c r="G313" t="s">
        <v>5</v>
      </c>
      <c r="H313" s="1">
        <f t="shared" si="60"/>
        <v>36835.166666667421</v>
      </c>
      <c r="I313">
        <f t="shared" si="72"/>
        <v>10.843999999999999</v>
      </c>
      <c r="J313">
        <f t="shared" si="73"/>
        <v>29.344799999999999</v>
      </c>
      <c r="K313">
        <f t="shared" si="74"/>
        <v>46.501199999999997</v>
      </c>
      <c r="L313">
        <f t="shared" si="75"/>
        <v>-4.9588330200000037</v>
      </c>
      <c r="M313">
        <f t="shared" si="76"/>
        <v>307.22399999999999</v>
      </c>
      <c r="O313">
        <v>310</v>
      </c>
      <c r="P313">
        <v>400</v>
      </c>
      <c r="Q313">
        <v>0.6</v>
      </c>
      <c r="R313">
        <f t="shared" si="66"/>
        <v>-0.59452878019852773</v>
      </c>
    </row>
    <row r="314" spans="1:18" x14ac:dyDescent="0.25">
      <c r="A314">
        <v>711</v>
      </c>
      <c r="B314">
        <v>114</v>
      </c>
      <c r="C314">
        <v>364</v>
      </c>
      <c r="D314">
        <v>742</v>
      </c>
      <c r="E314">
        <v>458</v>
      </c>
      <c r="F314">
        <v>880</v>
      </c>
      <c r="G314" t="s">
        <v>5</v>
      </c>
      <c r="H314" s="1">
        <f t="shared" si="60"/>
        <v>36835.187500000757</v>
      </c>
      <c r="I314">
        <f t="shared" si="72"/>
        <v>8.9044000000000008</v>
      </c>
      <c r="J314">
        <f t="shared" si="73"/>
        <v>27.554399999999998</v>
      </c>
      <c r="K314">
        <f t="shared" si="74"/>
        <v>73.686399999999992</v>
      </c>
      <c r="L314">
        <f t="shared" si="75"/>
        <v>-4.8691647200000041</v>
      </c>
      <c r="M314">
        <f t="shared" si="76"/>
        <v>308.62</v>
      </c>
      <c r="O314">
        <v>310</v>
      </c>
      <c r="P314">
        <v>430</v>
      </c>
      <c r="Q314">
        <v>0.6</v>
      </c>
      <c r="R314">
        <f t="shared" si="66"/>
        <v>-0.5946281606709628</v>
      </c>
    </row>
    <row r="315" spans="1:18" x14ac:dyDescent="0.25">
      <c r="A315">
        <v>711</v>
      </c>
      <c r="B315">
        <v>143</v>
      </c>
      <c r="C315">
        <v>372</v>
      </c>
      <c r="D315">
        <v>652</v>
      </c>
      <c r="E315">
        <v>462</v>
      </c>
      <c r="F315">
        <v>884</v>
      </c>
      <c r="G315" t="s">
        <v>5</v>
      </c>
      <c r="H315" s="1">
        <f t="shared" si="60"/>
        <v>36835.208333334092</v>
      </c>
      <c r="I315">
        <f t="shared" si="72"/>
        <v>11.0678</v>
      </c>
      <c r="J315">
        <f t="shared" si="73"/>
        <v>28.151199999999999</v>
      </c>
      <c r="K315">
        <f t="shared" si="74"/>
        <v>64.488399999999999</v>
      </c>
      <c r="L315">
        <f t="shared" si="75"/>
        <v>-4.5102911200000007</v>
      </c>
      <c r="M315">
        <f t="shared" si="76"/>
        <v>310.01599999999996</v>
      </c>
      <c r="O315">
        <v>310</v>
      </c>
      <c r="P315">
        <v>500</v>
      </c>
      <c r="Q315">
        <v>0.59</v>
      </c>
      <c r="R315">
        <f t="shared" si="66"/>
        <v>-0.58510864287354625</v>
      </c>
    </row>
    <row r="316" spans="1:18" x14ac:dyDescent="0.25">
      <c r="A316">
        <v>711</v>
      </c>
      <c r="B316">
        <v>129</v>
      </c>
      <c r="C316">
        <v>444</v>
      </c>
      <c r="D316">
        <v>552</v>
      </c>
      <c r="E316">
        <v>461</v>
      </c>
      <c r="F316">
        <v>881</v>
      </c>
      <c r="G316" t="s">
        <v>5</v>
      </c>
      <c r="H316" s="1">
        <f t="shared" si="60"/>
        <v>36835.229166667428</v>
      </c>
      <c r="I316">
        <f t="shared" ref="I316:I377" si="77">0.4+0.0746*B316</f>
        <v>10.023400000000001</v>
      </c>
      <c r="J316">
        <f t="shared" ref="J316:J377" si="78">0.4+0.0746*C316</f>
        <v>33.522399999999998</v>
      </c>
      <c r="K316">
        <f t="shared" ref="K316:K377" si="79">-2.146+0.1022*D316</f>
        <v>54.2684</v>
      </c>
      <c r="L316">
        <f t="shared" ref="L316:L377" si="80">-43.84+0.0805*E316+0.00001002*E316^2</f>
        <v>-4.6000395800000016</v>
      </c>
      <c r="M316">
        <f t="shared" ref="M316:M377" si="81">1.5+0.349*F316</f>
        <v>308.96899999999999</v>
      </c>
      <c r="O316">
        <v>310</v>
      </c>
      <c r="P316">
        <v>530</v>
      </c>
      <c r="Q316">
        <v>0.57699999999999996</v>
      </c>
      <c r="R316">
        <f t="shared" si="66"/>
        <v>-0.57212082613284598</v>
      </c>
    </row>
    <row r="317" spans="1:18" x14ac:dyDescent="0.25">
      <c r="A317">
        <v>711</v>
      </c>
      <c r="B317">
        <v>133</v>
      </c>
      <c r="C317">
        <v>400</v>
      </c>
      <c r="D317">
        <v>912</v>
      </c>
      <c r="E317">
        <v>462</v>
      </c>
      <c r="F317">
        <v>888</v>
      </c>
      <c r="G317" t="s">
        <v>5</v>
      </c>
      <c r="H317" s="1">
        <f t="shared" si="60"/>
        <v>36835.250000000764</v>
      </c>
      <c r="I317">
        <f t="shared" si="77"/>
        <v>10.3218</v>
      </c>
      <c r="J317">
        <f t="shared" si="78"/>
        <v>30.24</v>
      </c>
      <c r="K317">
        <f t="shared" si="79"/>
        <v>91.060400000000001</v>
      </c>
      <c r="L317">
        <f t="shared" si="80"/>
        <v>-4.5102911200000007</v>
      </c>
      <c r="M317">
        <f t="shared" si="81"/>
        <v>311.41199999999998</v>
      </c>
      <c r="O317">
        <v>310</v>
      </c>
      <c r="P317">
        <v>600</v>
      </c>
      <c r="Q317">
        <v>0.58499999999999996</v>
      </c>
      <c r="R317">
        <f t="shared" si="66"/>
        <v>-0.58015009505258397</v>
      </c>
    </row>
    <row r="318" spans="1:18" x14ac:dyDescent="0.25">
      <c r="A318">
        <v>711</v>
      </c>
      <c r="B318">
        <v>106</v>
      </c>
      <c r="C318">
        <v>368</v>
      </c>
      <c r="D318">
        <v>490</v>
      </c>
      <c r="E318">
        <v>459</v>
      </c>
      <c r="F318">
        <v>881</v>
      </c>
      <c r="G318" t="s">
        <v>5</v>
      </c>
      <c r="H318" s="1">
        <f t="shared" ref="H318:H380" si="82">H317+1/48</f>
        <v>36835.2708333341</v>
      </c>
      <c r="I318">
        <f t="shared" si="77"/>
        <v>8.3076000000000008</v>
      </c>
      <c r="J318">
        <f t="shared" si="78"/>
        <v>27.852799999999998</v>
      </c>
      <c r="K318">
        <f t="shared" si="79"/>
        <v>47.932000000000002</v>
      </c>
      <c r="L318">
        <f t="shared" si="80"/>
        <v>-4.7794763800000029</v>
      </c>
      <c r="M318">
        <f t="shared" si="81"/>
        <v>308.96899999999999</v>
      </c>
      <c r="O318">
        <v>310</v>
      </c>
      <c r="P318">
        <v>630</v>
      </c>
      <c r="Q318">
        <v>0.57999999999999996</v>
      </c>
      <c r="R318">
        <f t="shared" si="66"/>
        <v>-0.57490329518362404</v>
      </c>
    </row>
    <row r="319" spans="1:18" x14ac:dyDescent="0.25">
      <c r="A319">
        <v>711</v>
      </c>
      <c r="B319">
        <v>129</v>
      </c>
      <c r="C319">
        <v>356</v>
      </c>
      <c r="D319">
        <v>592</v>
      </c>
      <c r="E319">
        <v>459</v>
      </c>
      <c r="F319">
        <v>889</v>
      </c>
      <c r="G319" t="s">
        <v>5</v>
      </c>
      <c r="H319" s="1">
        <f t="shared" si="82"/>
        <v>36835.291666667435</v>
      </c>
      <c r="I319">
        <f t="shared" si="77"/>
        <v>10.023400000000001</v>
      </c>
      <c r="J319">
        <f t="shared" si="78"/>
        <v>26.957599999999999</v>
      </c>
      <c r="K319">
        <f t="shared" si="79"/>
        <v>58.356400000000001</v>
      </c>
      <c r="L319">
        <f t="shared" si="80"/>
        <v>-4.7794763800000029</v>
      </c>
      <c r="M319">
        <f t="shared" si="81"/>
        <v>311.76099999999997</v>
      </c>
      <c r="O319">
        <v>310</v>
      </c>
      <c r="P319">
        <v>700</v>
      </c>
      <c r="Q319">
        <v>0.57199999999999995</v>
      </c>
      <c r="R319">
        <f t="shared" si="66"/>
        <v>-0.56697359456040164</v>
      </c>
    </row>
    <row r="320" spans="1:18" x14ac:dyDescent="0.25">
      <c r="A320">
        <v>711</v>
      </c>
      <c r="B320">
        <v>187</v>
      </c>
      <c r="C320">
        <v>460</v>
      </c>
      <c r="D320">
        <v>681</v>
      </c>
      <c r="E320">
        <v>458</v>
      </c>
      <c r="F320">
        <v>885</v>
      </c>
      <c r="G320" t="s">
        <v>5</v>
      </c>
      <c r="H320" s="1">
        <f t="shared" si="82"/>
        <v>36835.312500000771</v>
      </c>
      <c r="I320">
        <f t="shared" si="77"/>
        <v>14.350200000000001</v>
      </c>
      <c r="J320">
        <f t="shared" si="78"/>
        <v>34.716000000000001</v>
      </c>
      <c r="K320">
        <f t="shared" si="79"/>
        <v>67.452200000000005</v>
      </c>
      <c r="L320">
        <f t="shared" si="80"/>
        <v>-4.8691647200000041</v>
      </c>
      <c r="M320">
        <f t="shared" si="81"/>
        <v>310.36499999999995</v>
      </c>
      <c r="O320">
        <v>310</v>
      </c>
      <c r="P320">
        <v>730</v>
      </c>
      <c r="Q320">
        <v>0.57199999999999995</v>
      </c>
      <c r="R320">
        <f t="shared" si="66"/>
        <v>-0.56687884650631781</v>
      </c>
    </row>
    <row r="321" spans="1:18" x14ac:dyDescent="0.25">
      <c r="A321">
        <v>711</v>
      </c>
      <c r="B321">
        <v>172</v>
      </c>
      <c r="C321">
        <v>392</v>
      </c>
      <c r="D321">
        <v>600</v>
      </c>
      <c r="E321">
        <v>458</v>
      </c>
      <c r="F321">
        <v>879</v>
      </c>
      <c r="G321" t="s">
        <v>5</v>
      </c>
      <c r="H321" s="1">
        <f t="shared" si="82"/>
        <v>36835.333333334107</v>
      </c>
      <c r="I321">
        <f t="shared" si="77"/>
        <v>13.231199999999999</v>
      </c>
      <c r="J321">
        <f t="shared" si="78"/>
        <v>29.6432</v>
      </c>
      <c r="K321">
        <f t="shared" si="79"/>
        <v>59.173999999999999</v>
      </c>
      <c r="L321">
        <f t="shared" si="80"/>
        <v>-4.8691647200000041</v>
      </c>
      <c r="M321">
        <f t="shared" si="81"/>
        <v>308.27099999999996</v>
      </c>
      <c r="O321">
        <v>310</v>
      </c>
      <c r="P321">
        <v>800</v>
      </c>
      <c r="Q321">
        <v>0.57999999999999996</v>
      </c>
      <c r="R321">
        <f t="shared" si="66"/>
        <v>-0.57480722198193068</v>
      </c>
    </row>
    <row r="322" spans="1:18" x14ac:dyDescent="0.25">
      <c r="A322">
        <v>711</v>
      </c>
      <c r="B322">
        <v>175</v>
      </c>
      <c r="C322">
        <v>456</v>
      </c>
      <c r="D322">
        <v>588</v>
      </c>
      <c r="E322">
        <v>457</v>
      </c>
      <c r="F322">
        <v>880</v>
      </c>
      <c r="G322" t="s">
        <v>5</v>
      </c>
      <c r="H322" s="1">
        <f t="shared" si="82"/>
        <v>36835.354166667443</v>
      </c>
      <c r="I322">
        <f t="shared" si="77"/>
        <v>13.455</v>
      </c>
      <c r="J322">
        <f t="shared" si="78"/>
        <v>34.4176</v>
      </c>
      <c r="K322">
        <f t="shared" si="79"/>
        <v>57.947600000000001</v>
      </c>
      <c r="L322">
        <f t="shared" si="80"/>
        <v>-4.9588330200000037</v>
      </c>
      <c r="M322">
        <f t="shared" si="81"/>
        <v>308.62</v>
      </c>
      <c r="O322">
        <v>310</v>
      </c>
      <c r="P322">
        <v>830</v>
      </c>
      <c r="Q322">
        <v>0.58499999999999996</v>
      </c>
      <c r="R322">
        <f t="shared" si="66"/>
        <v>-0.57966556069356445</v>
      </c>
    </row>
    <row r="323" spans="1:18" x14ac:dyDescent="0.25">
      <c r="A323">
        <v>711</v>
      </c>
      <c r="B323">
        <v>176</v>
      </c>
      <c r="C323">
        <v>392</v>
      </c>
      <c r="D323">
        <v>601</v>
      </c>
      <c r="E323">
        <v>454</v>
      </c>
      <c r="F323">
        <v>881</v>
      </c>
      <c r="G323" t="s">
        <v>5</v>
      </c>
      <c r="H323" s="1">
        <f t="shared" si="82"/>
        <v>36835.375000000779</v>
      </c>
      <c r="I323">
        <f t="shared" si="77"/>
        <v>13.5296</v>
      </c>
      <c r="J323">
        <f t="shared" si="78"/>
        <v>29.6432</v>
      </c>
      <c r="K323">
        <f t="shared" si="79"/>
        <v>59.276199999999996</v>
      </c>
      <c r="L323">
        <f t="shared" si="80"/>
        <v>-5.2277176799999996</v>
      </c>
      <c r="M323">
        <f t="shared" si="81"/>
        <v>308.96899999999999</v>
      </c>
      <c r="O323">
        <v>310</v>
      </c>
      <c r="P323">
        <v>900</v>
      </c>
      <c r="Q323">
        <v>0.57999999999999996</v>
      </c>
      <c r="R323">
        <f t="shared" si="66"/>
        <v>-0.57442298331903474</v>
      </c>
    </row>
    <row r="324" spans="1:18" x14ac:dyDescent="0.25">
      <c r="A324">
        <v>711</v>
      </c>
      <c r="B324">
        <v>202</v>
      </c>
      <c r="C324">
        <v>444</v>
      </c>
      <c r="D324">
        <v>726</v>
      </c>
      <c r="E324">
        <v>454</v>
      </c>
      <c r="F324">
        <v>869</v>
      </c>
      <c r="G324" t="s">
        <v>5</v>
      </c>
      <c r="H324" s="1">
        <f t="shared" si="82"/>
        <v>36835.395833334114</v>
      </c>
      <c r="I324">
        <f t="shared" si="77"/>
        <v>15.469200000000001</v>
      </c>
      <c r="J324">
        <f t="shared" si="78"/>
        <v>33.522399999999998</v>
      </c>
      <c r="K324">
        <f t="shared" si="79"/>
        <v>72.051199999999994</v>
      </c>
      <c r="L324">
        <f t="shared" si="80"/>
        <v>-5.2277176799999996</v>
      </c>
      <c r="M324">
        <f t="shared" si="81"/>
        <v>304.78100000000001</v>
      </c>
      <c r="O324">
        <v>310</v>
      </c>
      <c r="P324">
        <v>930</v>
      </c>
      <c r="Q324">
        <v>0.59499999999999997</v>
      </c>
      <c r="R324">
        <f t="shared" si="66"/>
        <v>-0.58927875012900977</v>
      </c>
    </row>
    <row r="325" spans="1:18" x14ac:dyDescent="0.25">
      <c r="A325">
        <v>711</v>
      </c>
      <c r="B325">
        <v>209</v>
      </c>
      <c r="C325">
        <v>392</v>
      </c>
      <c r="D325">
        <v>581</v>
      </c>
      <c r="E325">
        <v>453</v>
      </c>
      <c r="F325">
        <v>871</v>
      </c>
      <c r="G325" t="s">
        <v>5</v>
      </c>
      <c r="H325" s="1">
        <f t="shared" si="82"/>
        <v>36835.41666666745</v>
      </c>
      <c r="I325">
        <f t="shared" si="77"/>
        <v>15.991400000000001</v>
      </c>
      <c r="J325">
        <f t="shared" si="78"/>
        <v>29.6432</v>
      </c>
      <c r="K325">
        <f t="shared" si="79"/>
        <v>57.232199999999999</v>
      </c>
      <c r="L325">
        <f t="shared" si="80"/>
        <v>-5.3173058199999996</v>
      </c>
      <c r="M325">
        <f t="shared" si="81"/>
        <v>305.47899999999998</v>
      </c>
      <c r="O325">
        <v>310</v>
      </c>
      <c r="P325">
        <v>1000</v>
      </c>
      <c r="Q325">
        <v>0.59499999999999997</v>
      </c>
      <c r="R325">
        <f t="shared" si="66"/>
        <v>-0.58918022006155846</v>
      </c>
    </row>
    <row r="326" spans="1:18" x14ac:dyDescent="0.25">
      <c r="A326">
        <v>711</v>
      </c>
      <c r="B326">
        <v>208</v>
      </c>
      <c r="C326">
        <v>352</v>
      </c>
      <c r="D326">
        <v>647</v>
      </c>
      <c r="E326">
        <v>456</v>
      </c>
      <c r="F326">
        <v>865</v>
      </c>
      <c r="G326" t="s">
        <v>5</v>
      </c>
      <c r="H326" s="1">
        <f t="shared" si="82"/>
        <v>36835.437500000786</v>
      </c>
      <c r="I326">
        <f t="shared" si="77"/>
        <v>15.9168</v>
      </c>
      <c r="J326">
        <f t="shared" si="78"/>
        <v>26.659199999999998</v>
      </c>
      <c r="K326">
        <f t="shared" si="79"/>
        <v>63.977400000000003</v>
      </c>
      <c r="L326">
        <f t="shared" si="80"/>
        <v>-5.0484812800000043</v>
      </c>
      <c r="M326">
        <f t="shared" si="81"/>
        <v>303.38499999999999</v>
      </c>
      <c r="O326">
        <v>310</v>
      </c>
      <c r="P326">
        <v>1030</v>
      </c>
      <c r="Q326">
        <v>0.59699999999999998</v>
      </c>
      <c r="R326">
        <f t="shared" si="66"/>
        <v>-0.59145725830054641</v>
      </c>
    </row>
    <row r="327" spans="1:18" x14ac:dyDescent="0.25">
      <c r="A327">
        <v>711</v>
      </c>
      <c r="B327">
        <v>180</v>
      </c>
      <c r="C327">
        <v>368</v>
      </c>
      <c r="D327">
        <v>691</v>
      </c>
      <c r="E327">
        <v>459</v>
      </c>
      <c r="F327">
        <v>872</v>
      </c>
      <c r="G327" t="s">
        <v>5</v>
      </c>
      <c r="H327" s="1">
        <f t="shared" si="82"/>
        <v>36835.458333334122</v>
      </c>
      <c r="I327">
        <f t="shared" si="77"/>
        <v>13.828000000000001</v>
      </c>
      <c r="J327">
        <f t="shared" si="78"/>
        <v>27.852799999999998</v>
      </c>
      <c r="K327">
        <f t="shared" si="79"/>
        <v>68.474199999999996</v>
      </c>
      <c r="L327">
        <f t="shared" si="80"/>
        <v>-4.7794763800000029</v>
      </c>
      <c r="M327">
        <f t="shared" si="81"/>
        <v>305.82799999999997</v>
      </c>
      <c r="O327">
        <v>310</v>
      </c>
      <c r="P327">
        <v>1100</v>
      </c>
      <c r="Q327">
        <v>0.6</v>
      </c>
      <c r="R327">
        <f t="shared" ref="R327:R390" si="83">-SQRT((L327+273.15)/273.15)*Q327</f>
        <v>-0.59472754674168005</v>
      </c>
    </row>
    <row r="328" spans="1:18" x14ac:dyDescent="0.25">
      <c r="A328">
        <v>711</v>
      </c>
      <c r="B328">
        <v>166</v>
      </c>
      <c r="C328">
        <v>340</v>
      </c>
      <c r="D328">
        <v>633</v>
      </c>
      <c r="E328">
        <v>456</v>
      </c>
      <c r="F328">
        <v>865</v>
      </c>
      <c r="G328" t="s">
        <v>5</v>
      </c>
      <c r="H328" s="1">
        <f t="shared" si="82"/>
        <v>36835.479166667457</v>
      </c>
      <c r="I328">
        <f t="shared" si="77"/>
        <v>12.7836</v>
      </c>
      <c r="J328">
        <f t="shared" si="78"/>
        <v>25.763999999999999</v>
      </c>
      <c r="K328">
        <f t="shared" si="79"/>
        <v>62.546599999999998</v>
      </c>
      <c r="L328">
        <f t="shared" si="80"/>
        <v>-5.0484812800000043</v>
      </c>
      <c r="M328">
        <f t="shared" si="81"/>
        <v>303.38499999999999</v>
      </c>
      <c r="O328">
        <v>310</v>
      </c>
      <c r="P328">
        <v>1130</v>
      </c>
      <c r="Q328">
        <v>0.57999999999999996</v>
      </c>
      <c r="R328">
        <f t="shared" si="83"/>
        <v>-0.57461509181627624</v>
      </c>
    </row>
    <row r="329" spans="1:18" x14ac:dyDescent="0.25">
      <c r="A329">
        <v>711</v>
      </c>
      <c r="B329">
        <v>187</v>
      </c>
      <c r="C329">
        <v>340</v>
      </c>
      <c r="D329">
        <v>613</v>
      </c>
      <c r="E329">
        <v>456</v>
      </c>
      <c r="F329">
        <v>860</v>
      </c>
      <c r="G329" t="s">
        <v>5</v>
      </c>
      <c r="H329" s="1">
        <f t="shared" si="82"/>
        <v>36835.500000000793</v>
      </c>
      <c r="I329">
        <f t="shared" si="77"/>
        <v>14.350200000000001</v>
      </c>
      <c r="J329">
        <f t="shared" si="78"/>
        <v>25.763999999999999</v>
      </c>
      <c r="K329">
        <f t="shared" si="79"/>
        <v>60.502600000000001</v>
      </c>
      <c r="L329">
        <f t="shared" si="80"/>
        <v>-5.0484812800000043</v>
      </c>
      <c r="M329">
        <f t="shared" si="81"/>
        <v>301.64</v>
      </c>
      <c r="O329">
        <v>310</v>
      </c>
      <c r="P329">
        <v>1200</v>
      </c>
      <c r="Q329">
        <v>0.53200000000000003</v>
      </c>
      <c r="R329">
        <f t="shared" si="83"/>
        <v>-0.52706073939010167</v>
      </c>
    </row>
    <row r="330" spans="1:18" x14ac:dyDescent="0.25">
      <c r="A330">
        <v>711</v>
      </c>
      <c r="B330">
        <v>186</v>
      </c>
      <c r="C330">
        <v>368</v>
      </c>
      <c r="D330">
        <v>617</v>
      </c>
      <c r="E330">
        <v>456</v>
      </c>
      <c r="F330">
        <v>853</v>
      </c>
      <c r="G330" t="s">
        <v>5</v>
      </c>
      <c r="H330" s="1">
        <f t="shared" si="82"/>
        <v>36835.520833334129</v>
      </c>
      <c r="I330">
        <f t="shared" si="77"/>
        <v>14.275600000000001</v>
      </c>
      <c r="J330">
        <f t="shared" si="78"/>
        <v>27.852799999999998</v>
      </c>
      <c r="K330">
        <f t="shared" si="79"/>
        <v>60.9114</v>
      </c>
      <c r="L330">
        <f t="shared" si="80"/>
        <v>-5.0484812800000043</v>
      </c>
      <c r="M330">
        <f t="shared" si="81"/>
        <v>299.197</v>
      </c>
      <c r="O330">
        <v>310</v>
      </c>
      <c r="P330">
        <v>1230</v>
      </c>
      <c r="Q330">
        <v>0.49</v>
      </c>
      <c r="R330">
        <f t="shared" si="83"/>
        <v>-0.4854506810171989</v>
      </c>
    </row>
    <row r="331" spans="1:18" x14ac:dyDescent="0.25">
      <c r="A331">
        <v>711</v>
      </c>
      <c r="B331">
        <v>155</v>
      </c>
      <c r="C331">
        <v>288</v>
      </c>
      <c r="D331">
        <v>557</v>
      </c>
      <c r="E331">
        <v>463</v>
      </c>
      <c r="F331">
        <v>853</v>
      </c>
      <c r="G331" t="s">
        <v>5</v>
      </c>
      <c r="H331" s="1">
        <f t="shared" si="82"/>
        <v>36835.541666667465</v>
      </c>
      <c r="I331">
        <f t="shared" si="77"/>
        <v>11.963000000000001</v>
      </c>
      <c r="J331">
        <f t="shared" si="78"/>
        <v>21.884799999999998</v>
      </c>
      <c r="K331">
        <f t="shared" si="79"/>
        <v>54.779399999999995</v>
      </c>
      <c r="L331">
        <f t="shared" si="80"/>
        <v>-4.4205226199999998</v>
      </c>
      <c r="M331">
        <f t="shared" si="81"/>
        <v>299.197</v>
      </c>
      <c r="O331">
        <v>310</v>
      </c>
      <c r="P331">
        <v>1300</v>
      </c>
      <c r="Q331">
        <v>0.53200000000000003</v>
      </c>
      <c r="R331">
        <f t="shared" si="83"/>
        <v>-0.52767763029679426</v>
      </c>
    </row>
    <row r="332" spans="1:18" x14ac:dyDescent="0.25">
      <c r="A332">
        <v>711</v>
      </c>
      <c r="B332">
        <v>116</v>
      </c>
      <c r="C332">
        <v>364</v>
      </c>
      <c r="D332">
        <v>672</v>
      </c>
      <c r="E332">
        <v>460</v>
      </c>
      <c r="F332">
        <v>848</v>
      </c>
      <c r="G332" t="s">
        <v>5</v>
      </c>
      <c r="H332" s="1">
        <f t="shared" si="82"/>
        <v>36835.5625000008</v>
      </c>
      <c r="I332">
        <f t="shared" si="77"/>
        <v>9.0536000000000012</v>
      </c>
      <c r="J332">
        <f t="shared" si="78"/>
        <v>27.554399999999998</v>
      </c>
      <c r="K332">
        <f t="shared" si="79"/>
        <v>66.532399999999996</v>
      </c>
      <c r="L332">
        <f t="shared" si="80"/>
        <v>-4.6897680000000026</v>
      </c>
      <c r="M332">
        <f t="shared" si="81"/>
        <v>297.452</v>
      </c>
      <c r="O332">
        <v>310</v>
      </c>
      <c r="P332">
        <v>1330</v>
      </c>
      <c r="Q332">
        <v>0.53500000000000003</v>
      </c>
      <c r="R332">
        <f t="shared" si="83"/>
        <v>-0.53038735341368681</v>
      </c>
    </row>
    <row r="333" spans="1:18" x14ac:dyDescent="0.25">
      <c r="A333">
        <v>711</v>
      </c>
      <c r="B333">
        <v>152</v>
      </c>
      <c r="C333">
        <v>332</v>
      </c>
      <c r="D333">
        <v>578</v>
      </c>
      <c r="E333">
        <v>458</v>
      </c>
      <c r="F333">
        <v>829</v>
      </c>
      <c r="G333" t="s">
        <v>5</v>
      </c>
      <c r="H333" s="1">
        <f t="shared" si="82"/>
        <v>36835.583333334136</v>
      </c>
      <c r="I333">
        <f t="shared" si="77"/>
        <v>11.7392</v>
      </c>
      <c r="J333">
        <f t="shared" si="78"/>
        <v>25.167199999999998</v>
      </c>
      <c r="K333">
        <f t="shared" si="79"/>
        <v>56.925599999999996</v>
      </c>
      <c r="L333">
        <f t="shared" si="80"/>
        <v>-4.8691647200000041</v>
      </c>
      <c r="M333">
        <f t="shared" si="81"/>
        <v>290.82099999999997</v>
      </c>
      <c r="O333">
        <v>310</v>
      </c>
      <c r="P333">
        <v>1400</v>
      </c>
      <c r="Q333">
        <v>0.54500000000000004</v>
      </c>
      <c r="R333">
        <f t="shared" si="83"/>
        <v>-0.54012057927612467</v>
      </c>
    </row>
    <row r="334" spans="1:18" x14ac:dyDescent="0.25">
      <c r="A334">
        <v>711</v>
      </c>
      <c r="B334">
        <v>131</v>
      </c>
      <c r="C334">
        <v>284</v>
      </c>
      <c r="D334">
        <v>536</v>
      </c>
      <c r="E334">
        <v>459</v>
      </c>
      <c r="F334">
        <v>844</v>
      </c>
      <c r="G334" t="s">
        <v>5</v>
      </c>
      <c r="H334" s="1">
        <f t="shared" si="82"/>
        <v>36835.604166667472</v>
      </c>
      <c r="I334">
        <f t="shared" si="77"/>
        <v>10.172600000000001</v>
      </c>
      <c r="J334">
        <f t="shared" si="78"/>
        <v>21.586399999999998</v>
      </c>
      <c r="K334">
        <f t="shared" si="79"/>
        <v>52.633200000000002</v>
      </c>
      <c r="L334">
        <f t="shared" si="80"/>
        <v>-4.7794763800000029</v>
      </c>
      <c r="M334">
        <f t="shared" si="81"/>
        <v>296.05599999999998</v>
      </c>
      <c r="O334">
        <v>310</v>
      </c>
      <c r="P334">
        <v>1430</v>
      </c>
      <c r="Q334">
        <v>0.57699999999999996</v>
      </c>
      <c r="R334">
        <f t="shared" si="83"/>
        <v>-0.57192965744991564</v>
      </c>
    </row>
    <row r="335" spans="1:18" x14ac:dyDescent="0.25">
      <c r="A335">
        <v>711</v>
      </c>
      <c r="B335">
        <v>111</v>
      </c>
      <c r="C335">
        <v>264</v>
      </c>
      <c r="D335">
        <v>600</v>
      </c>
      <c r="E335">
        <v>457</v>
      </c>
      <c r="F335">
        <v>784</v>
      </c>
      <c r="G335" t="s">
        <v>5</v>
      </c>
      <c r="H335" s="1">
        <f t="shared" si="82"/>
        <v>36835.625000000808</v>
      </c>
      <c r="I335">
        <f t="shared" si="77"/>
        <v>8.6806000000000001</v>
      </c>
      <c r="J335">
        <f t="shared" si="78"/>
        <v>20.0944</v>
      </c>
      <c r="K335">
        <f t="shared" si="79"/>
        <v>59.173999999999999</v>
      </c>
      <c r="L335">
        <f t="shared" si="80"/>
        <v>-4.9588330200000037</v>
      </c>
      <c r="M335">
        <f t="shared" si="81"/>
        <v>275.11599999999999</v>
      </c>
      <c r="O335">
        <v>310</v>
      </c>
      <c r="P335">
        <v>1500</v>
      </c>
      <c r="Q335">
        <v>0.59</v>
      </c>
      <c r="R335">
        <f t="shared" si="83"/>
        <v>-0.58461996719521891</v>
      </c>
    </row>
    <row r="336" spans="1:18" x14ac:dyDescent="0.25">
      <c r="A336">
        <v>711</v>
      </c>
      <c r="B336">
        <v>125</v>
      </c>
      <c r="C336">
        <v>252</v>
      </c>
      <c r="D336">
        <v>622</v>
      </c>
      <c r="E336">
        <v>461</v>
      </c>
      <c r="F336">
        <v>809</v>
      </c>
      <c r="G336" t="s">
        <v>5</v>
      </c>
      <c r="H336" s="1">
        <f t="shared" si="82"/>
        <v>36835.645833334143</v>
      </c>
      <c r="I336">
        <f t="shared" si="77"/>
        <v>9.7249999999999996</v>
      </c>
      <c r="J336">
        <f t="shared" si="78"/>
        <v>19.199199999999998</v>
      </c>
      <c r="K336">
        <f t="shared" si="79"/>
        <v>61.422399999999996</v>
      </c>
      <c r="L336">
        <f t="shared" si="80"/>
        <v>-4.6000395800000016</v>
      </c>
      <c r="M336">
        <f t="shared" si="81"/>
        <v>283.84100000000001</v>
      </c>
      <c r="O336">
        <v>310</v>
      </c>
      <c r="P336">
        <v>1530</v>
      </c>
      <c r="Q336">
        <v>0.59699999999999998</v>
      </c>
      <c r="R336">
        <f t="shared" si="83"/>
        <v>-0.59195170398840391</v>
      </c>
    </row>
    <row r="337" spans="1:18" x14ac:dyDescent="0.25">
      <c r="A337">
        <v>711</v>
      </c>
      <c r="B337">
        <v>111</v>
      </c>
      <c r="C337">
        <v>240</v>
      </c>
      <c r="D337">
        <v>634</v>
      </c>
      <c r="E337">
        <v>461</v>
      </c>
      <c r="F337">
        <v>796</v>
      </c>
      <c r="G337" t="s">
        <v>5</v>
      </c>
      <c r="H337" s="1">
        <f t="shared" si="82"/>
        <v>36835.666666667479</v>
      </c>
      <c r="I337">
        <f t="shared" si="77"/>
        <v>8.6806000000000001</v>
      </c>
      <c r="J337">
        <f t="shared" si="78"/>
        <v>18.303999999999998</v>
      </c>
      <c r="K337">
        <f t="shared" si="79"/>
        <v>62.648799999999994</v>
      </c>
      <c r="L337">
        <f t="shared" si="80"/>
        <v>-4.6000395800000016</v>
      </c>
      <c r="M337">
        <f t="shared" si="81"/>
        <v>279.30399999999997</v>
      </c>
      <c r="O337">
        <v>310</v>
      </c>
      <c r="P337">
        <v>1600</v>
      </c>
      <c r="Q337">
        <v>0.60499999999999998</v>
      </c>
      <c r="R337">
        <f t="shared" si="83"/>
        <v>-0.59988405513062704</v>
      </c>
    </row>
    <row r="338" spans="1:18" x14ac:dyDescent="0.25">
      <c r="A338">
        <v>711</v>
      </c>
      <c r="B338">
        <v>86</v>
      </c>
      <c r="C338">
        <v>224</v>
      </c>
      <c r="D338">
        <v>636</v>
      </c>
      <c r="E338">
        <v>465</v>
      </c>
      <c r="F338">
        <v>757</v>
      </c>
      <c r="G338" t="s">
        <v>5</v>
      </c>
      <c r="H338" s="1">
        <f t="shared" si="82"/>
        <v>36835.687500000815</v>
      </c>
      <c r="I338">
        <f t="shared" si="77"/>
        <v>6.8155999999999999</v>
      </c>
      <c r="J338">
        <f t="shared" si="78"/>
        <v>17.110399999999998</v>
      </c>
      <c r="K338">
        <f t="shared" si="79"/>
        <v>62.853200000000001</v>
      </c>
      <c r="L338">
        <f t="shared" si="80"/>
        <v>-4.2409255000000057</v>
      </c>
      <c r="M338">
        <f t="shared" si="81"/>
        <v>265.69299999999998</v>
      </c>
      <c r="O338">
        <v>310</v>
      </c>
      <c r="P338">
        <v>1630</v>
      </c>
      <c r="Q338">
        <v>0.60199999999999998</v>
      </c>
      <c r="R338">
        <f t="shared" si="83"/>
        <v>-0.59730839384145729</v>
      </c>
    </row>
    <row r="339" spans="1:18" x14ac:dyDescent="0.25">
      <c r="A339">
        <v>711</v>
      </c>
      <c r="B339">
        <v>92</v>
      </c>
      <c r="C339">
        <v>196</v>
      </c>
      <c r="D339">
        <v>644</v>
      </c>
      <c r="E339">
        <v>460</v>
      </c>
      <c r="F339">
        <v>753</v>
      </c>
      <c r="G339" t="s">
        <v>5</v>
      </c>
      <c r="H339" s="1">
        <f t="shared" si="82"/>
        <v>36835.708333334151</v>
      </c>
      <c r="I339">
        <f t="shared" si="77"/>
        <v>7.2632000000000003</v>
      </c>
      <c r="J339">
        <f t="shared" si="78"/>
        <v>15.021600000000001</v>
      </c>
      <c r="K339">
        <f t="shared" si="79"/>
        <v>63.6708</v>
      </c>
      <c r="L339">
        <f t="shared" si="80"/>
        <v>-4.6897680000000026</v>
      </c>
      <c r="M339">
        <f t="shared" si="81"/>
        <v>264.29699999999997</v>
      </c>
      <c r="O339">
        <v>310</v>
      </c>
      <c r="P339">
        <v>1700</v>
      </c>
      <c r="Q339">
        <v>0.58699999999999997</v>
      </c>
      <c r="R339">
        <f t="shared" si="83"/>
        <v>-0.58193902140903575</v>
      </c>
    </row>
    <row r="340" spans="1:18" x14ac:dyDescent="0.25">
      <c r="A340">
        <v>711</v>
      </c>
      <c r="B340">
        <v>116</v>
      </c>
      <c r="C340">
        <v>224</v>
      </c>
      <c r="D340">
        <v>633</v>
      </c>
      <c r="E340">
        <v>454</v>
      </c>
      <c r="F340">
        <v>817</v>
      </c>
      <c r="G340" t="s">
        <v>5</v>
      </c>
      <c r="H340" s="1">
        <f t="shared" si="82"/>
        <v>36835.729166667486</v>
      </c>
      <c r="I340">
        <f t="shared" si="77"/>
        <v>9.0536000000000012</v>
      </c>
      <c r="J340">
        <f t="shared" si="78"/>
        <v>17.110399999999998</v>
      </c>
      <c r="K340">
        <f t="shared" si="79"/>
        <v>62.546599999999998</v>
      </c>
      <c r="L340">
        <f t="shared" si="80"/>
        <v>-5.2277176799999996</v>
      </c>
      <c r="M340">
        <f t="shared" si="81"/>
        <v>286.63299999999998</v>
      </c>
      <c r="O340">
        <v>310</v>
      </c>
      <c r="P340">
        <v>1730</v>
      </c>
      <c r="Q340">
        <v>0.57699999999999996</v>
      </c>
      <c r="R340">
        <f t="shared" si="83"/>
        <v>-0.57145182995703969</v>
      </c>
    </row>
    <row r="341" spans="1:18" x14ac:dyDescent="0.25">
      <c r="A341">
        <v>711</v>
      </c>
      <c r="B341">
        <v>169</v>
      </c>
      <c r="C341">
        <v>292</v>
      </c>
      <c r="D341">
        <v>702</v>
      </c>
      <c r="E341">
        <v>453</v>
      </c>
      <c r="F341">
        <v>801</v>
      </c>
      <c r="G341" t="s">
        <v>5</v>
      </c>
      <c r="H341" s="1">
        <f t="shared" si="82"/>
        <v>36835.750000000822</v>
      </c>
      <c r="I341">
        <f t="shared" si="77"/>
        <v>13.007400000000001</v>
      </c>
      <c r="J341">
        <f t="shared" si="78"/>
        <v>22.183199999999999</v>
      </c>
      <c r="K341">
        <f t="shared" si="79"/>
        <v>69.598399999999998</v>
      </c>
      <c r="L341">
        <f t="shared" si="80"/>
        <v>-5.3173058199999996</v>
      </c>
      <c r="M341">
        <f t="shared" si="81"/>
        <v>281.04899999999998</v>
      </c>
      <c r="O341">
        <v>310</v>
      </c>
      <c r="P341">
        <v>1800</v>
      </c>
      <c r="Q341">
        <v>0.55700000000000005</v>
      </c>
      <c r="R341">
        <f t="shared" si="83"/>
        <v>-0.55155190348619854</v>
      </c>
    </row>
    <row r="342" spans="1:18" x14ac:dyDescent="0.25">
      <c r="A342">
        <v>711</v>
      </c>
      <c r="B342">
        <v>151</v>
      </c>
      <c r="C342">
        <v>308</v>
      </c>
      <c r="D342">
        <v>766</v>
      </c>
      <c r="E342">
        <v>462</v>
      </c>
      <c r="F342">
        <v>669</v>
      </c>
      <c r="G342" t="s">
        <v>5</v>
      </c>
      <c r="H342" s="1">
        <f t="shared" si="82"/>
        <v>36835.770833334158</v>
      </c>
      <c r="I342">
        <f t="shared" si="77"/>
        <v>11.6646</v>
      </c>
      <c r="J342">
        <f t="shared" si="78"/>
        <v>23.376799999999999</v>
      </c>
      <c r="K342">
        <f t="shared" si="79"/>
        <v>76.139200000000002</v>
      </c>
      <c r="L342">
        <f t="shared" si="80"/>
        <v>-4.5102911200000007</v>
      </c>
      <c r="M342">
        <f t="shared" si="81"/>
        <v>234.98099999999999</v>
      </c>
      <c r="O342">
        <v>310</v>
      </c>
      <c r="P342">
        <v>1830</v>
      </c>
      <c r="Q342">
        <v>0.505</v>
      </c>
      <c r="R342">
        <f t="shared" si="83"/>
        <v>-0.50081332991718785</v>
      </c>
    </row>
    <row r="343" spans="1:18" x14ac:dyDescent="0.25">
      <c r="A343">
        <v>711</v>
      </c>
      <c r="B343">
        <v>117</v>
      </c>
      <c r="C343">
        <v>240</v>
      </c>
      <c r="D343">
        <v>713</v>
      </c>
      <c r="E343">
        <v>451</v>
      </c>
      <c r="F343">
        <v>673</v>
      </c>
      <c r="G343" t="s">
        <v>5</v>
      </c>
      <c r="H343" s="1">
        <f t="shared" si="82"/>
        <v>36835.791666667494</v>
      </c>
      <c r="I343">
        <f t="shared" si="77"/>
        <v>9.1281999999999996</v>
      </c>
      <c r="J343">
        <f t="shared" si="78"/>
        <v>18.303999999999998</v>
      </c>
      <c r="K343">
        <f t="shared" si="79"/>
        <v>70.7226</v>
      </c>
      <c r="L343">
        <f t="shared" si="80"/>
        <v>-5.4964219800000009</v>
      </c>
      <c r="M343">
        <f t="shared" si="81"/>
        <v>236.37699999999998</v>
      </c>
      <c r="O343">
        <v>310</v>
      </c>
      <c r="P343">
        <v>1900</v>
      </c>
      <c r="Q343">
        <v>0.52200000000000002</v>
      </c>
      <c r="R343">
        <f t="shared" si="83"/>
        <v>-0.51672137512412375</v>
      </c>
    </row>
    <row r="344" spans="1:18" x14ac:dyDescent="0.25">
      <c r="A344">
        <v>711</v>
      </c>
      <c r="B344">
        <v>127</v>
      </c>
      <c r="C344">
        <v>276</v>
      </c>
      <c r="D344">
        <v>859</v>
      </c>
      <c r="E344">
        <v>462</v>
      </c>
      <c r="F344">
        <v>577</v>
      </c>
      <c r="G344" t="s">
        <v>5</v>
      </c>
      <c r="H344" s="1">
        <f t="shared" si="82"/>
        <v>36835.812500000829</v>
      </c>
      <c r="I344">
        <f t="shared" si="77"/>
        <v>9.8742000000000001</v>
      </c>
      <c r="J344">
        <f t="shared" si="78"/>
        <v>20.989599999999999</v>
      </c>
      <c r="K344">
        <f t="shared" si="79"/>
        <v>85.643799999999999</v>
      </c>
      <c r="L344">
        <f t="shared" si="80"/>
        <v>-4.5102911200000007</v>
      </c>
      <c r="M344">
        <f t="shared" si="81"/>
        <v>202.87299999999999</v>
      </c>
      <c r="O344">
        <v>310</v>
      </c>
      <c r="P344">
        <v>1930</v>
      </c>
      <c r="Q344">
        <v>0.53500000000000003</v>
      </c>
      <c r="R344">
        <f t="shared" si="83"/>
        <v>-0.53056461684296141</v>
      </c>
    </row>
    <row r="345" spans="1:18" x14ac:dyDescent="0.25">
      <c r="A345">
        <v>711</v>
      </c>
      <c r="B345">
        <v>133</v>
      </c>
      <c r="C345">
        <v>244</v>
      </c>
      <c r="D345">
        <v>777</v>
      </c>
      <c r="E345">
        <v>459</v>
      </c>
      <c r="F345">
        <v>721</v>
      </c>
      <c r="G345" t="s">
        <v>5</v>
      </c>
      <c r="H345" s="1">
        <f>H344+1/48</f>
        <v>36835.833333334165</v>
      </c>
      <c r="I345">
        <f t="shared" si="77"/>
        <v>10.3218</v>
      </c>
      <c r="J345">
        <f t="shared" si="78"/>
        <v>18.602399999999999</v>
      </c>
      <c r="K345">
        <f t="shared" si="79"/>
        <v>77.263400000000004</v>
      </c>
      <c r="L345">
        <f t="shared" si="80"/>
        <v>-4.7794763800000029</v>
      </c>
      <c r="M345">
        <f t="shared" si="81"/>
        <v>253.12899999999999</v>
      </c>
      <c r="O345">
        <v>310</v>
      </c>
      <c r="P345">
        <v>2000</v>
      </c>
      <c r="Q345">
        <v>0.54200000000000004</v>
      </c>
      <c r="R345">
        <f t="shared" si="83"/>
        <v>-0.53723721722331774</v>
      </c>
    </row>
    <row r="346" spans="1:18" x14ac:dyDescent="0.25">
      <c r="A346">
        <v>711</v>
      </c>
      <c r="B346">
        <v>114</v>
      </c>
      <c r="C346">
        <v>208</v>
      </c>
      <c r="D346">
        <v>638</v>
      </c>
      <c r="E346">
        <v>467</v>
      </c>
      <c r="F346">
        <v>681</v>
      </c>
      <c r="G346" t="s">
        <v>5</v>
      </c>
      <c r="H346" s="1">
        <f t="shared" si="82"/>
        <v>36835.854166667501</v>
      </c>
      <c r="I346">
        <f t="shared" si="77"/>
        <v>8.9044000000000008</v>
      </c>
      <c r="J346">
        <f t="shared" si="78"/>
        <v>15.9168</v>
      </c>
      <c r="K346">
        <f t="shared" si="79"/>
        <v>63.057599999999994</v>
      </c>
      <c r="L346">
        <f t="shared" si="80"/>
        <v>-4.0612482200000048</v>
      </c>
      <c r="M346">
        <f t="shared" si="81"/>
        <v>239.16899999999998</v>
      </c>
      <c r="O346">
        <v>310</v>
      </c>
      <c r="P346">
        <v>2030</v>
      </c>
      <c r="Q346">
        <v>0.55700000000000005</v>
      </c>
      <c r="R346">
        <f t="shared" si="83"/>
        <v>-0.55284369989269999</v>
      </c>
    </row>
    <row r="347" spans="1:18" x14ac:dyDescent="0.25">
      <c r="A347">
        <v>711</v>
      </c>
      <c r="B347">
        <v>123</v>
      </c>
      <c r="C347">
        <v>260</v>
      </c>
      <c r="D347">
        <v>842</v>
      </c>
      <c r="E347">
        <v>458</v>
      </c>
      <c r="F347">
        <v>705</v>
      </c>
      <c r="G347" t="s">
        <v>5</v>
      </c>
      <c r="H347" s="1">
        <f t="shared" si="82"/>
        <v>36835.875000000837</v>
      </c>
      <c r="I347">
        <f t="shared" si="77"/>
        <v>9.575800000000001</v>
      </c>
      <c r="J347">
        <f t="shared" si="78"/>
        <v>19.795999999999999</v>
      </c>
      <c r="K347">
        <f t="shared" si="79"/>
        <v>83.906400000000005</v>
      </c>
      <c r="L347">
        <f t="shared" si="80"/>
        <v>-4.8691647200000041</v>
      </c>
      <c r="M347">
        <f t="shared" si="81"/>
        <v>247.54499999999999</v>
      </c>
      <c r="O347">
        <v>310</v>
      </c>
      <c r="P347">
        <v>2100</v>
      </c>
      <c r="Q347">
        <v>0.56499999999999995</v>
      </c>
      <c r="R347">
        <f t="shared" si="83"/>
        <v>-0.55994151796515668</v>
      </c>
    </row>
    <row r="348" spans="1:18" x14ac:dyDescent="0.25">
      <c r="A348">
        <v>711</v>
      </c>
      <c r="B348">
        <v>65</v>
      </c>
      <c r="C348">
        <v>132</v>
      </c>
      <c r="D348">
        <v>552</v>
      </c>
      <c r="E348">
        <v>471</v>
      </c>
      <c r="F348">
        <v>597</v>
      </c>
      <c r="G348" t="s">
        <v>5</v>
      </c>
      <c r="H348" s="1">
        <f t="shared" si="82"/>
        <v>36835.895833334172</v>
      </c>
      <c r="I348">
        <f t="shared" si="77"/>
        <v>5.2490000000000006</v>
      </c>
      <c r="J348">
        <f t="shared" si="78"/>
        <v>10.247200000000001</v>
      </c>
      <c r="K348">
        <f t="shared" si="79"/>
        <v>54.2684</v>
      </c>
      <c r="L348">
        <f t="shared" si="80"/>
        <v>-3.7016531800000019</v>
      </c>
      <c r="M348">
        <f t="shared" si="81"/>
        <v>209.85299999999998</v>
      </c>
      <c r="O348">
        <v>310</v>
      </c>
      <c r="P348">
        <v>2130</v>
      </c>
      <c r="Q348">
        <v>0.57699999999999996</v>
      </c>
      <c r="R348">
        <f t="shared" si="83"/>
        <v>-0.57307699165249237</v>
      </c>
    </row>
    <row r="349" spans="1:18" x14ac:dyDescent="0.25">
      <c r="A349">
        <v>711</v>
      </c>
      <c r="B349">
        <v>90</v>
      </c>
      <c r="C349">
        <v>176</v>
      </c>
      <c r="D349">
        <v>912</v>
      </c>
      <c r="E349">
        <v>457</v>
      </c>
      <c r="F349">
        <v>768</v>
      </c>
      <c r="G349" t="s">
        <v>5</v>
      </c>
      <c r="H349" s="1">
        <f t="shared" si="82"/>
        <v>36835.916666667508</v>
      </c>
      <c r="I349">
        <f t="shared" si="77"/>
        <v>7.1140000000000008</v>
      </c>
      <c r="J349">
        <f t="shared" si="78"/>
        <v>13.5296</v>
      </c>
      <c r="K349">
        <f t="shared" si="79"/>
        <v>91.060400000000001</v>
      </c>
      <c r="L349">
        <f t="shared" si="80"/>
        <v>-4.9588330200000037</v>
      </c>
      <c r="M349">
        <f t="shared" si="81"/>
        <v>269.53199999999998</v>
      </c>
      <c r="O349">
        <v>310</v>
      </c>
      <c r="P349">
        <v>2200</v>
      </c>
      <c r="Q349">
        <v>0.57199999999999995</v>
      </c>
      <c r="R349">
        <f t="shared" si="83"/>
        <v>-0.56678410378926303</v>
      </c>
    </row>
    <row r="350" spans="1:18" x14ac:dyDescent="0.25">
      <c r="A350">
        <v>711</v>
      </c>
      <c r="B350">
        <v>81</v>
      </c>
      <c r="C350">
        <v>148</v>
      </c>
      <c r="D350">
        <v>834</v>
      </c>
      <c r="E350">
        <v>457</v>
      </c>
      <c r="F350">
        <v>789</v>
      </c>
      <c r="G350" t="s">
        <v>5</v>
      </c>
      <c r="H350" s="1">
        <f t="shared" si="82"/>
        <v>36835.937500000844</v>
      </c>
      <c r="I350">
        <f t="shared" si="77"/>
        <v>6.4426000000000005</v>
      </c>
      <c r="J350">
        <f t="shared" si="78"/>
        <v>11.440800000000001</v>
      </c>
      <c r="K350">
        <f t="shared" si="79"/>
        <v>83.088799999999992</v>
      </c>
      <c r="L350">
        <f t="shared" si="80"/>
        <v>-4.9588330200000037</v>
      </c>
      <c r="M350">
        <f t="shared" si="81"/>
        <v>276.86099999999999</v>
      </c>
      <c r="O350">
        <v>310</v>
      </c>
      <c r="P350">
        <v>2230</v>
      </c>
      <c r="Q350">
        <v>0.57199999999999995</v>
      </c>
      <c r="R350">
        <f t="shared" si="83"/>
        <v>-0.56678410378926303</v>
      </c>
    </row>
    <row r="351" spans="1:18" x14ac:dyDescent="0.25">
      <c r="A351">
        <v>711</v>
      </c>
      <c r="B351">
        <v>27</v>
      </c>
      <c r="C351">
        <v>64</v>
      </c>
      <c r="D351">
        <v>95</v>
      </c>
      <c r="E351">
        <v>464</v>
      </c>
      <c r="F351">
        <v>767</v>
      </c>
      <c r="G351" t="s">
        <v>5</v>
      </c>
      <c r="H351" s="1">
        <f t="shared" si="82"/>
        <v>36835.95833333418</v>
      </c>
      <c r="I351">
        <f t="shared" si="77"/>
        <v>2.4141999999999997</v>
      </c>
      <c r="J351">
        <f t="shared" si="78"/>
        <v>5.1744000000000003</v>
      </c>
      <c r="K351">
        <f t="shared" si="79"/>
        <v>7.5629999999999997</v>
      </c>
      <c r="L351">
        <f t="shared" si="80"/>
        <v>-4.3307340799999992</v>
      </c>
      <c r="M351">
        <f t="shared" si="81"/>
        <v>269.18299999999999</v>
      </c>
      <c r="O351">
        <v>310</v>
      </c>
      <c r="P351">
        <v>2300</v>
      </c>
      <c r="Q351">
        <v>0.57199999999999995</v>
      </c>
      <c r="R351">
        <f t="shared" si="83"/>
        <v>-0.56744741479267835</v>
      </c>
    </row>
    <row r="352" spans="1:18" x14ac:dyDescent="0.25">
      <c r="A352">
        <v>711</v>
      </c>
      <c r="B352">
        <v>61</v>
      </c>
      <c r="C352">
        <v>120</v>
      </c>
      <c r="D352">
        <v>805</v>
      </c>
      <c r="E352">
        <v>451</v>
      </c>
      <c r="F352">
        <v>773</v>
      </c>
      <c r="G352" t="s">
        <v>5</v>
      </c>
      <c r="H352" s="1">
        <f t="shared" si="82"/>
        <v>36835.979166667516</v>
      </c>
      <c r="I352">
        <f t="shared" si="77"/>
        <v>4.9506000000000006</v>
      </c>
      <c r="J352">
        <f t="shared" si="78"/>
        <v>9.3520000000000003</v>
      </c>
      <c r="K352">
        <f t="shared" si="79"/>
        <v>80.125</v>
      </c>
      <c r="L352">
        <f t="shared" si="80"/>
        <v>-5.4964219800000009</v>
      </c>
      <c r="M352">
        <f t="shared" si="81"/>
        <v>271.27699999999999</v>
      </c>
      <c r="O352">
        <v>310</v>
      </c>
      <c r="P352">
        <v>2330</v>
      </c>
      <c r="Q352">
        <v>0.57199999999999995</v>
      </c>
      <c r="R352">
        <f t="shared" si="83"/>
        <v>-0.56621575971455707</v>
      </c>
    </row>
    <row r="353" spans="1:18" x14ac:dyDescent="0.25">
      <c r="A353">
        <v>711</v>
      </c>
      <c r="B353">
        <v>77</v>
      </c>
      <c r="C353">
        <v>116</v>
      </c>
      <c r="D353">
        <v>835</v>
      </c>
      <c r="E353">
        <v>463</v>
      </c>
      <c r="F353">
        <v>757</v>
      </c>
      <c r="G353" t="s">
        <v>5</v>
      </c>
      <c r="H353" s="1">
        <f t="shared" si="82"/>
        <v>36836.000000000851</v>
      </c>
      <c r="I353">
        <f t="shared" si="77"/>
        <v>6.1442000000000005</v>
      </c>
      <c r="J353">
        <f t="shared" si="78"/>
        <v>9.0536000000000012</v>
      </c>
      <c r="K353">
        <f t="shared" si="79"/>
        <v>83.191000000000003</v>
      </c>
      <c r="L353">
        <f t="shared" si="80"/>
        <v>-4.4205226199999998</v>
      </c>
      <c r="M353">
        <f t="shared" si="81"/>
        <v>265.69299999999998</v>
      </c>
      <c r="O353">
        <v>310</v>
      </c>
      <c r="P353">
        <v>2400</v>
      </c>
      <c r="Q353">
        <v>0.57199999999999995</v>
      </c>
      <c r="R353">
        <f t="shared" si="83"/>
        <v>-0.56735264009354558</v>
      </c>
    </row>
    <row r="354" spans="1:18" x14ac:dyDescent="0.25">
      <c r="A354">
        <v>711</v>
      </c>
      <c r="B354">
        <v>56</v>
      </c>
      <c r="C354">
        <v>108</v>
      </c>
      <c r="D354">
        <v>352</v>
      </c>
      <c r="E354">
        <v>457</v>
      </c>
      <c r="F354">
        <v>785</v>
      </c>
      <c r="G354" t="s">
        <v>5</v>
      </c>
      <c r="H354" s="1">
        <f t="shared" si="82"/>
        <v>36836.020833334187</v>
      </c>
      <c r="I354">
        <f t="shared" si="77"/>
        <v>4.5776000000000003</v>
      </c>
      <c r="J354">
        <f t="shared" si="78"/>
        <v>8.4567999999999994</v>
      </c>
      <c r="K354">
        <f t="shared" si="79"/>
        <v>33.828400000000002</v>
      </c>
      <c r="L354">
        <f t="shared" si="80"/>
        <v>-4.9588330200000037</v>
      </c>
      <c r="M354">
        <f t="shared" si="81"/>
        <v>275.46499999999997</v>
      </c>
      <c r="O354">
        <v>311</v>
      </c>
      <c r="P354">
        <v>30</v>
      </c>
      <c r="Q354">
        <v>0.57199999999999995</v>
      </c>
      <c r="R354">
        <f t="shared" si="83"/>
        <v>-0.56678410378926303</v>
      </c>
    </row>
    <row r="355" spans="1:18" x14ac:dyDescent="0.25">
      <c r="A355">
        <v>711</v>
      </c>
      <c r="B355">
        <v>64</v>
      </c>
      <c r="C355">
        <v>160</v>
      </c>
      <c r="D355">
        <v>836</v>
      </c>
      <c r="E355">
        <v>451</v>
      </c>
      <c r="F355">
        <v>769</v>
      </c>
      <c r="G355" t="s">
        <v>5</v>
      </c>
      <c r="H355" s="1">
        <f t="shared" si="82"/>
        <v>36836.041666667523</v>
      </c>
      <c r="I355">
        <f t="shared" si="77"/>
        <v>5.1744000000000003</v>
      </c>
      <c r="J355">
        <f t="shared" si="78"/>
        <v>12.336</v>
      </c>
      <c r="K355">
        <f t="shared" si="79"/>
        <v>83.293199999999999</v>
      </c>
      <c r="L355">
        <f t="shared" si="80"/>
        <v>-5.4964219800000009</v>
      </c>
      <c r="M355">
        <f t="shared" si="81"/>
        <v>269.88099999999997</v>
      </c>
      <c r="O355">
        <v>311</v>
      </c>
      <c r="P355">
        <v>100</v>
      </c>
      <c r="Q355">
        <v>0.57199999999999995</v>
      </c>
      <c r="R355">
        <f t="shared" si="83"/>
        <v>-0.56621575971455707</v>
      </c>
    </row>
    <row r="356" spans="1:18" x14ac:dyDescent="0.25">
      <c r="A356">
        <v>711</v>
      </c>
      <c r="B356">
        <v>72</v>
      </c>
      <c r="C356">
        <v>124</v>
      </c>
      <c r="D356">
        <v>1015</v>
      </c>
      <c r="E356">
        <v>455</v>
      </c>
      <c r="F356">
        <v>821</v>
      </c>
      <c r="G356" t="s">
        <v>5</v>
      </c>
      <c r="H356" s="1">
        <f t="shared" si="82"/>
        <v>36836.062500000859</v>
      </c>
      <c r="I356">
        <f t="shared" si="77"/>
        <v>5.7712000000000003</v>
      </c>
      <c r="J356">
        <f t="shared" si="78"/>
        <v>9.6503999999999994</v>
      </c>
      <c r="K356">
        <f t="shared" si="79"/>
        <v>101.587</v>
      </c>
      <c r="L356">
        <f t="shared" si="80"/>
        <v>-5.1381095000000059</v>
      </c>
      <c r="M356">
        <f t="shared" si="81"/>
        <v>288.029</v>
      </c>
      <c r="O356">
        <v>311</v>
      </c>
      <c r="P356">
        <v>130</v>
      </c>
      <c r="Q356">
        <v>0.57499999999999996</v>
      </c>
      <c r="R356">
        <f t="shared" si="83"/>
        <v>-0.56956628455724745</v>
      </c>
    </row>
    <row r="357" spans="1:18" x14ac:dyDescent="0.25">
      <c r="A357">
        <v>711</v>
      </c>
      <c r="B357">
        <v>59</v>
      </c>
      <c r="C357">
        <v>116</v>
      </c>
      <c r="D357">
        <v>441</v>
      </c>
      <c r="E357">
        <v>455</v>
      </c>
      <c r="F357">
        <v>801</v>
      </c>
      <c r="G357" t="s">
        <v>5</v>
      </c>
      <c r="H357" s="1">
        <f t="shared" si="82"/>
        <v>36836.083333334194</v>
      </c>
      <c r="I357">
        <f t="shared" si="77"/>
        <v>4.8014000000000001</v>
      </c>
      <c r="J357">
        <f t="shared" si="78"/>
        <v>9.0536000000000012</v>
      </c>
      <c r="K357">
        <f t="shared" si="79"/>
        <v>42.924199999999999</v>
      </c>
      <c r="L357">
        <f t="shared" si="80"/>
        <v>-5.1381095000000059</v>
      </c>
      <c r="M357">
        <f t="shared" si="81"/>
        <v>281.04899999999998</v>
      </c>
      <c r="O357">
        <v>311</v>
      </c>
      <c r="P357">
        <v>200</v>
      </c>
      <c r="Q357">
        <v>0.57699999999999996</v>
      </c>
      <c r="R357">
        <f t="shared" si="83"/>
        <v>-0.57154738467744659</v>
      </c>
    </row>
    <row r="358" spans="1:18" x14ac:dyDescent="0.25">
      <c r="A358">
        <v>711</v>
      </c>
      <c r="B358">
        <v>49</v>
      </c>
      <c r="C358">
        <v>108</v>
      </c>
      <c r="D358">
        <v>818</v>
      </c>
      <c r="E358">
        <v>446</v>
      </c>
      <c r="F358">
        <v>769</v>
      </c>
      <c r="G358" t="s">
        <v>5</v>
      </c>
      <c r="H358" s="1">
        <f t="shared" si="82"/>
        <v>36836.10416666753</v>
      </c>
      <c r="I358">
        <f t="shared" si="77"/>
        <v>4.0554000000000006</v>
      </c>
      <c r="J358">
        <f t="shared" si="78"/>
        <v>8.4567999999999994</v>
      </c>
      <c r="K358">
        <f t="shared" si="79"/>
        <v>81.453599999999994</v>
      </c>
      <c r="L358">
        <f t="shared" si="80"/>
        <v>-5.9438616800000048</v>
      </c>
      <c r="M358">
        <f t="shared" si="81"/>
        <v>269.88099999999997</v>
      </c>
      <c r="O358">
        <v>311</v>
      </c>
      <c r="P358">
        <v>230</v>
      </c>
      <c r="Q358">
        <v>0.57699999999999996</v>
      </c>
      <c r="R358">
        <f t="shared" si="83"/>
        <v>-0.57068758662308328</v>
      </c>
    </row>
    <row r="359" spans="1:18" x14ac:dyDescent="0.25">
      <c r="A359">
        <v>711</v>
      </c>
      <c r="B359">
        <v>90</v>
      </c>
      <c r="C359">
        <v>136</v>
      </c>
      <c r="D359">
        <v>846</v>
      </c>
      <c r="E359">
        <v>446</v>
      </c>
      <c r="F359">
        <v>809</v>
      </c>
      <c r="G359" t="s">
        <v>5</v>
      </c>
      <c r="H359" s="1">
        <f t="shared" si="82"/>
        <v>36836.125000000866</v>
      </c>
      <c r="I359">
        <f t="shared" si="77"/>
        <v>7.1140000000000008</v>
      </c>
      <c r="J359">
        <f t="shared" si="78"/>
        <v>10.5456</v>
      </c>
      <c r="K359">
        <f t="shared" si="79"/>
        <v>84.315200000000004</v>
      </c>
      <c r="L359">
        <f t="shared" si="80"/>
        <v>-5.9438616800000048</v>
      </c>
      <c r="M359">
        <f t="shared" si="81"/>
        <v>283.84100000000001</v>
      </c>
      <c r="O359">
        <v>311</v>
      </c>
      <c r="P359">
        <v>300</v>
      </c>
      <c r="Q359">
        <v>0.57999999999999996</v>
      </c>
      <c r="R359">
        <f t="shared" si="83"/>
        <v>-0.57365476644954649</v>
      </c>
    </row>
    <row r="360" spans="1:18" x14ac:dyDescent="0.25">
      <c r="A360">
        <v>711</v>
      </c>
      <c r="B360">
        <v>54</v>
      </c>
      <c r="C360">
        <v>116</v>
      </c>
      <c r="D360">
        <v>487</v>
      </c>
      <c r="E360">
        <v>459</v>
      </c>
      <c r="F360">
        <v>745</v>
      </c>
      <c r="G360" t="s">
        <v>5</v>
      </c>
      <c r="H360" s="1">
        <f t="shared" si="82"/>
        <v>36836.145833334202</v>
      </c>
      <c r="I360">
        <f t="shared" si="77"/>
        <v>4.4283999999999999</v>
      </c>
      <c r="J360">
        <f t="shared" si="78"/>
        <v>9.0536000000000012</v>
      </c>
      <c r="K360">
        <f t="shared" si="79"/>
        <v>47.625399999999999</v>
      </c>
      <c r="L360">
        <f t="shared" si="80"/>
        <v>-4.7794763800000029</v>
      </c>
      <c r="M360">
        <f t="shared" si="81"/>
        <v>261.505</v>
      </c>
      <c r="O360">
        <v>311</v>
      </c>
      <c r="P360">
        <v>330</v>
      </c>
      <c r="Q360">
        <v>0.57999999999999996</v>
      </c>
      <c r="R360">
        <f t="shared" si="83"/>
        <v>-0.57490329518362404</v>
      </c>
    </row>
    <row r="361" spans="1:18" x14ac:dyDescent="0.25">
      <c r="A361">
        <v>711</v>
      </c>
      <c r="B361">
        <v>81</v>
      </c>
      <c r="C361">
        <v>128</v>
      </c>
      <c r="D361">
        <v>450</v>
      </c>
      <c r="E361">
        <v>450</v>
      </c>
      <c r="F361">
        <v>761</v>
      </c>
      <c r="G361" t="s">
        <v>5</v>
      </c>
      <c r="H361" s="1">
        <f t="shared" si="82"/>
        <v>36836.166666667537</v>
      </c>
      <c r="I361">
        <f t="shared" si="77"/>
        <v>6.4426000000000005</v>
      </c>
      <c r="J361">
        <f t="shared" si="78"/>
        <v>9.9488000000000003</v>
      </c>
      <c r="K361">
        <f t="shared" si="79"/>
        <v>43.844000000000001</v>
      </c>
      <c r="L361">
        <f t="shared" si="80"/>
        <v>-5.5859500000000022</v>
      </c>
      <c r="M361">
        <f t="shared" si="81"/>
        <v>267.089</v>
      </c>
      <c r="O361">
        <v>311</v>
      </c>
      <c r="P361">
        <v>400</v>
      </c>
      <c r="Q361">
        <v>0.57999999999999996</v>
      </c>
      <c r="R361">
        <f t="shared" si="83"/>
        <v>-0.57403883141680667</v>
      </c>
    </row>
    <row r="362" spans="1:18" x14ac:dyDescent="0.25">
      <c r="A362">
        <v>711</v>
      </c>
      <c r="B362">
        <v>51</v>
      </c>
      <c r="C362">
        <v>88</v>
      </c>
      <c r="D362">
        <v>847</v>
      </c>
      <c r="E362">
        <v>439</v>
      </c>
      <c r="F362">
        <v>775</v>
      </c>
      <c r="G362" t="s">
        <v>5</v>
      </c>
      <c r="H362" s="1">
        <f t="shared" si="82"/>
        <v>36836.187500000873</v>
      </c>
      <c r="I362">
        <f t="shared" si="77"/>
        <v>4.2046000000000001</v>
      </c>
      <c r="J362">
        <f t="shared" si="78"/>
        <v>6.9648000000000003</v>
      </c>
      <c r="K362">
        <f t="shared" si="79"/>
        <v>84.417400000000001</v>
      </c>
      <c r="L362">
        <f t="shared" si="80"/>
        <v>-6.5694355800000022</v>
      </c>
      <c r="M362">
        <f t="shared" si="81"/>
        <v>271.97499999999997</v>
      </c>
      <c r="O362">
        <v>311</v>
      </c>
      <c r="P362">
        <v>430</v>
      </c>
      <c r="Q362">
        <v>0.57699999999999996</v>
      </c>
      <c r="R362">
        <f t="shared" si="83"/>
        <v>-0.57001915800884462</v>
      </c>
    </row>
    <row r="363" spans="1:18" x14ac:dyDescent="0.25">
      <c r="A363">
        <v>711</v>
      </c>
      <c r="B363">
        <v>86</v>
      </c>
      <c r="C363">
        <v>132</v>
      </c>
      <c r="D363">
        <v>874</v>
      </c>
      <c r="E363">
        <v>446</v>
      </c>
      <c r="F363">
        <v>793</v>
      </c>
      <c r="G363" t="s">
        <v>5</v>
      </c>
      <c r="H363" s="1">
        <f t="shared" si="82"/>
        <v>36836.208333334209</v>
      </c>
      <c r="I363">
        <f t="shared" si="77"/>
        <v>6.8155999999999999</v>
      </c>
      <c r="J363">
        <f t="shared" si="78"/>
        <v>10.247200000000001</v>
      </c>
      <c r="K363">
        <f t="shared" si="79"/>
        <v>87.1768</v>
      </c>
      <c r="L363">
        <f t="shared" si="80"/>
        <v>-5.9438616800000048</v>
      </c>
      <c r="M363">
        <f t="shared" si="81"/>
        <v>278.25700000000001</v>
      </c>
      <c r="O363">
        <v>311</v>
      </c>
      <c r="P363">
        <v>500</v>
      </c>
      <c r="Q363">
        <v>0.58199999999999996</v>
      </c>
      <c r="R363">
        <f t="shared" si="83"/>
        <v>-0.57563288633385523</v>
      </c>
    </row>
    <row r="364" spans="1:18" x14ac:dyDescent="0.25">
      <c r="A364">
        <v>711</v>
      </c>
      <c r="B364">
        <v>43</v>
      </c>
      <c r="C364">
        <v>92</v>
      </c>
      <c r="D364">
        <v>537</v>
      </c>
      <c r="E364">
        <v>450</v>
      </c>
      <c r="F364">
        <v>749</v>
      </c>
      <c r="G364" t="s">
        <v>5</v>
      </c>
      <c r="H364" s="1">
        <f t="shared" si="82"/>
        <v>36836.229166667545</v>
      </c>
      <c r="I364">
        <f t="shared" si="77"/>
        <v>3.6077999999999997</v>
      </c>
      <c r="J364">
        <f t="shared" si="78"/>
        <v>7.2632000000000003</v>
      </c>
      <c r="K364">
        <f t="shared" si="79"/>
        <v>52.735399999999998</v>
      </c>
      <c r="L364">
        <f t="shared" si="80"/>
        <v>-5.5859500000000022</v>
      </c>
      <c r="M364">
        <f t="shared" si="81"/>
        <v>262.90100000000001</v>
      </c>
      <c r="O364">
        <v>311</v>
      </c>
      <c r="P364">
        <v>530</v>
      </c>
      <c r="Q364">
        <v>0.57999999999999996</v>
      </c>
      <c r="R364">
        <f t="shared" si="83"/>
        <v>-0.57403883141680667</v>
      </c>
    </row>
    <row r="365" spans="1:18" x14ac:dyDescent="0.25">
      <c r="A365">
        <v>711</v>
      </c>
      <c r="B365">
        <v>74</v>
      </c>
      <c r="C365">
        <v>100</v>
      </c>
      <c r="D365">
        <v>518</v>
      </c>
      <c r="E365">
        <v>451</v>
      </c>
      <c r="F365">
        <v>789</v>
      </c>
      <c r="G365" t="s">
        <v>5</v>
      </c>
      <c r="H365" s="1">
        <f t="shared" si="82"/>
        <v>36836.25000000088</v>
      </c>
      <c r="I365">
        <f t="shared" si="77"/>
        <v>5.9204000000000008</v>
      </c>
      <c r="J365">
        <f t="shared" si="78"/>
        <v>7.86</v>
      </c>
      <c r="K365">
        <f t="shared" si="79"/>
        <v>50.793599999999998</v>
      </c>
      <c r="L365">
        <f t="shared" si="80"/>
        <v>-5.4964219800000009</v>
      </c>
      <c r="M365">
        <f t="shared" si="81"/>
        <v>276.86099999999999</v>
      </c>
      <c r="O365">
        <v>311</v>
      </c>
      <c r="P365">
        <v>600</v>
      </c>
      <c r="Q365">
        <v>0.57999999999999996</v>
      </c>
      <c r="R365">
        <f t="shared" si="83"/>
        <v>-0.57413486124902635</v>
      </c>
    </row>
    <row r="366" spans="1:18" x14ac:dyDescent="0.25">
      <c r="A366">
        <v>711</v>
      </c>
      <c r="B366">
        <v>45</v>
      </c>
      <c r="C366">
        <v>96</v>
      </c>
      <c r="D366">
        <v>128</v>
      </c>
      <c r="E366">
        <v>462</v>
      </c>
      <c r="F366">
        <v>765</v>
      </c>
      <c r="G366" t="s">
        <v>5</v>
      </c>
      <c r="H366" s="1">
        <f t="shared" si="82"/>
        <v>36836.270833334216</v>
      </c>
      <c r="I366">
        <f t="shared" si="77"/>
        <v>3.7570000000000001</v>
      </c>
      <c r="J366">
        <f t="shared" si="78"/>
        <v>7.5616000000000003</v>
      </c>
      <c r="K366">
        <f t="shared" si="79"/>
        <v>10.935600000000001</v>
      </c>
      <c r="L366">
        <f t="shared" si="80"/>
        <v>-4.5102911200000007</v>
      </c>
      <c r="M366">
        <f t="shared" si="81"/>
        <v>268.48499999999996</v>
      </c>
      <c r="O366">
        <v>311</v>
      </c>
      <c r="P366">
        <v>630</v>
      </c>
      <c r="Q366">
        <v>0.57699999999999996</v>
      </c>
      <c r="R366">
        <f t="shared" si="83"/>
        <v>-0.57221641853904437</v>
      </c>
    </row>
    <row r="367" spans="1:18" x14ac:dyDescent="0.25">
      <c r="A367">
        <v>711</v>
      </c>
      <c r="B367">
        <v>29</v>
      </c>
      <c r="C367">
        <v>68</v>
      </c>
      <c r="D367">
        <v>874</v>
      </c>
      <c r="E367">
        <v>459</v>
      </c>
      <c r="F367">
        <v>765</v>
      </c>
      <c r="G367" t="s">
        <v>5</v>
      </c>
      <c r="H367" s="1">
        <f t="shared" si="82"/>
        <v>36836.291666667552</v>
      </c>
      <c r="I367">
        <f t="shared" si="77"/>
        <v>2.5634000000000001</v>
      </c>
      <c r="J367">
        <f t="shared" si="78"/>
        <v>5.4728000000000003</v>
      </c>
      <c r="K367">
        <f t="shared" si="79"/>
        <v>87.1768</v>
      </c>
      <c r="L367">
        <f t="shared" si="80"/>
        <v>-4.7794763800000029</v>
      </c>
      <c r="M367">
        <f t="shared" si="81"/>
        <v>268.48499999999996</v>
      </c>
      <c r="O367">
        <v>311</v>
      </c>
      <c r="P367">
        <v>700</v>
      </c>
      <c r="Q367">
        <v>0.57699999999999996</v>
      </c>
      <c r="R367">
        <f t="shared" si="83"/>
        <v>-0.57192965744991564</v>
      </c>
    </row>
    <row r="368" spans="1:18" x14ac:dyDescent="0.25">
      <c r="A368">
        <v>711</v>
      </c>
      <c r="B368">
        <v>20</v>
      </c>
      <c r="C368">
        <v>56</v>
      </c>
      <c r="D368">
        <v>378</v>
      </c>
      <c r="E368">
        <v>465</v>
      </c>
      <c r="F368">
        <v>745</v>
      </c>
      <c r="G368" t="s">
        <v>5</v>
      </c>
      <c r="H368" s="1">
        <f t="shared" si="82"/>
        <v>36836.312500000888</v>
      </c>
      <c r="I368">
        <f t="shared" si="77"/>
        <v>1.8919999999999999</v>
      </c>
      <c r="J368">
        <f t="shared" si="78"/>
        <v>4.5776000000000003</v>
      </c>
      <c r="K368">
        <f t="shared" si="79"/>
        <v>36.485599999999998</v>
      </c>
      <c r="L368">
        <f t="shared" si="80"/>
        <v>-4.2409255000000057</v>
      </c>
      <c r="M368">
        <f t="shared" si="81"/>
        <v>261.505</v>
      </c>
      <c r="O368">
        <v>311</v>
      </c>
      <c r="P368">
        <v>730</v>
      </c>
      <c r="Q368">
        <v>0.57699999999999996</v>
      </c>
      <c r="R368">
        <f t="shared" si="83"/>
        <v>-0.5725032279842539</v>
      </c>
    </row>
    <row r="369" spans="1:18" x14ac:dyDescent="0.25">
      <c r="A369">
        <v>711</v>
      </c>
      <c r="B369">
        <v>48</v>
      </c>
      <c r="C369">
        <v>76</v>
      </c>
      <c r="D369">
        <v>568</v>
      </c>
      <c r="E369">
        <v>463</v>
      </c>
      <c r="F369">
        <v>776</v>
      </c>
      <c r="G369" t="s">
        <v>5</v>
      </c>
      <c r="H369" s="1">
        <f t="shared" si="82"/>
        <v>36836.333333334223</v>
      </c>
      <c r="I369">
        <f t="shared" si="77"/>
        <v>3.9807999999999999</v>
      </c>
      <c r="J369">
        <f t="shared" si="78"/>
        <v>6.0696000000000003</v>
      </c>
      <c r="K369">
        <f t="shared" si="79"/>
        <v>55.903599999999997</v>
      </c>
      <c r="L369">
        <f t="shared" si="80"/>
        <v>-4.4205226199999998</v>
      </c>
      <c r="M369">
        <f t="shared" si="81"/>
        <v>272.32399999999996</v>
      </c>
      <c r="O369">
        <v>311</v>
      </c>
      <c r="P369">
        <v>800</v>
      </c>
      <c r="Q369">
        <v>0.57699999999999996</v>
      </c>
      <c r="R369">
        <f t="shared" si="83"/>
        <v>-0.57231201631813955</v>
      </c>
    </row>
    <row r="370" spans="1:18" x14ac:dyDescent="0.25">
      <c r="A370">
        <v>711</v>
      </c>
      <c r="B370">
        <v>41</v>
      </c>
      <c r="C370">
        <v>68</v>
      </c>
      <c r="D370">
        <v>456</v>
      </c>
      <c r="E370">
        <v>469</v>
      </c>
      <c r="F370">
        <v>773</v>
      </c>
      <c r="G370" t="s">
        <v>5</v>
      </c>
      <c r="H370" s="1">
        <f t="shared" si="82"/>
        <v>36836.354166667559</v>
      </c>
      <c r="I370">
        <f t="shared" si="77"/>
        <v>3.4586000000000001</v>
      </c>
      <c r="J370">
        <f t="shared" si="78"/>
        <v>5.4728000000000003</v>
      </c>
      <c r="K370">
        <f t="shared" si="79"/>
        <v>44.4572</v>
      </c>
      <c r="L370">
        <f t="shared" si="80"/>
        <v>-3.8814907800000031</v>
      </c>
      <c r="M370">
        <f t="shared" si="81"/>
        <v>271.27699999999999</v>
      </c>
      <c r="O370">
        <v>311</v>
      </c>
      <c r="P370">
        <v>830</v>
      </c>
      <c r="Q370">
        <v>0.57699999999999996</v>
      </c>
      <c r="R370">
        <f t="shared" si="83"/>
        <v>-0.57288571567290703</v>
      </c>
    </row>
    <row r="371" spans="1:18" x14ac:dyDescent="0.25">
      <c r="A371">
        <v>711</v>
      </c>
      <c r="B371">
        <v>30</v>
      </c>
      <c r="C371">
        <v>60</v>
      </c>
      <c r="D371">
        <v>722</v>
      </c>
      <c r="E371">
        <v>474</v>
      </c>
      <c r="F371">
        <v>776</v>
      </c>
      <c r="G371" t="s">
        <v>5</v>
      </c>
      <c r="H371" s="1">
        <f t="shared" si="82"/>
        <v>36836.375000000895</v>
      </c>
      <c r="I371">
        <f t="shared" si="77"/>
        <v>2.6379999999999999</v>
      </c>
      <c r="J371">
        <f t="shared" si="78"/>
        <v>4.8760000000000003</v>
      </c>
      <c r="K371">
        <f t="shared" si="79"/>
        <v>71.642399999999995</v>
      </c>
      <c r="L371">
        <f t="shared" si="80"/>
        <v>-3.4317464799999997</v>
      </c>
      <c r="M371">
        <f t="shared" si="81"/>
        <v>272.32399999999996</v>
      </c>
      <c r="O371">
        <v>311</v>
      </c>
      <c r="P371">
        <v>900</v>
      </c>
      <c r="Q371">
        <v>0.57699999999999996</v>
      </c>
      <c r="R371">
        <f t="shared" si="83"/>
        <v>-0.57336394573064264</v>
      </c>
    </row>
    <row r="372" spans="1:18" x14ac:dyDescent="0.25">
      <c r="A372">
        <v>711</v>
      </c>
      <c r="B372">
        <v>19</v>
      </c>
      <c r="C372">
        <v>36</v>
      </c>
      <c r="D372">
        <v>631</v>
      </c>
      <c r="E372">
        <v>478</v>
      </c>
      <c r="F372">
        <v>784</v>
      </c>
      <c r="G372" t="s">
        <v>5</v>
      </c>
      <c r="H372" s="1">
        <f t="shared" si="82"/>
        <v>36836.395833334231</v>
      </c>
      <c r="I372">
        <f t="shared" si="77"/>
        <v>1.8174000000000001</v>
      </c>
      <c r="J372">
        <f t="shared" si="78"/>
        <v>3.0855999999999999</v>
      </c>
      <c r="K372">
        <f t="shared" si="79"/>
        <v>62.342200000000005</v>
      </c>
      <c r="L372">
        <f t="shared" si="80"/>
        <v>-3.0715903200000039</v>
      </c>
      <c r="M372">
        <f t="shared" si="81"/>
        <v>275.11599999999999</v>
      </c>
      <c r="O372">
        <v>311</v>
      </c>
      <c r="P372">
        <v>930</v>
      </c>
      <c r="Q372">
        <v>0.57699999999999996</v>
      </c>
      <c r="R372">
        <f t="shared" si="83"/>
        <v>-0.57374662592554482</v>
      </c>
    </row>
    <row r="373" spans="1:18" x14ac:dyDescent="0.25">
      <c r="A373">
        <v>711</v>
      </c>
      <c r="B373">
        <v>25</v>
      </c>
      <c r="C373">
        <v>60</v>
      </c>
      <c r="D373">
        <v>863</v>
      </c>
      <c r="E373">
        <v>475</v>
      </c>
      <c r="F373">
        <v>825</v>
      </c>
      <c r="G373" t="s">
        <v>5</v>
      </c>
      <c r="H373" s="1">
        <f t="shared" si="82"/>
        <v>36836.416666667566</v>
      </c>
      <c r="I373">
        <f t="shared" si="77"/>
        <v>2.2650000000000001</v>
      </c>
      <c r="J373">
        <f t="shared" si="78"/>
        <v>4.8760000000000003</v>
      </c>
      <c r="K373">
        <f t="shared" si="79"/>
        <v>86.052599999999998</v>
      </c>
      <c r="L373">
        <f t="shared" si="80"/>
        <v>-3.3417374999999989</v>
      </c>
      <c r="M373">
        <f t="shared" si="81"/>
        <v>289.42499999999995</v>
      </c>
      <c r="O373">
        <v>311</v>
      </c>
      <c r="P373">
        <v>1000</v>
      </c>
      <c r="Q373">
        <v>0.57699999999999996</v>
      </c>
      <c r="R373">
        <f t="shared" si="83"/>
        <v>-0.57345960777499472</v>
      </c>
    </row>
    <row r="374" spans="1:18" x14ac:dyDescent="0.25">
      <c r="A374">
        <v>711</v>
      </c>
      <c r="B374">
        <v>24</v>
      </c>
      <c r="C374">
        <v>64</v>
      </c>
      <c r="D374">
        <v>848</v>
      </c>
      <c r="E374">
        <v>489</v>
      </c>
      <c r="F374">
        <v>821</v>
      </c>
      <c r="G374" t="s">
        <v>5</v>
      </c>
      <c r="H374" s="1">
        <f t="shared" si="82"/>
        <v>36836.437500000902</v>
      </c>
      <c r="I374">
        <f t="shared" si="77"/>
        <v>2.1903999999999999</v>
      </c>
      <c r="J374">
        <f t="shared" si="78"/>
        <v>5.1744000000000003</v>
      </c>
      <c r="K374">
        <f t="shared" si="79"/>
        <v>84.519599999999997</v>
      </c>
      <c r="L374">
        <f t="shared" si="80"/>
        <v>-2.0795075800000036</v>
      </c>
      <c r="M374">
        <f t="shared" si="81"/>
        <v>288.029</v>
      </c>
      <c r="O374">
        <v>311</v>
      </c>
      <c r="P374">
        <v>1030</v>
      </c>
      <c r="Q374">
        <v>0.57499999999999996</v>
      </c>
      <c r="R374">
        <f t="shared" si="83"/>
        <v>-0.57280706328203557</v>
      </c>
    </row>
    <row r="375" spans="1:18" x14ac:dyDescent="0.25">
      <c r="A375">
        <v>711</v>
      </c>
      <c r="B375">
        <v>33</v>
      </c>
      <c r="C375">
        <v>100</v>
      </c>
      <c r="D375">
        <v>919</v>
      </c>
      <c r="E375">
        <v>492</v>
      </c>
      <c r="F375">
        <v>837</v>
      </c>
      <c r="G375" t="s">
        <v>5</v>
      </c>
      <c r="H375" s="1">
        <f t="shared" si="82"/>
        <v>36836.458333334238</v>
      </c>
      <c r="I375">
        <f t="shared" si="77"/>
        <v>2.8618000000000001</v>
      </c>
      <c r="J375">
        <f t="shared" si="78"/>
        <v>7.86</v>
      </c>
      <c r="K375">
        <f t="shared" si="79"/>
        <v>91.775800000000004</v>
      </c>
      <c r="L375">
        <f t="shared" si="80"/>
        <v>-1.8085187200000017</v>
      </c>
      <c r="M375">
        <f t="shared" si="81"/>
        <v>293.613</v>
      </c>
      <c r="O375">
        <v>311</v>
      </c>
      <c r="P375">
        <v>1100</v>
      </c>
      <c r="Q375">
        <v>0.57199999999999995</v>
      </c>
      <c r="R375">
        <f t="shared" si="83"/>
        <v>-0.57010325699454489</v>
      </c>
    </row>
    <row r="376" spans="1:18" x14ac:dyDescent="0.25">
      <c r="A376">
        <v>711</v>
      </c>
      <c r="B376">
        <v>67</v>
      </c>
      <c r="C376">
        <v>120</v>
      </c>
      <c r="D376">
        <v>970</v>
      </c>
      <c r="E376">
        <v>494</v>
      </c>
      <c r="F376">
        <v>873</v>
      </c>
      <c r="G376" t="s">
        <v>5</v>
      </c>
      <c r="H376" s="1">
        <f t="shared" si="82"/>
        <v>36836.479166667574</v>
      </c>
      <c r="I376">
        <f t="shared" si="77"/>
        <v>5.3982000000000001</v>
      </c>
      <c r="J376">
        <f t="shared" si="78"/>
        <v>9.3520000000000003</v>
      </c>
      <c r="K376">
        <f t="shared" si="79"/>
        <v>96.988</v>
      </c>
      <c r="L376">
        <f t="shared" si="80"/>
        <v>-1.6277592800000003</v>
      </c>
      <c r="M376">
        <f t="shared" si="81"/>
        <v>306.17699999999996</v>
      </c>
      <c r="O376">
        <v>311</v>
      </c>
      <c r="P376">
        <v>1130</v>
      </c>
      <c r="Q376">
        <v>0.57199999999999995</v>
      </c>
      <c r="R376">
        <f t="shared" si="83"/>
        <v>-0.57029311810286765</v>
      </c>
    </row>
    <row r="377" spans="1:18" x14ac:dyDescent="0.25">
      <c r="A377">
        <v>711</v>
      </c>
      <c r="B377">
        <v>42</v>
      </c>
      <c r="C377">
        <v>108</v>
      </c>
      <c r="D377">
        <v>754</v>
      </c>
      <c r="E377">
        <v>497</v>
      </c>
      <c r="F377">
        <v>851</v>
      </c>
      <c r="G377" t="s">
        <v>5</v>
      </c>
      <c r="H377" s="1">
        <f t="shared" si="82"/>
        <v>36836.500000000909</v>
      </c>
      <c r="I377">
        <f t="shared" si="77"/>
        <v>3.5331999999999999</v>
      </c>
      <c r="J377">
        <f t="shared" si="78"/>
        <v>8.4567999999999994</v>
      </c>
      <c r="K377">
        <f t="shared" si="79"/>
        <v>74.912800000000004</v>
      </c>
      <c r="L377">
        <f t="shared" si="80"/>
        <v>-1.3564698200000054</v>
      </c>
      <c r="M377">
        <f t="shared" si="81"/>
        <v>298.49899999999997</v>
      </c>
      <c r="O377">
        <v>311</v>
      </c>
      <c r="P377">
        <v>1200</v>
      </c>
      <c r="Q377">
        <v>0.57199999999999995</v>
      </c>
      <c r="R377">
        <f t="shared" si="83"/>
        <v>-0.57057794907190285</v>
      </c>
    </row>
    <row r="378" spans="1:18" x14ac:dyDescent="0.25">
      <c r="A378">
        <v>711</v>
      </c>
      <c r="B378">
        <v>25</v>
      </c>
      <c r="C378">
        <v>84</v>
      </c>
      <c r="D378">
        <v>561</v>
      </c>
      <c r="E378">
        <v>504</v>
      </c>
      <c r="F378">
        <v>868</v>
      </c>
      <c r="G378" t="s">
        <v>5</v>
      </c>
      <c r="H378" s="1">
        <f t="shared" si="82"/>
        <v>36836.520833334245</v>
      </c>
      <c r="I378">
        <f t="shared" ref="I378:J381" si="84">0.4+0.0746*B378</f>
        <v>2.2650000000000001</v>
      </c>
      <c r="J378">
        <f t="shared" si="84"/>
        <v>6.6664000000000003</v>
      </c>
      <c r="K378">
        <f t="shared" ref="K378:K385" si="85">-2.146+0.1022*D378</f>
        <v>55.188200000000002</v>
      </c>
      <c r="L378">
        <f t="shared" ref="L378:L385" si="86">-43.84+0.0805*E378+0.00001002*E378^2</f>
        <v>-0.72275968000000068</v>
      </c>
      <c r="M378">
        <f t="shared" ref="M378:M385" si="87">1.5+0.349*F378</f>
        <v>304.43199999999996</v>
      </c>
      <c r="O378">
        <v>311</v>
      </c>
      <c r="P378">
        <v>1230</v>
      </c>
      <c r="Q378">
        <v>0.57199999999999995</v>
      </c>
      <c r="R378">
        <f t="shared" si="83"/>
        <v>-0.57124273773101886</v>
      </c>
    </row>
    <row r="379" spans="1:18" x14ac:dyDescent="0.25">
      <c r="A379">
        <v>11</v>
      </c>
      <c r="B379">
        <v>23</v>
      </c>
      <c r="C379">
        <v>60</v>
      </c>
      <c r="D379">
        <v>564</v>
      </c>
      <c r="E379">
        <v>500</v>
      </c>
      <c r="F379">
        <v>813</v>
      </c>
      <c r="G379" t="s">
        <v>5</v>
      </c>
      <c r="H379" s="1">
        <f t="shared" si="82"/>
        <v>36836.541666667581</v>
      </c>
      <c r="I379">
        <f t="shared" si="84"/>
        <v>2.1158000000000001</v>
      </c>
      <c r="J379">
        <f t="shared" si="84"/>
        <v>4.8760000000000003</v>
      </c>
      <c r="K379">
        <f t="shared" si="85"/>
        <v>55.494799999999998</v>
      </c>
      <c r="L379">
        <f t="shared" si="86"/>
        <v>-1.0850000000000031</v>
      </c>
      <c r="M379">
        <f t="shared" si="87"/>
        <v>285.23699999999997</v>
      </c>
      <c r="O379">
        <v>311</v>
      </c>
      <c r="P379">
        <v>1300</v>
      </c>
      <c r="Q379">
        <v>0.57199999999999995</v>
      </c>
      <c r="R379">
        <f t="shared" si="83"/>
        <v>-0.57086282714604042</v>
      </c>
    </row>
    <row r="380" spans="1:18" x14ac:dyDescent="0.25">
      <c r="A380">
        <v>11</v>
      </c>
      <c r="B380">
        <v>35</v>
      </c>
      <c r="C380">
        <v>68</v>
      </c>
      <c r="D380">
        <v>431</v>
      </c>
      <c r="E380">
        <v>504</v>
      </c>
      <c r="F380">
        <v>812</v>
      </c>
      <c r="G380" t="s">
        <v>5</v>
      </c>
      <c r="H380" s="1">
        <f t="shared" si="82"/>
        <v>36836.562500000917</v>
      </c>
      <c r="I380">
        <f t="shared" si="84"/>
        <v>3.0109999999999997</v>
      </c>
      <c r="J380">
        <f t="shared" si="84"/>
        <v>5.4728000000000003</v>
      </c>
      <c r="K380">
        <f t="shared" si="85"/>
        <v>41.902200000000001</v>
      </c>
      <c r="L380">
        <f t="shared" si="86"/>
        <v>-0.72275968000000068</v>
      </c>
      <c r="M380">
        <f t="shared" si="87"/>
        <v>284.88799999999998</v>
      </c>
      <c r="O380">
        <v>311</v>
      </c>
      <c r="P380">
        <v>1330</v>
      </c>
      <c r="Q380">
        <v>0.57199999999999995</v>
      </c>
      <c r="R380">
        <f t="shared" si="83"/>
        <v>-0.57124273773101886</v>
      </c>
    </row>
    <row r="381" spans="1:18" x14ac:dyDescent="0.25">
      <c r="A381">
        <v>11</v>
      </c>
      <c r="B381">
        <v>41</v>
      </c>
      <c r="C381">
        <v>84</v>
      </c>
      <c r="D381">
        <v>471</v>
      </c>
      <c r="E381">
        <v>504</v>
      </c>
      <c r="F381">
        <v>837</v>
      </c>
      <c r="G381" t="s">
        <v>5</v>
      </c>
      <c r="H381" s="1">
        <f t="shared" ref="H381:H442" si="88">H380+1/48</f>
        <v>36836.583333334253</v>
      </c>
      <c r="I381">
        <f t="shared" si="84"/>
        <v>3.4586000000000001</v>
      </c>
      <c r="J381">
        <f t="shared" si="84"/>
        <v>6.6664000000000003</v>
      </c>
      <c r="K381">
        <f t="shared" si="85"/>
        <v>45.990200000000002</v>
      </c>
      <c r="L381">
        <f t="shared" si="86"/>
        <v>-0.72275968000000068</v>
      </c>
      <c r="M381">
        <f t="shared" si="87"/>
        <v>293.613</v>
      </c>
      <c r="O381">
        <v>311</v>
      </c>
      <c r="P381">
        <v>1400</v>
      </c>
      <c r="Q381">
        <v>0.57199999999999995</v>
      </c>
      <c r="R381">
        <f t="shared" si="83"/>
        <v>-0.57124273773101886</v>
      </c>
    </row>
    <row r="382" spans="1:18" x14ac:dyDescent="0.25">
      <c r="A382">
        <v>11</v>
      </c>
      <c r="B382">
        <v>26</v>
      </c>
      <c r="C382">
        <v>60</v>
      </c>
      <c r="D382">
        <v>308</v>
      </c>
      <c r="E382">
        <v>509</v>
      </c>
      <c r="F382">
        <v>844</v>
      </c>
      <c r="G382" t="s">
        <v>5</v>
      </c>
      <c r="H382" s="1">
        <f t="shared" si="88"/>
        <v>36836.604166667588</v>
      </c>
      <c r="I382">
        <f t="shared" ref="I382:J395" si="89">0.4+0.0746*B382</f>
        <v>2.3395999999999999</v>
      </c>
      <c r="J382">
        <f t="shared" si="89"/>
        <v>4.8760000000000003</v>
      </c>
      <c r="K382">
        <f t="shared" si="85"/>
        <v>29.331599999999998</v>
      </c>
      <c r="L382">
        <f t="shared" si="86"/>
        <v>-0.26950838000000443</v>
      </c>
      <c r="M382">
        <f t="shared" si="87"/>
        <v>296.05599999999998</v>
      </c>
      <c r="O382">
        <v>311</v>
      </c>
      <c r="P382">
        <v>1430</v>
      </c>
      <c r="Q382">
        <v>0.57199999999999995</v>
      </c>
      <c r="R382">
        <f t="shared" si="83"/>
        <v>-0.57171774329485558</v>
      </c>
    </row>
    <row r="383" spans="1:18" x14ac:dyDescent="0.25">
      <c r="A383">
        <v>11</v>
      </c>
      <c r="B383">
        <v>17</v>
      </c>
      <c r="C383">
        <v>52</v>
      </c>
      <c r="D383">
        <v>675</v>
      </c>
      <c r="E383">
        <v>523</v>
      </c>
      <c r="F383">
        <v>857</v>
      </c>
      <c r="G383" t="s">
        <v>5</v>
      </c>
      <c r="H383" s="1">
        <f t="shared" si="88"/>
        <v>36836.625000000924</v>
      </c>
      <c r="I383">
        <f t="shared" si="89"/>
        <v>1.6682000000000001</v>
      </c>
      <c r="J383">
        <f t="shared" si="89"/>
        <v>4.2792000000000003</v>
      </c>
      <c r="K383">
        <f t="shared" si="85"/>
        <v>66.838999999999999</v>
      </c>
      <c r="L383">
        <f t="shared" si="86"/>
        <v>1.0022605799999984</v>
      </c>
      <c r="M383">
        <f t="shared" si="87"/>
        <v>300.59299999999996</v>
      </c>
      <c r="O383">
        <v>311</v>
      </c>
      <c r="P383">
        <v>1500</v>
      </c>
      <c r="Q383">
        <v>0.57499999999999996</v>
      </c>
      <c r="R383">
        <f t="shared" si="83"/>
        <v>-0.57605394865735327</v>
      </c>
    </row>
    <row r="384" spans="1:18" x14ac:dyDescent="0.25">
      <c r="A384">
        <v>11</v>
      </c>
      <c r="B384">
        <v>34</v>
      </c>
      <c r="C384">
        <v>104</v>
      </c>
      <c r="D384">
        <v>964</v>
      </c>
      <c r="E384">
        <v>510</v>
      </c>
      <c r="F384">
        <v>872</v>
      </c>
      <c r="G384" t="s">
        <v>5</v>
      </c>
      <c r="H384" s="1">
        <f t="shared" si="88"/>
        <v>36836.64583333426</v>
      </c>
      <c r="I384">
        <f t="shared" si="89"/>
        <v>2.9363999999999999</v>
      </c>
      <c r="J384">
        <f t="shared" si="89"/>
        <v>8.1584000000000003</v>
      </c>
      <c r="K384">
        <f t="shared" si="85"/>
        <v>96.374799999999993</v>
      </c>
      <c r="L384">
        <f t="shared" si="86"/>
        <v>-0.17879800000000357</v>
      </c>
      <c r="M384">
        <f t="shared" si="87"/>
        <v>305.82799999999997</v>
      </c>
      <c r="O384">
        <v>311</v>
      </c>
      <c r="P384">
        <v>1530</v>
      </c>
      <c r="Q384">
        <v>0.57199999999999995</v>
      </c>
      <c r="R384">
        <f t="shared" si="83"/>
        <v>-0.57181276002598092</v>
      </c>
    </row>
    <row r="385" spans="1:18" x14ac:dyDescent="0.25">
      <c r="A385">
        <v>11</v>
      </c>
      <c r="B385">
        <v>47</v>
      </c>
      <c r="C385">
        <v>104</v>
      </c>
      <c r="D385">
        <v>786</v>
      </c>
      <c r="E385">
        <v>508</v>
      </c>
      <c r="F385">
        <v>889</v>
      </c>
      <c r="G385" t="s">
        <v>5</v>
      </c>
      <c r="H385" s="1">
        <f t="shared" si="88"/>
        <v>36836.666666667596</v>
      </c>
      <c r="I385">
        <f t="shared" si="89"/>
        <v>3.9061999999999997</v>
      </c>
      <c r="J385">
        <f t="shared" si="89"/>
        <v>8.1584000000000003</v>
      </c>
      <c r="K385">
        <f t="shared" si="85"/>
        <v>78.183199999999999</v>
      </c>
      <c r="L385">
        <f t="shared" si="86"/>
        <v>-0.36019872000000497</v>
      </c>
      <c r="M385">
        <f t="shared" si="87"/>
        <v>311.76099999999997</v>
      </c>
      <c r="O385">
        <v>311</v>
      </c>
      <c r="P385">
        <v>1600</v>
      </c>
      <c r="Q385">
        <v>0.57499999999999996</v>
      </c>
      <c r="R385">
        <f t="shared" si="83"/>
        <v>-0.57462075308684146</v>
      </c>
    </row>
    <row r="386" spans="1:18" x14ac:dyDescent="0.25">
      <c r="A386">
        <v>11</v>
      </c>
      <c r="B386">
        <v>66</v>
      </c>
      <c r="C386">
        <v>156</v>
      </c>
      <c r="D386">
        <v>914</v>
      </c>
      <c r="E386">
        <v>518</v>
      </c>
      <c r="F386">
        <v>904</v>
      </c>
      <c r="G386" t="s">
        <v>5</v>
      </c>
      <c r="H386" s="1">
        <f t="shared" si="88"/>
        <v>36836.687500000931</v>
      </c>
      <c r="I386">
        <f t="shared" si="89"/>
        <v>5.3236000000000008</v>
      </c>
      <c r="J386">
        <f t="shared" si="89"/>
        <v>12.037599999999999</v>
      </c>
      <c r="K386">
        <f t="shared" ref="K386:K395" si="90">-2.146+0.1022*D386</f>
        <v>91.264799999999994</v>
      </c>
      <c r="L386">
        <f t="shared" ref="L386:L395" si="91">-43.84+0.0805*E386+0.00001002*E386^2</f>
        <v>0.5476064799999949</v>
      </c>
      <c r="M386">
        <f t="shared" ref="M386:M395" si="92">1.5+0.349*F386</f>
        <v>316.99599999999998</v>
      </c>
      <c r="O386">
        <v>311</v>
      </c>
      <c r="P386">
        <v>1630</v>
      </c>
      <c r="Q386">
        <v>0.57199999999999995</v>
      </c>
      <c r="R386">
        <f t="shared" si="83"/>
        <v>-0.57257308085983594</v>
      </c>
    </row>
    <row r="387" spans="1:18" x14ac:dyDescent="0.25">
      <c r="A387">
        <v>11</v>
      </c>
      <c r="B387">
        <v>118</v>
      </c>
      <c r="C387">
        <v>228</v>
      </c>
      <c r="D387">
        <v>933</v>
      </c>
      <c r="E387">
        <v>531</v>
      </c>
      <c r="F387">
        <v>857</v>
      </c>
      <c r="G387" t="s">
        <v>5</v>
      </c>
      <c r="H387" s="1">
        <f t="shared" si="88"/>
        <v>36836.708333334267</v>
      </c>
      <c r="I387">
        <f t="shared" si="89"/>
        <v>9.2027999999999999</v>
      </c>
      <c r="J387">
        <f t="shared" si="89"/>
        <v>17.408799999999999</v>
      </c>
      <c r="K387">
        <f t="shared" si="90"/>
        <v>93.206599999999995</v>
      </c>
      <c r="L387">
        <f t="shared" si="91"/>
        <v>1.7307492199999968</v>
      </c>
      <c r="M387">
        <f t="shared" si="92"/>
        <v>300.59299999999996</v>
      </c>
      <c r="O387">
        <v>311</v>
      </c>
      <c r="P387">
        <v>1700</v>
      </c>
      <c r="Q387">
        <v>0.57199999999999995</v>
      </c>
      <c r="R387">
        <f t="shared" si="83"/>
        <v>-0.57380930861521773</v>
      </c>
    </row>
    <row r="388" spans="1:18" x14ac:dyDescent="0.25">
      <c r="A388">
        <v>11</v>
      </c>
      <c r="B388">
        <v>131</v>
      </c>
      <c r="C388">
        <v>252</v>
      </c>
      <c r="D388">
        <v>903</v>
      </c>
      <c r="E388">
        <v>533</v>
      </c>
      <c r="F388">
        <v>857</v>
      </c>
      <c r="G388" t="s">
        <v>5</v>
      </c>
      <c r="H388" s="1">
        <f t="shared" si="88"/>
        <v>36836.729166667603</v>
      </c>
      <c r="I388">
        <f t="shared" si="89"/>
        <v>10.172600000000001</v>
      </c>
      <c r="J388">
        <f t="shared" si="89"/>
        <v>19.199199999999998</v>
      </c>
      <c r="K388">
        <f t="shared" si="90"/>
        <v>90.140599999999992</v>
      </c>
      <c r="L388">
        <f t="shared" si="91"/>
        <v>1.9130717799999979</v>
      </c>
      <c r="M388">
        <f t="shared" si="92"/>
        <v>300.59299999999996</v>
      </c>
      <c r="O388">
        <v>311</v>
      </c>
      <c r="P388">
        <v>1730</v>
      </c>
      <c r="Q388">
        <v>0.57499999999999996</v>
      </c>
      <c r="R388">
        <f t="shared" si="83"/>
        <v>-0.57701006211189476</v>
      </c>
    </row>
    <row r="389" spans="1:18" x14ac:dyDescent="0.25">
      <c r="A389">
        <v>11</v>
      </c>
      <c r="B389">
        <v>135</v>
      </c>
      <c r="C389">
        <v>244</v>
      </c>
      <c r="D389">
        <v>915</v>
      </c>
      <c r="E389">
        <v>537</v>
      </c>
      <c r="F389">
        <v>845</v>
      </c>
      <c r="G389" t="s">
        <v>5</v>
      </c>
      <c r="H389" s="1">
        <f t="shared" si="88"/>
        <v>36836.750000000939</v>
      </c>
      <c r="I389">
        <f t="shared" si="89"/>
        <v>10.471</v>
      </c>
      <c r="J389">
        <f t="shared" si="89"/>
        <v>18.602399999999999</v>
      </c>
      <c r="K389">
        <f t="shared" si="90"/>
        <v>91.367000000000004</v>
      </c>
      <c r="L389">
        <f t="shared" si="91"/>
        <v>2.2779573800000006</v>
      </c>
      <c r="M389">
        <f t="shared" si="92"/>
        <v>296.40499999999997</v>
      </c>
      <c r="O389">
        <v>311</v>
      </c>
      <c r="P389">
        <v>1800</v>
      </c>
      <c r="Q389">
        <v>0.57699999999999996</v>
      </c>
      <c r="R389">
        <f t="shared" si="83"/>
        <v>-0.57940097460585271</v>
      </c>
    </row>
    <row r="390" spans="1:18" x14ac:dyDescent="0.25">
      <c r="A390">
        <v>11</v>
      </c>
      <c r="B390">
        <v>152</v>
      </c>
      <c r="C390">
        <v>252</v>
      </c>
      <c r="D390">
        <v>1003</v>
      </c>
      <c r="E390">
        <v>541</v>
      </c>
      <c r="F390">
        <v>885</v>
      </c>
      <c r="G390" t="s">
        <v>5</v>
      </c>
      <c r="H390" s="1">
        <f t="shared" si="88"/>
        <v>36836.770833334274</v>
      </c>
      <c r="I390">
        <f t="shared" si="89"/>
        <v>11.7392</v>
      </c>
      <c r="J390">
        <f t="shared" si="89"/>
        <v>19.199199999999998</v>
      </c>
      <c r="K390">
        <f t="shared" si="90"/>
        <v>100.36060000000001</v>
      </c>
      <c r="L390">
        <f t="shared" si="91"/>
        <v>2.6431636199999962</v>
      </c>
      <c r="M390">
        <f t="shared" si="92"/>
        <v>310.36499999999995</v>
      </c>
      <c r="O390">
        <v>311</v>
      </c>
      <c r="P390">
        <v>1830</v>
      </c>
      <c r="Q390">
        <v>0.58699999999999997</v>
      </c>
      <c r="R390">
        <f t="shared" si="83"/>
        <v>-0.58983324491052824</v>
      </c>
    </row>
    <row r="391" spans="1:18" x14ac:dyDescent="0.25">
      <c r="A391">
        <v>11</v>
      </c>
      <c r="B391">
        <v>147</v>
      </c>
      <c r="C391">
        <v>232</v>
      </c>
      <c r="D391">
        <v>916</v>
      </c>
      <c r="E391">
        <v>539</v>
      </c>
      <c r="F391">
        <v>885</v>
      </c>
      <c r="G391" t="s">
        <v>5</v>
      </c>
      <c r="H391" s="1">
        <f t="shared" si="88"/>
        <v>36836.79166666761</v>
      </c>
      <c r="I391">
        <f t="shared" si="89"/>
        <v>11.366200000000001</v>
      </c>
      <c r="J391">
        <f t="shared" si="89"/>
        <v>17.7072</v>
      </c>
      <c r="K391">
        <f t="shared" si="90"/>
        <v>91.469200000000001</v>
      </c>
      <c r="L391">
        <f t="shared" si="91"/>
        <v>2.460520419999995</v>
      </c>
      <c r="M391">
        <f t="shared" si="92"/>
        <v>310.36499999999995</v>
      </c>
      <c r="O391">
        <v>311</v>
      </c>
      <c r="P391">
        <v>1900</v>
      </c>
      <c r="Q391">
        <v>0.58699999999999997</v>
      </c>
      <c r="R391">
        <f t="shared" ref="R391:R454" si="93">-SQRT((L391+273.15)/273.15)*Q391</f>
        <v>-0.58963790491076484</v>
      </c>
    </row>
    <row r="392" spans="1:18" x14ac:dyDescent="0.25">
      <c r="A392">
        <v>11</v>
      </c>
      <c r="B392">
        <v>166</v>
      </c>
      <c r="C392">
        <v>284</v>
      </c>
      <c r="D392">
        <v>903</v>
      </c>
      <c r="E392">
        <v>541</v>
      </c>
      <c r="F392">
        <v>885</v>
      </c>
      <c r="G392" t="s">
        <v>5</v>
      </c>
      <c r="H392" s="1">
        <f t="shared" si="88"/>
        <v>36836.812500000946</v>
      </c>
      <c r="I392">
        <f t="shared" si="89"/>
        <v>12.7836</v>
      </c>
      <c r="J392">
        <f t="shared" si="89"/>
        <v>21.586399999999998</v>
      </c>
      <c r="K392">
        <f t="shared" si="90"/>
        <v>90.140599999999992</v>
      </c>
      <c r="L392">
        <f t="shared" si="91"/>
        <v>2.6431636199999962</v>
      </c>
      <c r="M392">
        <f t="shared" si="92"/>
        <v>310.36499999999995</v>
      </c>
      <c r="O392">
        <v>311</v>
      </c>
      <c r="P392">
        <v>1930</v>
      </c>
      <c r="Q392">
        <v>0.59499999999999997</v>
      </c>
      <c r="R392">
        <f t="shared" si="93"/>
        <v>-0.5978718581290704</v>
      </c>
    </row>
    <row r="393" spans="1:18" x14ac:dyDescent="0.25">
      <c r="A393">
        <v>11</v>
      </c>
      <c r="B393">
        <v>192</v>
      </c>
      <c r="C393">
        <v>284</v>
      </c>
      <c r="D393">
        <v>873</v>
      </c>
      <c r="E393">
        <v>544</v>
      </c>
      <c r="F393">
        <v>848</v>
      </c>
      <c r="G393" t="s">
        <v>5</v>
      </c>
      <c r="H393" s="1">
        <f>H392+1/48</f>
        <v>36836.833333334282</v>
      </c>
      <c r="I393">
        <f t="shared" si="89"/>
        <v>14.7232</v>
      </c>
      <c r="J393">
        <f t="shared" si="89"/>
        <v>21.586399999999998</v>
      </c>
      <c r="K393">
        <f t="shared" si="90"/>
        <v>87.074600000000004</v>
      </c>
      <c r="L393">
        <f t="shared" si="91"/>
        <v>2.9172787199999983</v>
      </c>
      <c r="M393">
        <f t="shared" si="92"/>
        <v>297.452</v>
      </c>
      <c r="O393">
        <v>311</v>
      </c>
      <c r="P393">
        <v>2000</v>
      </c>
      <c r="Q393">
        <v>0.625</v>
      </c>
      <c r="R393">
        <f t="shared" si="93"/>
        <v>-0.62832867793246217</v>
      </c>
    </row>
    <row r="394" spans="1:18" x14ac:dyDescent="0.25">
      <c r="A394">
        <v>11</v>
      </c>
      <c r="B394">
        <v>200</v>
      </c>
      <c r="C394">
        <v>304</v>
      </c>
      <c r="D394">
        <v>846</v>
      </c>
      <c r="E394">
        <v>540</v>
      </c>
      <c r="F394">
        <v>825</v>
      </c>
      <c r="G394" t="s">
        <v>5</v>
      </c>
      <c r="H394" s="1">
        <f t="shared" si="88"/>
        <v>36836.854166667617</v>
      </c>
      <c r="I394">
        <f t="shared" si="89"/>
        <v>15.32</v>
      </c>
      <c r="J394">
        <f t="shared" si="89"/>
        <v>23.078399999999998</v>
      </c>
      <c r="K394">
        <f t="shared" si="90"/>
        <v>84.315200000000004</v>
      </c>
      <c r="L394">
        <f t="shared" si="91"/>
        <v>2.5518319999999957</v>
      </c>
      <c r="M394">
        <f t="shared" si="92"/>
        <v>289.42499999999995</v>
      </c>
      <c r="O394">
        <v>311</v>
      </c>
      <c r="P394">
        <v>2030</v>
      </c>
      <c r="Q394">
        <v>0.63700000000000001</v>
      </c>
      <c r="R394">
        <f t="shared" si="93"/>
        <v>-0.63996858525318046</v>
      </c>
    </row>
    <row r="395" spans="1:18" x14ac:dyDescent="0.25">
      <c r="A395">
        <v>11</v>
      </c>
      <c r="B395">
        <v>120</v>
      </c>
      <c r="C395">
        <v>252</v>
      </c>
      <c r="D395">
        <v>813</v>
      </c>
      <c r="E395">
        <v>545</v>
      </c>
      <c r="F395">
        <v>833</v>
      </c>
      <c r="G395" t="s">
        <v>5</v>
      </c>
      <c r="H395" s="1">
        <f t="shared" si="88"/>
        <v>36836.875000000953</v>
      </c>
      <c r="I395">
        <f t="shared" si="89"/>
        <v>9.3520000000000003</v>
      </c>
      <c r="J395">
        <f t="shared" si="89"/>
        <v>19.199199999999998</v>
      </c>
      <c r="K395">
        <f t="shared" si="90"/>
        <v>80.942599999999999</v>
      </c>
      <c r="L395">
        <f t="shared" si="91"/>
        <v>3.0086904999999993</v>
      </c>
      <c r="M395">
        <f t="shared" si="92"/>
        <v>292.21699999999998</v>
      </c>
      <c r="O395">
        <v>311</v>
      </c>
      <c r="P395">
        <v>2100</v>
      </c>
      <c r="Q395">
        <v>0.5</v>
      </c>
      <c r="R395">
        <f t="shared" si="93"/>
        <v>-0.50274615668314582</v>
      </c>
    </row>
    <row r="396" spans="1:18" x14ac:dyDescent="0.25">
      <c r="A396">
        <v>11</v>
      </c>
      <c r="B396">
        <v>29</v>
      </c>
      <c r="C396">
        <v>132</v>
      </c>
      <c r="D396">
        <v>462</v>
      </c>
      <c r="E396">
        <v>536</v>
      </c>
      <c r="F396">
        <v>888</v>
      </c>
      <c r="G396" t="s">
        <v>5</v>
      </c>
      <c r="H396" s="1">
        <f t="shared" si="88"/>
        <v>36836.895833334289</v>
      </c>
      <c r="I396">
        <f t="shared" ref="I396:I417" si="94">0.4+0.0746*B396</f>
        <v>2.5634000000000001</v>
      </c>
      <c r="J396">
        <f t="shared" ref="J396:J417" si="95">0.4+0.0746*C396</f>
        <v>10.247200000000001</v>
      </c>
      <c r="K396">
        <f t="shared" ref="K396:K417" si="96">-2.146+0.1022*D396</f>
        <v>45.070399999999999</v>
      </c>
      <c r="L396">
        <f t="shared" ref="L396:L417" si="97">-43.84+0.0805*E396+0.00001002*E396^2</f>
        <v>2.1867059200000001</v>
      </c>
      <c r="M396">
        <f t="shared" ref="M396:M417" si="98">1.5+0.349*F396</f>
        <v>311.41199999999998</v>
      </c>
      <c r="O396">
        <v>311</v>
      </c>
      <c r="P396">
        <v>2130</v>
      </c>
      <c r="Q396">
        <v>0.505</v>
      </c>
      <c r="R396">
        <f t="shared" si="93"/>
        <v>-0.50701736261586938</v>
      </c>
    </row>
    <row r="397" spans="1:18" x14ac:dyDescent="0.25">
      <c r="A397">
        <v>11</v>
      </c>
      <c r="B397">
        <v>20</v>
      </c>
      <c r="C397">
        <v>44</v>
      </c>
      <c r="D397">
        <v>261</v>
      </c>
      <c r="E397">
        <v>541</v>
      </c>
      <c r="F397">
        <v>893</v>
      </c>
      <c r="G397" t="s">
        <v>5</v>
      </c>
      <c r="H397" s="1">
        <f t="shared" si="88"/>
        <v>36836.916666667625</v>
      </c>
      <c r="I397">
        <f t="shared" si="94"/>
        <v>1.8919999999999999</v>
      </c>
      <c r="J397">
        <f t="shared" si="95"/>
        <v>3.6823999999999999</v>
      </c>
      <c r="K397">
        <f t="shared" si="96"/>
        <v>24.528199999999998</v>
      </c>
      <c r="L397">
        <f t="shared" si="97"/>
        <v>2.6431636199999962</v>
      </c>
      <c r="M397">
        <f t="shared" si="98"/>
        <v>313.15699999999998</v>
      </c>
      <c r="O397">
        <v>311</v>
      </c>
      <c r="P397">
        <v>2200</v>
      </c>
      <c r="Q397">
        <v>0.497</v>
      </c>
      <c r="R397">
        <f t="shared" si="93"/>
        <v>-0.49939884620192937</v>
      </c>
    </row>
    <row r="398" spans="1:18" x14ac:dyDescent="0.25">
      <c r="A398">
        <v>11</v>
      </c>
      <c r="B398">
        <v>30</v>
      </c>
      <c r="C398">
        <v>76</v>
      </c>
      <c r="D398">
        <v>63</v>
      </c>
      <c r="E398">
        <v>534</v>
      </c>
      <c r="F398">
        <v>892</v>
      </c>
      <c r="G398" t="s">
        <v>5</v>
      </c>
      <c r="H398" s="1">
        <f t="shared" si="88"/>
        <v>36836.93750000096</v>
      </c>
      <c r="I398">
        <f t="shared" si="94"/>
        <v>2.6379999999999999</v>
      </c>
      <c r="J398">
        <f t="shared" si="95"/>
        <v>6.0696000000000003</v>
      </c>
      <c r="K398">
        <f t="shared" si="96"/>
        <v>4.2926000000000002</v>
      </c>
      <c r="L398">
        <f t="shared" si="97"/>
        <v>2.0042631199999987</v>
      </c>
      <c r="M398">
        <f t="shared" si="98"/>
        <v>312.80799999999999</v>
      </c>
      <c r="O398">
        <v>311</v>
      </c>
      <c r="P398">
        <v>2230</v>
      </c>
      <c r="Q398">
        <v>0.49199999999999999</v>
      </c>
      <c r="R398">
        <f t="shared" si="93"/>
        <v>-0.49380174842787766</v>
      </c>
    </row>
    <row r="399" spans="1:18" x14ac:dyDescent="0.25">
      <c r="A399">
        <v>11</v>
      </c>
      <c r="B399">
        <v>16</v>
      </c>
      <c r="C399">
        <v>60</v>
      </c>
      <c r="D399">
        <v>930</v>
      </c>
      <c r="E399">
        <v>530</v>
      </c>
      <c r="F399">
        <v>901</v>
      </c>
      <c r="G399" t="s">
        <v>5</v>
      </c>
      <c r="H399" s="1">
        <f t="shared" si="88"/>
        <v>36836.958333334296</v>
      </c>
      <c r="I399">
        <f t="shared" si="94"/>
        <v>1.5935999999999999</v>
      </c>
      <c r="J399">
        <f t="shared" si="95"/>
        <v>4.8760000000000003</v>
      </c>
      <c r="K399">
        <f t="shared" si="96"/>
        <v>92.899999999999991</v>
      </c>
      <c r="L399">
        <f t="shared" si="97"/>
        <v>1.639617999999996</v>
      </c>
      <c r="M399">
        <f t="shared" si="98"/>
        <v>315.94899999999996</v>
      </c>
      <c r="O399">
        <v>311</v>
      </c>
      <c r="P399">
        <v>2300</v>
      </c>
      <c r="Q399">
        <v>0.5</v>
      </c>
      <c r="R399">
        <f t="shared" si="93"/>
        <v>-0.50149841190983557</v>
      </c>
    </row>
    <row r="400" spans="1:18" x14ac:dyDescent="0.25">
      <c r="A400">
        <v>7</v>
      </c>
      <c r="B400">
        <v>16</v>
      </c>
      <c r="C400">
        <v>52</v>
      </c>
      <c r="D400">
        <v>285</v>
      </c>
      <c r="E400">
        <v>535</v>
      </c>
      <c r="F400">
        <v>903</v>
      </c>
      <c r="G400" t="s">
        <v>5</v>
      </c>
      <c r="H400" s="1">
        <f t="shared" si="88"/>
        <v>36836.979166667632</v>
      </c>
      <c r="I400">
        <f t="shared" si="94"/>
        <v>1.5935999999999999</v>
      </c>
      <c r="J400">
        <f t="shared" si="95"/>
        <v>4.2792000000000003</v>
      </c>
      <c r="K400">
        <f t="shared" si="96"/>
        <v>26.980999999999998</v>
      </c>
      <c r="L400">
        <f t="shared" si="97"/>
        <v>2.0954744999999995</v>
      </c>
      <c r="M400">
        <f t="shared" si="98"/>
        <v>316.64699999999999</v>
      </c>
      <c r="O400">
        <v>311</v>
      </c>
      <c r="P400">
        <v>2330</v>
      </c>
      <c r="Q400">
        <v>0.5</v>
      </c>
      <c r="R400">
        <f t="shared" si="93"/>
        <v>-0.50191421469478759</v>
      </c>
    </row>
    <row r="401" spans="1:18" x14ac:dyDescent="0.25">
      <c r="A401">
        <v>7</v>
      </c>
      <c r="B401">
        <v>26</v>
      </c>
      <c r="C401">
        <v>68</v>
      </c>
      <c r="D401">
        <v>445</v>
      </c>
      <c r="E401">
        <v>532</v>
      </c>
      <c r="F401">
        <v>897</v>
      </c>
      <c r="G401" t="s">
        <v>5</v>
      </c>
      <c r="H401" s="1">
        <f t="shared" si="88"/>
        <v>36837.000000000968</v>
      </c>
      <c r="I401">
        <f t="shared" si="94"/>
        <v>2.3395999999999999</v>
      </c>
      <c r="J401">
        <f t="shared" si="95"/>
        <v>5.4728000000000003</v>
      </c>
      <c r="K401">
        <f t="shared" si="96"/>
        <v>43.332999999999998</v>
      </c>
      <c r="L401">
        <f t="shared" si="97"/>
        <v>1.8219004799999974</v>
      </c>
      <c r="M401">
        <f t="shared" si="98"/>
        <v>314.553</v>
      </c>
      <c r="O401">
        <v>311</v>
      </c>
      <c r="P401">
        <v>2400</v>
      </c>
      <c r="Q401">
        <v>0.497</v>
      </c>
      <c r="R401">
        <f t="shared" si="93"/>
        <v>-0.49865473122084591</v>
      </c>
    </row>
    <row r="402" spans="1:18" x14ac:dyDescent="0.25">
      <c r="A402">
        <v>7</v>
      </c>
      <c r="B402">
        <v>48</v>
      </c>
      <c r="C402">
        <v>84</v>
      </c>
      <c r="D402">
        <v>505</v>
      </c>
      <c r="E402">
        <v>532</v>
      </c>
      <c r="F402">
        <v>897</v>
      </c>
      <c r="G402" t="s">
        <v>5</v>
      </c>
      <c r="H402" s="1">
        <f t="shared" si="88"/>
        <v>36837.020833334303</v>
      </c>
      <c r="I402">
        <f t="shared" si="94"/>
        <v>3.9807999999999999</v>
      </c>
      <c r="J402">
        <f t="shared" si="95"/>
        <v>6.6664000000000003</v>
      </c>
      <c r="K402">
        <f t="shared" si="96"/>
        <v>49.464999999999996</v>
      </c>
      <c r="L402">
        <f t="shared" si="97"/>
        <v>1.8219004799999974</v>
      </c>
      <c r="M402">
        <f t="shared" si="98"/>
        <v>314.553</v>
      </c>
      <c r="O402">
        <v>312</v>
      </c>
      <c r="P402">
        <v>30</v>
      </c>
      <c r="Q402">
        <v>0.69</v>
      </c>
      <c r="R402">
        <f t="shared" si="93"/>
        <v>-0.69229731296254249</v>
      </c>
    </row>
    <row r="403" spans="1:18" x14ac:dyDescent="0.25">
      <c r="A403">
        <v>7</v>
      </c>
      <c r="B403">
        <v>46</v>
      </c>
      <c r="C403">
        <v>100</v>
      </c>
      <c r="D403">
        <v>532</v>
      </c>
      <c r="E403">
        <v>526</v>
      </c>
      <c r="F403">
        <v>917</v>
      </c>
      <c r="G403" t="s">
        <v>5</v>
      </c>
      <c r="H403" s="1">
        <f t="shared" si="88"/>
        <v>36837.041666667639</v>
      </c>
      <c r="I403">
        <f t="shared" si="94"/>
        <v>3.8315999999999999</v>
      </c>
      <c r="J403">
        <f t="shared" si="95"/>
        <v>7.86</v>
      </c>
      <c r="K403">
        <f t="shared" si="96"/>
        <v>52.224399999999996</v>
      </c>
      <c r="L403">
        <f t="shared" si="97"/>
        <v>1.2752935200000004</v>
      </c>
      <c r="M403">
        <f t="shared" si="98"/>
        <v>321.53299999999996</v>
      </c>
      <c r="O403">
        <v>312</v>
      </c>
      <c r="P403">
        <v>100</v>
      </c>
      <c r="Q403">
        <v>0.48699999999999999</v>
      </c>
      <c r="R403">
        <f t="shared" si="93"/>
        <v>-0.48813553855927905</v>
      </c>
    </row>
    <row r="404" spans="1:18" x14ac:dyDescent="0.25">
      <c r="A404">
        <v>7</v>
      </c>
      <c r="B404">
        <v>51</v>
      </c>
      <c r="C404">
        <v>76</v>
      </c>
      <c r="D404">
        <v>545</v>
      </c>
      <c r="E404">
        <v>526</v>
      </c>
      <c r="F404">
        <v>921</v>
      </c>
      <c r="G404" t="s">
        <v>5</v>
      </c>
      <c r="H404" s="1">
        <f t="shared" si="88"/>
        <v>36837.062500000975</v>
      </c>
      <c r="I404">
        <f t="shared" si="94"/>
        <v>4.2046000000000001</v>
      </c>
      <c r="J404">
        <f t="shared" si="95"/>
        <v>6.0696000000000003</v>
      </c>
      <c r="K404">
        <f t="shared" si="96"/>
        <v>53.552999999999997</v>
      </c>
      <c r="L404">
        <f t="shared" si="97"/>
        <v>1.2752935200000004</v>
      </c>
      <c r="M404">
        <f t="shared" si="98"/>
        <v>322.92899999999997</v>
      </c>
      <c r="O404">
        <v>312</v>
      </c>
      <c r="P404">
        <v>130</v>
      </c>
      <c r="Q404">
        <v>0.67700000000000005</v>
      </c>
      <c r="R404">
        <f t="shared" si="93"/>
        <v>-0.67857856181649279</v>
      </c>
    </row>
    <row r="405" spans="1:18" x14ac:dyDescent="0.25">
      <c r="A405">
        <v>7</v>
      </c>
      <c r="B405">
        <v>45</v>
      </c>
      <c r="C405">
        <v>64</v>
      </c>
      <c r="D405">
        <v>548</v>
      </c>
      <c r="E405">
        <v>532</v>
      </c>
      <c r="F405">
        <v>921</v>
      </c>
      <c r="G405" t="s">
        <v>5</v>
      </c>
      <c r="H405" s="1">
        <f t="shared" si="88"/>
        <v>36837.083333334311</v>
      </c>
      <c r="I405">
        <f t="shared" si="94"/>
        <v>3.7570000000000001</v>
      </c>
      <c r="J405">
        <f t="shared" si="95"/>
        <v>5.1744000000000003</v>
      </c>
      <c r="K405">
        <f t="shared" si="96"/>
        <v>53.8596</v>
      </c>
      <c r="L405">
        <f t="shared" si="97"/>
        <v>1.8219004799999974</v>
      </c>
      <c r="M405">
        <f t="shared" si="98"/>
        <v>322.92899999999997</v>
      </c>
      <c r="O405">
        <v>312</v>
      </c>
      <c r="P405">
        <v>200</v>
      </c>
      <c r="Q405">
        <v>0.67200000000000004</v>
      </c>
      <c r="R405">
        <f t="shared" si="93"/>
        <v>-0.67423738305917191</v>
      </c>
    </row>
    <row r="406" spans="1:18" x14ac:dyDescent="0.25">
      <c r="A406">
        <v>7</v>
      </c>
      <c r="B406">
        <v>24</v>
      </c>
      <c r="C406">
        <v>48</v>
      </c>
      <c r="D406">
        <v>530</v>
      </c>
      <c r="E406">
        <v>523</v>
      </c>
      <c r="F406">
        <v>920</v>
      </c>
      <c r="G406" t="s">
        <v>5</v>
      </c>
      <c r="H406" s="1">
        <f t="shared" si="88"/>
        <v>36837.104166667646</v>
      </c>
      <c r="I406">
        <f t="shared" si="94"/>
        <v>2.1903999999999999</v>
      </c>
      <c r="J406">
        <f t="shared" si="95"/>
        <v>3.9807999999999999</v>
      </c>
      <c r="K406">
        <f t="shared" si="96"/>
        <v>52.019999999999996</v>
      </c>
      <c r="L406">
        <f t="shared" si="97"/>
        <v>1.0022605799999984</v>
      </c>
      <c r="M406">
        <f t="shared" si="98"/>
        <v>322.58</v>
      </c>
      <c r="O406">
        <v>312</v>
      </c>
      <c r="P406">
        <v>230</v>
      </c>
      <c r="Q406">
        <v>0.67700000000000005</v>
      </c>
      <c r="R406">
        <f t="shared" si="93"/>
        <v>-0.6782409099843969</v>
      </c>
    </row>
    <row r="407" spans="1:18" x14ac:dyDescent="0.25">
      <c r="A407">
        <v>7</v>
      </c>
      <c r="B407">
        <v>8</v>
      </c>
      <c r="C407">
        <v>32</v>
      </c>
      <c r="D407">
        <v>391</v>
      </c>
      <c r="E407">
        <v>518</v>
      </c>
      <c r="F407">
        <v>924</v>
      </c>
      <c r="G407" t="s">
        <v>5</v>
      </c>
      <c r="H407" s="1">
        <f t="shared" si="88"/>
        <v>36837.125000000982</v>
      </c>
      <c r="I407">
        <f t="shared" si="94"/>
        <v>0.99680000000000002</v>
      </c>
      <c r="J407">
        <f t="shared" si="95"/>
        <v>2.7871999999999999</v>
      </c>
      <c r="K407">
        <f t="shared" si="96"/>
        <v>37.8142</v>
      </c>
      <c r="L407">
        <f t="shared" si="97"/>
        <v>0.5476064799999949</v>
      </c>
      <c r="M407">
        <f t="shared" si="98"/>
        <v>323.976</v>
      </c>
      <c r="O407">
        <v>312</v>
      </c>
      <c r="P407">
        <v>300</v>
      </c>
      <c r="Q407">
        <v>0.67700000000000005</v>
      </c>
      <c r="R407">
        <f t="shared" si="93"/>
        <v>-0.67767827926942126</v>
      </c>
    </row>
    <row r="408" spans="1:18" x14ac:dyDescent="0.25">
      <c r="A408">
        <v>7</v>
      </c>
      <c r="B408">
        <v>16</v>
      </c>
      <c r="C408">
        <v>36</v>
      </c>
      <c r="D408">
        <v>424</v>
      </c>
      <c r="E408">
        <v>516</v>
      </c>
      <c r="F408">
        <v>925</v>
      </c>
      <c r="G408" t="s">
        <v>5</v>
      </c>
      <c r="H408" s="1">
        <f t="shared" si="88"/>
        <v>36837.145833334318</v>
      </c>
      <c r="I408">
        <f t="shared" si="94"/>
        <v>1.5935999999999999</v>
      </c>
      <c r="J408">
        <f t="shared" si="95"/>
        <v>3.0855999999999999</v>
      </c>
      <c r="K408">
        <f t="shared" si="96"/>
        <v>41.186799999999998</v>
      </c>
      <c r="L408">
        <f t="shared" si="97"/>
        <v>0.36588512000000062</v>
      </c>
      <c r="M408">
        <f t="shared" si="98"/>
        <v>324.32499999999999</v>
      </c>
      <c r="O408">
        <v>312</v>
      </c>
      <c r="P408">
        <v>330</v>
      </c>
      <c r="Q408">
        <v>0.67700000000000005</v>
      </c>
      <c r="R408">
        <f t="shared" si="93"/>
        <v>-0.67745326987303522</v>
      </c>
    </row>
    <row r="409" spans="1:18" x14ac:dyDescent="0.25">
      <c r="A409">
        <v>7</v>
      </c>
      <c r="B409">
        <v>58</v>
      </c>
      <c r="C409">
        <v>92</v>
      </c>
      <c r="D409">
        <v>568</v>
      </c>
      <c r="E409">
        <v>523</v>
      </c>
      <c r="F409">
        <v>925</v>
      </c>
      <c r="G409" t="s">
        <v>5</v>
      </c>
      <c r="H409" s="1">
        <f t="shared" si="88"/>
        <v>36837.166666667654</v>
      </c>
      <c r="I409">
        <f t="shared" si="94"/>
        <v>4.7268000000000008</v>
      </c>
      <c r="J409">
        <f t="shared" si="95"/>
        <v>7.2632000000000003</v>
      </c>
      <c r="K409">
        <f t="shared" si="96"/>
        <v>55.903599999999997</v>
      </c>
      <c r="L409">
        <f t="shared" si="97"/>
        <v>1.0022605799999984</v>
      </c>
      <c r="M409">
        <f t="shared" si="98"/>
        <v>324.32499999999999</v>
      </c>
      <c r="O409">
        <v>312</v>
      </c>
      <c r="P409">
        <v>400</v>
      </c>
      <c r="Q409">
        <v>0.67500000000000004</v>
      </c>
      <c r="R409">
        <f t="shared" si="93"/>
        <v>-0.67623724407602359</v>
      </c>
    </row>
    <row r="410" spans="1:18" x14ac:dyDescent="0.25">
      <c r="A410">
        <v>7</v>
      </c>
      <c r="B410">
        <v>64</v>
      </c>
      <c r="C410">
        <v>96</v>
      </c>
      <c r="D410">
        <v>555</v>
      </c>
      <c r="E410">
        <v>519</v>
      </c>
      <c r="F410">
        <v>925</v>
      </c>
      <c r="G410" t="s">
        <v>5</v>
      </c>
      <c r="H410" s="1">
        <f t="shared" si="88"/>
        <v>36837.18750000099</v>
      </c>
      <c r="I410">
        <f t="shared" si="94"/>
        <v>5.1744000000000003</v>
      </c>
      <c r="J410">
        <f t="shared" si="95"/>
        <v>7.5616000000000003</v>
      </c>
      <c r="K410">
        <f t="shared" si="96"/>
        <v>54.574999999999996</v>
      </c>
      <c r="L410">
        <f t="shared" si="97"/>
        <v>0.63849721999999565</v>
      </c>
      <c r="M410">
        <f t="shared" si="98"/>
        <v>324.32499999999999</v>
      </c>
      <c r="O410">
        <v>312</v>
      </c>
      <c r="P410">
        <v>430</v>
      </c>
      <c r="Q410">
        <v>0.67500000000000004</v>
      </c>
      <c r="R410">
        <f t="shared" si="93"/>
        <v>-0.67578845699547108</v>
      </c>
    </row>
    <row r="411" spans="1:18" x14ac:dyDescent="0.25">
      <c r="A411">
        <v>7</v>
      </c>
      <c r="B411">
        <v>34</v>
      </c>
      <c r="C411">
        <v>76</v>
      </c>
      <c r="D411">
        <v>367</v>
      </c>
      <c r="E411">
        <v>513</v>
      </c>
      <c r="F411">
        <v>929</v>
      </c>
      <c r="G411" t="s">
        <v>5</v>
      </c>
      <c r="H411" s="1">
        <f t="shared" si="88"/>
        <v>36837.208333334325</v>
      </c>
      <c r="I411">
        <f t="shared" si="94"/>
        <v>2.9363999999999999</v>
      </c>
      <c r="J411">
        <f t="shared" si="95"/>
        <v>6.0696000000000003</v>
      </c>
      <c r="K411">
        <f t="shared" si="96"/>
        <v>35.361399999999996</v>
      </c>
      <c r="L411">
        <f t="shared" si="97"/>
        <v>9.3453379999998365E-2</v>
      </c>
      <c r="M411">
        <f t="shared" si="98"/>
        <v>325.721</v>
      </c>
      <c r="O411">
        <v>312</v>
      </c>
      <c r="P411">
        <v>500</v>
      </c>
      <c r="Q411">
        <v>0.67200000000000004</v>
      </c>
      <c r="R411">
        <f t="shared" si="93"/>
        <v>-0.67211494655088311</v>
      </c>
    </row>
    <row r="412" spans="1:18" x14ac:dyDescent="0.25">
      <c r="A412">
        <v>7</v>
      </c>
      <c r="B412">
        <v>15</v>
      </c>
      <c r="C412">
        <v>44</v>
      </c>
      <c r="D412">
        <v>355</v>
      </c>
      <c r="E412">
        <v>508</v>
      </c>
      <c r="F412">
        <v>929</v>
      </c>
      <c r="G412" t="s">
        <v>5</v>
      </c>
      <c r="H412" s="1">
        <f t="shared" si="88"/>
        <v>36837.229166667661</v>
      </c>
      <c r="I412">
        <f t="shared" si="94"/>
        <v>1.5190000000000001</v>
      </c>
      <c r="J412">
        <f t="shared" si="95"/>
        <v>3.6823999999999999</v>
      </c>
      <c r="K412">
        <f t="shared" si="96"/>
        <v>34.134999999999998</v>
      </c>
      <c r="L412">
        <f t="shared" si="97"/>
        <v>-0.36019872000000497</v>
      </c>
      <c r="M412">
        <f t="shared" si="98"/>
        <v>325.721</v>
      </c>
      <c r="O412">
        <v>312</v>
      </c>
      <c r="P412">
        <v>530</v>
      </c>
      <c r="Q412">
        <v>0.69499999999999995</v>
      </c>
      <c r="R412">
        <f t="shared" si="93"/>
        <v>-0.69454160590496494</v>
      </c>
    </row>
    <row r="413" spans="1:18" x14ac:dyDescent="0.25">
      <c r="A413">
        <v>7</v>
      </c>
      <c r="B413">
        <v>18</v>
      </c>
      <c r="C413">
        <v>44</v>
      </c>
      <c r="D413">
        <v>243</v>
      </c>
      <c r="E413">
        <v>514</v>
      </c>
      <c r="F413">
        <v>929</v>
      </c>
      <c r="G413" t="s">
        <v>5</v>
      </c>
      <c r="H413" s="1">
        <f t="shared" si="88"/>
        <v>36837.250000000997</v>
      </c>
      <c r="I413">
        <f t="shared" si="94"/>
        <v>1.7427999999999999</v>
      </c>
      <c r="J413">
        <f t="shared" si="95"/>
        <v>3.6823999999999999</v>
      </c>
      <c r="K413">
        <f t="shared" si="96"/>
        <v>22.688599999999997</v>
      </c>
      <c r="L413">
        <f t="shared" si="97"/>
        <v>0.18424391999999923</v>
      </c>
      <c r="M413">
        <f t="shared" si="98"/>
        <v>325.721</v>
      </c>
      <c r="O413">
        <v>312</v>
      </c>
      <c r="P413">
        <v>600</v>
      </c>
      <c r="Q413">
        <v>0.7</v>
      </c>
      <c r="R413">
        <f t="shared" si="93"/>
        <v>-0.70023604064275824</v>
      </c>
    </row>
    <row r="414" spans="1:18" x14ac:dyDescent="0.25">
      <c r="A414">
        <v>7</v>
      </c>
      <c r="B414">
        <v>19</v>
      </c>
      <c r="C414">
        <v>56</v>
      </c>
      <c r="D414">
        <v>915</v>
      </c>
      <c r="E414">
        <v>512</v>
      </c>
      <c r="F414">
        <v>933</v>
      </c>
      <c r="G414" t="s">
        <v>5</v>
      </c>
      <c r="H414" s="1">
        <f t="shared" si="88"/>
        <v>36837.270833334333</v>
      </c>
      <c r="I414">
        <f t="shared" si="94"/>
        <v>1.8174000000000001</v>
      </c>
      <c r="J414">
        <f t="shared" si="95"/>
        <v>4.5776000000000003</v>
      </c>
      <c r="K414">
        <f t="shared" si="96"/>
        <v>91.367000000000004</v>
      </c>
      <c r="L414">
        <f t="shared" si="97"/>
        <v>2.6828799999978337E-3</v>
      </c>
      <c r="M414">
        <f t="shared" si="98"/>
        <v>327.11699999999996</v>
      </c>
      <c r="O414">
        <v>312</v>
      </c>
      <c r="P414">
        <v>630</v>
      </c>
      <c r="Q414">
        <v>0.69699999999999995</v>
      </c>
      <c r="R414">
        <f t="shared" si="93"/>
        <v>-0.69700342295948814</v>
      </c>
    </row>
    <row r="415" spans="1:18" x14ac:dyDescent="0.25">
      <c r="A415">
        <v>71</v>
      </c>
      <c r="B415">
        <v>24</v>
      </c>
      <c r="C415">
        <v>60</v>
      </c>
      <c r="D415">
        <v>325</v>
      </c>
      <c r="E415">
        <v>510</v>
      </c>
      <c r="F415">
        <v>932</v>
      </c>
      <c r="G415" t="s">
        <v>5</v>
      </c>
      <c r="H415" s="1">
        <f t="shared" si="88"/>
        <v>36837.291666667668</v>
      </c>
      <c r="I415">
        <f t="shared" si="94"/>
        <v>2.1903999999999999</v>
      </c>
      <c r="J415">
        <f t="shared" si="95"/>
        <v>4.8760000000000003</v>
      </c>
      <c r="K415">
        <f t="shared" si="96"/>
        <v>31.068999999999996</v>
      </c>
      <c r="L415">
        <f t="shared" si="97"/>
        <v>-0.17879800000000357</v>
      </c>
      <c r="M415">
        <f t="shared" si="98"/>
        <v>326.76799999999997</v>
      </c>
      <c r="O415">
        <v>312</v>
      </c>
      <c r="P415">
        <v>700</v>
      </c>
      <c r="Q415">
        <v>0.69699999999999995</v>
      </c>
      <c r="R415">
        <f t="shared" si="93"/>
        <v>-0.69677184219949073</v>
      </c>
    </row>
    <row r="416" spans="1:18" x14ac:dyDescent="0.25">
      <c r="A416">
        <v>71</v>
      </c>
      <c r="B416">
        <v>14</v>
      </c>
      <c r="C416">
        <v>40</v>
      </c>
      <c r="D416">
        <v>209</v>
      </c>
      <c r="E416">
        <v>510</v>
      </c>
      <c r="F416">
        <v>932</v>
      </c>
      <c r="G416" t="s">
        <v>5</v>
      </c>
      <c r="H416" s="1">
        <f t="shared" si="88"/>
        <v>36837.312500001004</v>
      </c>
      <c r="I416">
        <f t="shared" si="94"/>
        <v>1.4443999999999999</v>
      </c>
      <c r="J416">
        <f t="shared" si="95"/>
        <v>3.3839999999999999</v>
      </c>
      <c r="K416">
        <f t="shared" si="96"/>
        <v>19.213799999999999</v>
      </c>
      <c r="L416">
        <f t="shared" si="97"/>
        <v>-0.17879800000000357</v>
      </c>
      <c r="M416">
        <f t="shared" si="98"/>
        <v>326.76799999999997</v>
      </c>
      <c r="O416">
        <v>312</v>
      </c>
      <c r="P416">
        <v>730</v>
      </c>
      <c r="Q416">
        <v>0.7</v>
      </c>
      <c r="R416">
        <f t="shared" si="93"/>
        <v>-0.69977086017165491</v>
      </c>
    </row>
    <row r="417" spans="1:18" x14ac:dyDescent="0.25">
      <c r="A417">
        <v>71</v>
      </c>
      <c r="B417">
        <v>13</v>
      </c>
      <c r="C417">
        <v>56</v>
      </c>
      <c r="D417">
        <v>953</v>
      </c>
      <c r="E417">
        <v>513</v>
      </c>
      <c r="F417">
        <v>932</v>
      </c>
      <c r="G417" t="s">
        <v>5</v>
      </c>
      <c r="H417" s="1">
        <f t="shared" si="88"/>
        <v>36837.33333333434</v>
      </c>
      <c r="I417">
        <f t="shared" si="94"/>
        <v>1.3698000000000001</v>
      </c>
      <c r="J417">
        <f t="shared" si="95"/>
        <v>4.5776000000000003</v>
      </c>
      <c r="K417">
        <f t="shared" si="96"/>
        <v>95.250599999999991</v>
      </c>
      <c r="L417">
        <f t="shared" si="97"/>
        <v>9.3453379999998365E-2</v>
      </c>
      <c r="M417">
        <f t="shared" si="98"/>
        <v>326.76799999999997</v>
      </c>
      <c r="O417">
        <v>312</v>
      </c>
      <c r="P417">
        <v>800</v>
      </c>
      <c r="Q417">
        <v>0.69499999999999995</v>
      </c>
      <c r="R417">
        <f t="shared" si="93"/>
        <v>-0.6951188807334282</v>
      </c>
    </row>
    <row r="418" spans="1:18" x14ac:dyDescent="0.25">
      <c r="A418">
        <v>71</v>
      </c>
      <c r="B418">
        <v>32</v>
      </c>
      <c r="C418">
        <v>64</v>
      </c>
      <c r="D418">
        <v>965</v>
      </c>
      <c r="E418">
        <v>514</v>
      </c>
      <c r="F418">
        <v>932</v>
      </c>
      <c r="G418" t="s">
        <v>5</v>
      </c>
      <c r="H418" s="1">
        <f t="shared" si="88"/>
        <v>36837.354166667676</v>
      </c>
      <c r="I418">
        <f t="shared" ref="I418:J421" si="99">0.4+0.0746*B418</f>
        <v>2.7871999999999999</v>
      </c>
      <c r="J418">
        <f t="shared" si="99"/>
        <v>5.1744000000000003</v>
      </c>
      <c r="K418">
        <f t="shared" ref="K418:K440" si="100">-2.146+0.1022*D418</f>
        <v>96.477000000000004</v>
      </c>
      <c r="L418">
        <f t="shared" ref="L418:L440" si="101">-43.84+0.0805*E418+0.00001002*E418^2</f>
        <v>0.18424391999999923</v>
      </c>
      <c r="M418">
        <f t="shared" ref="M418:M440" si="102">1.5+0.349*F418</f>
        <v>326.76799999999997</v>
      </c>
      <c r="O418">
        <v>312</v>
      </c>
      <c r="P418">
        <v>830</v>
      </c>
      <c r="Q418">
        <v>0.69199999999999995</v>
      </c>
      <c r="R418">
        <f t="shared" si="93"/>
        <v>-0.6922333430354124</v>
      </c>
    </row>
    <row r="419" spans="1:18" x14ac:dyDescent="0.25">
      <c r="A419">
        <v>71</v>
      </c>
      <c r="B419">
        <v>18</v>
      </c>
      <c r="C419">
        <v>56</v>
      </c>
      <c r="D419">
        <v>855</v>
      </c>
      <c r="E419">
        <v>513</v>
      </c>
      <c r="F419">
        <v>933</v>
      </c>
      <c r="G419" t="s">
        <v>5</v>
      </c>
      <c r="H419" s="1">
        <f t="shared" si="88"/>
        <v>36837.375000001011</v>
      </c>
      <c r="I419">
        <f t="shared" si="99"/>
        <v>1.7427999999999999</v>
      </c>
      <c r="J419">
        <f t="shared" si="99"/>
        <v>4.5776000000000003</v>
      </c>
      <c r="K419">
        <f t="shared" si="100"/>
        <v>85.234999999999999</v>
      </c>
      <c r="L419">
        <f t="shared" si="101"/>
        <v>9.3453379999998365E-2</v>
      </c>
      <c r="M419">
        <f t="shared" si="102"/>
        <v>327.11699999999996</v>
      </c>
      <c r="O419">
        <v>312</v>
      </c>
      <c r="P419">
        <v>900</v>
      </c>
      <c r="Q419">
        <v>0.67</v>
      </c>
      <c r="R419">
        <f t="shared" si="93"/>
        <v>-0.67011460444805315</v>
      </c>
    </row>
    <row r="420" spans="1:18" x14ac:dyDescent="0.25">
      <c r="A420">
        <v>71</v>
      </c>
      <c r="B420">
        <v>19</v>
      </c>
      <c r="C420">
        <v>60</v>
      </c>
      <c r="D420">
        <v>754</v>
      </c>
      <c r="E420">
        <v>517</v>
      </c>
      <c r="F420">
        <v>933</v>
      </c>
      <c r="G420" t="s">
        <v>5</v>
      </c>
      <c r="H420" s="1">
        <f t="shared" si="88"/>
        <v>36837.395833334347</v>
      </c>
      <c r="I420">
        <f t="shared" si="99"/>
        <v>1.8174000000000001</v>
      </c>
      <c r="J420">
        <f t="shared" si="99"/>
        <v>4.8760000000000003</v>
      </c>
      <c r="K420">
        <f t="shared" si="100"/>
        <v>74.912800000000004</v>
      </c>
      <c r="L420">
        <f t="shared" si="101"/>
        <v>0.45673578000000115</v>
      </c>
      <c r="M420">
        <f t="shared" si="102"/>
        <v>327.11699999999996</v>
      </c>
      <c r="O420">
        <v>312</v>
      </c>
      <c r="P420">
        <v>930</v>
      </c>
      <c r="Q420">
        <v>0.66700000000000004</v>
      </c>
      <c r="R420">
        <f t="shared" si="93"/>
        <v>-0.66755741446615957</v>
      </c>
    </row>
    <row r="421" spans="1:18" x14ac:dyDescent="0.25">
      <c r="A421">
        <v>71</v>
      </c>
      <c r="B421">
        <v>14</v>
      </c>
      <c r="C421">
        <v>40</v>
      </c>
      <c r="D421">
        <v>820</v>
      </c>
      <c r="E421">
        <v>523</v>
      </c>
      <c r="F421">
        <v>933</v>
      </c>
      <c r="G421" t="s">
        <v>5</v>
      </c>
      <c r="H421" s="1">
        <f t="shared" si="88"/>
        <v>36837.416666667683</v>
      </c>
      <c r="I421">
        <f t="shared" si="99"/>
        <v>1.4443999999999999</v>
      </c>
      <c r="J421">
        <f t="shared" si="99"/>
        <v>3.3839999999999999</v>
      </c>
      <c r="K421">
        <f t="shared" si="100"/>
        <v>81.658000000000001</v>
      </c>
      <c r="L421">
        <f t="shared" si="101"/>
        <v>1.0022605799999984</v>
      </c>
      <c r="M421">
        <f t="shared" si="102"/>
        <v>327.11699999999996</v>
      </c>
      <c r="O421">
        <v>312</v>
      </c>
      <c r="P421">
        <v>1000</v>
      </c>
      <c r="Q421">
        <v>0.66500000000000004</v>
      </c>
      <c r="R421">
        <f t="shared" si="93"/>
        <v>-0.66621891453415649</v>
      </c>
    </row>
    <row r="422" spans="1:18" x14ac:dyDescent="0.25">
      <c r="A422">
        <v>71</v>
      </c>
      <c r="B422">
        <v>13</v>
      </c>
      <c r="C422">
        <v>36</v>
      </c>
      <c r="D422">
        <v>962</v>
      </c>
      <c r="E422">
        <v>529</v>
      </c>
      <c r="F422">
        <v>931</v>
      </c>
      <c r="G422" t="s">
        <v>5</v>
      </c>
      <c r="H422" s="1">
        <f t="shared" si="88"/>
        <v>36837.437500001019</v>
      </c>
      <c r="I422">
        <f t="shared" ref="I422:I428" si="103">0.4+0.0746*B422</f>
        <v>1.3698000000000001</v>
      </c>
      <c r="J422">
        <f t="shared" ref="J422:J428" si="104">0.4+0.0746*C422</f>
        <v>3.0855999999999999</v>
      </c>
      <c r="K422">
        <f t="shared" si="100"/>
        <v>96.170400000000001</v>
      </c>
      <c r="L422">
        <f t="shared" si="101"/>
        <v>1.5485068199999952</v>
      </c>
      <c r="M422">
        <f t="shared" si="102"/>
        <v>326.41899999999998</v>
      </c>
      <c r="O422">
        <v>312</v>
      </c>
      <c r="P422">
        <v>1030</v>
      </c>
      <c r="Q422">
        <v>0.66500000000000004</v>
      </c>
      <c r="R422">
        <f t="shared" si="93"/>
        <v>-0.66688230224424483</v>
      </c>
    </row>
    <row r="423" spans="1:18" x14ac:dyDescent="0.25">
      <c r="A423">
        <v>71</v>
      </c>
      <c r="B423">
        <v>22</v>
      </c>
      <c r="C423">
        <v>44</v>
      </c>
      <c r="D423">
        <v>910</v>
      </c>
      <c r="E423">
        <v>525</v>
      </c>
      <c r="F423">
        <v>929</v>
      </c>
      <c r="G423" t="s">
        <v>5</v>
      </c>
      <c r="H423" s="1">
        <f t="shared" si="88"/>
        <v>36837.458333334354</v>
      </c>
      <c r="I423">
        <f t="shared" si="103"/>
        <v>2.0411999999999999</v>
      </c>
      <c r="J423">
        <f t="shared" si="104"/>
        <v>3.6823999999999999</v>
      </c>
      <c r="K423">
        <f t="shared" si="100"/>
        <v>90.855999999999995</v>
      </c>
      <c r="L423">
        <f t="shared" si="101"/>
        <v>1.1842624999999996</v>
      </c>
      <c r="M423">
        <f t="shared" si="102"/>
        <v>325.721</v>
      </c>
      <c r="O423">
        <v>312</v>
      </c>
      <c r="P423">
        <v>1100</v>
      </c>
      <c r="Q423">
        <v>0.66500000000000004</v>
      </c>
      <c r="R423">
        <f t="shared" si="93"/>
        <v>-0.66644001977669209</v>
      </c>
    </row>
    <row r="424" spans="1:18" x14ac:dyDescent="0.25">
      <c r="A424">
        <v>71</v>
      </c>
      <c r="B424">
        <v>15</v>
      </c>
      <c r="C424">
        <v>44</v>
      </c>
      <c r="D424">
        <v>329</v>
      </c>
      <c r="E424">
        <v>528</v>
      </c>
      <c r="F424">
        <v>924</v>
      </c>
      <c r="G424" t="s">
        <v>5</v>
      </c>
      <c r="H424" s="1">
        <f t="shared" si="88"/>
        <v>36837.47916666769</v>
      </c>
      <c r="I424">
        <f t="shared" si="103"/>
        <v>1.5190000000000001</v>
      </c>
      <c r="J424">
        <f t="shared" si="104"/>
        <v>3.6823999999999999</v>
      </c>
      <c r="K424">
        <f t="shared" si="100"/>
        <v>31.477800000000002</v>
      </c>
      <c r="L424">
        <f t="shared" si="101"/>
        <v>1.4574156799999947</v>
      </c>
      <c r="M424">
        <f t="shared" si="102"/>
        <v>323.976</v>
      </c>
      <c r="O424">
        <v>312</v>
      </c>
      <c r="P424">
        <v>1130</v>
      </c>
      <c r="Q424">
        <v>0.66700000000000004</v>
      </c>
      <c r="R424">
        <f t="shared" si="93"/>
        <v>-0.66877705112614061</v>
      </c>
    </row>
    <row r="425" spans="1:18" x14ac:dyDescent="0.25">
      <c r="A425">
        <v>71</v>
      </c>
      <c r="B425">
        <v>25</v>
      </c>
      <c r="C425">
        <v>56</v>
      </c>
      <c r="D425">
        <v>341</v>
      </c>
      <c r="E425">
        <v>524</v>
      </c>
      <c r="F425">
        <v>913</v>
      </c>
      <c r="G425" t="s">
        <v>5</v>
      </c>
      <c r="H425" s="1">
        <f t="shared" si="88"/>
        <v>36837.500000001026</v>
      </c>
      <c r="I425">
        <f t="shared" si="103"/>
        <v>2.2650000000000001</v>
      </c>
      <c r="J425">
        <f t="shared" si="104"/>
        <v>4.5776000000000003</v>
      </c>
      <c r="K425">
        <f t="shared" si="100"/>
        <v>32.7042</v>
      </c>
      <c r="L425">
        <f t="shared" si="101"/>
        <v>1.093251519999999</v>
      </c>
      <c r="M425">
        <f t="shared" si="102"/>
        <v>320.137</v>
      </c>
      <c r="O425">
        <v>312</v>
      </c>
      <c r="P425">
        <v>1200</v>
      </c>
      <c r="Q425">
        <v>0.67700000000000005</v>
      </c>
      <c r="R425">
        <f t="shared" si="93"/>
        <v>-0.67835345448425854</v>
      </c>
    </row>
    <row r="426" spans="1:18" x14ac:dyDescent="0.25">
      <c r="A426">
        <v>71</v>
      </c>
      <c r="B426">
        <v>19</v>
      </c>
      <c r="C426">
        <v>40</v>
      </c>
      <c r="D426">
        <v>603</v>
      </c>
      <c r="E426">
        <v>524</v>
      </c>
      <c r="F426">
        <v>899</v>
      </c>
      <c r="G426" t="s">
        <v>5</v>
      </c>
      <c r="H426" s="1">
        <f t="shared" si="88"/>
        <v>36837.520833334362</v>
      </c>
      <c r="I426">
        <f t="shared" si="103"/>
        <v>1.8174000000000001</v>
      </c>
      <c r="J426">
        <f t="shared" si="104"/>
        <v>3.3839999999999999</v>
      </c>
      <c r="K426">
        <f t="shared" si="100"/>
        <v>59.480599999999995</v>
      </c>
      <c r="L426">
        <f t="shared" si="101"/>
        <v>1.093251519999999</v>
      </c>
      <c r="M426">
        <f t="shared" si="102"/>
        <v>315.25099999999998</v>
      </c>
      <c r="O426">
        <v>312</v>
      </c>
      <c r="P426">
        <v>1230</v>
      </c>
      <c r="Q426">
        <v>0.67200000000000004</v>
      </c>
      <c r="R426">
        <f t="shared" si="93"/>
        <v>-0.67334345851317834</v>
      </c>
    </row>
    <row r="427" spans="1:18" x14ac:dyDescent="0.25">
      <c r="A427">
        <v>71</v>
      </c>
      <c r="B427">
        <v>20</v>
      </c>
      <c r="C427">
        <v>48</v>
      </c>
      <c r="D427">
        <v>785</v>
      </c>
      <c r="E427">
        <v>527</v>
      </c>
      <c r="F427">
        <v>875</v>
      </c>
      <c r="G427" t="s">
        <v>5</v>
      </c>
      <c r="H427" s="1">
        <f t="shared" si="88"/>
        <v>36837.541666667697</v>
      </c>
      <c r="I427">
        <f t="shared" si="103"/>
        <v>1.8919999999999999</v>
      </c>
      <c r="J427">
        <f t="shared" si="104"/>
        <v>3.9807999999999999</v>
      </c>
      <c r="K427">
        <f t="shared" si="100"/>
        <v>78.081000000000003</v>
      </c>
      <c r="L427">
        <f t="shared" si="101"/>
        <v>1.3663445800000011</v>
      </c>
      <c r="M427">
        <f t="shared" si="102"/>
        <v>306.875</v>
      </c>
      <c r="O427">
        <v>312</v>
      </c>
      <c r="P427">
        <v>1300</v>
      </c>
      <c r="Q427">
        <v>0.68</v>
      </c>
      <c r="R427">
        <f t="shared" si="93"/>
        <v>-0.6816986185481444</v>
      </c>
    </row>
    <row r="428" spans="1:18" x14ac:dyDescent="0.25">
      <c r="A428">
        <v>71</v>
      </c>
      <c r="B428">
        <v>19</v>
      </c>
      <c r="C428">
        <v>44</v>
      </c>
      <c r="D428">
        <v>935</v>
      </c>
      <c r="E428">
        <v>524</v>
      </c>
      <c r="F428">
        <v>897</v>
      </c>
      <c r="G428" t="s">
        <v>5</v>
      </c>
      <c r="H428" s="1">
        <f t="shared" si="88"/>
        <v>36837.562500001033</v>
      </c>
      <c r="I428">
        <f t="shared" si="103"/>
        <v>1.8174000000000001</v>
      </c>
      <c r="J428">
        <f t="shared" si="104"/>
        <v>3.6823999999999999</v>
      </c>
      <c r="K428">
        <f t="shared" si="100"/>
        <v>93.411000000000001</v>
      </c>
      <c r="L428">
        <f t="shared" si="101"/>
        <v>1.093251519999999</v>
      </c>
      <c r="M428">
        <f t="shared" si="102"/>
        <v>314.553</v>
      </c>
      <c r="O428">
        <v>312</v>
      </c>
      <c r="P428">
        <v>1330</v>
      </c>
      <c r="Q428">
        <v>0.68200000000000005</v>
      </c>
      <c r="R428">
        <f t="shared" si="93"/>
        <v>-0.68336345045533875</v>
      </c>
    </row>
    <row r="429" spans="1:18" x14ac:dyDescent="0.25">
      <c r="A429">
        <v>71</v>
      </c>
      <c r="B429">
        <v>29</v>
      </c>
      <c r="C429">
        <v>64</v>
      </c>
      <c r="D429">
        <v>44</v>
      </c>
      <c r="E429">
        <v>529</v>
      </c>
      <c r="F429">
        <v>896</v>
      </c>
      <c r="G429" t="s">
        <v>5</v>
      </c>
      <c r="H429" s="1">
        <f t="shared" si="88"/>
        <v>36837.583333334369</v>
      </c>
      <c r="I429">
        <f t="shared" ref="I429:J436" si="105">0.4+0.0746*B429</f>
        <v>2.5634000000000001</v>
      </c>
      <c r="J429">
        <f t="shared" si="105"/>
        <v>5.1744000000000003</v>
      </c>
      <c r="K429">
        <f t="shared" si="100"/>
        <v>2.3508000000000004</v>
      </c>
      <c r="L429">
        <f t="shared" si="101"/>
        <v>1.5485068199999952</v>
      </c>
      <c r="M429">
        <f t="shared" si="102"/>
        <v>314.20399999999995</v>
      </c>
      <c r="O429">
        <v>312</v>
      </c>
      <c r="P429">
        <v>1400</v>
      </c>
      <c r="Q429">
        <v>0.68500000000000005</v>
      </c>
      <c r="R429">
        <f t="shared" si="93"/>
        <v>-0.68693891283805675</v>
      </c>
    </row>
    <row r="430" spans="1:18" x14ac:dyDescent="0.25">
      <c r="A430">
        <v>71</v>
      </c>
      <c r="B430">
        <v>11</v>
      </c>
      <c r="C430">
        <v>36</v>
      </c>
      <c r="D430">
        <v>335</v>
      </c>
      <c r="E430">
        <v>546</v>
      </c>
      <c r="F430">
        <v>869</v>
      </c>
      <c r="G430" t="s">
        <v>5</v>
      </c>
      <c r="H430" s="1">
        <f t="shared" si="88"/>
        <v>36837.604166667705</v>
      </c>
      <c r="I430">
        <f t="shared" si="105"/>
        <v>1.2206000000000001</v>
      </c>
      <c r="J430">
        <f t="shared" si="105"/>
        <v>3.0855999999999999</v>
      </c>
      <c r="K430">
        <f t="shared" si="100"/>
        <v>32.091000000000001</v>
      </c>
      <c r="L430">
        <f t="shared" si="101"/>
        <v>3.1001223199999997</v>
      </c>
      <c r="M430">
        <f t="shared" si="102"/>
        <v>304.78100000000001</v>
      </c>
      <c r="O430">
        <v>312</v>
      </c>
      <c r="P430">
        <v>1430</v>
      </c>
      <c r="Q430">
        <v>0.69499999999999995</v>
      </c>
      <c r="R430">
        <f t="shared" si="93"/>
        <v>-0.69893283192743416</v>
      </c>
    </row>
    <row r="431" spans="1:18" x14ac:dyDescent="0.25">
      <c r="A431">
        <v>71</v>
      </c>
      <c r="B431">
        <v>11</v>
      </c>
      <c r="C431">
        <v>32</v>
      </c>
      <c r="D431">
        <v>82</v>
      </c>
      <c r="E431">
        <v>563</v>
      </c>
      <c r="F431">
        <v>853</v>
      </c>
      <c r="G431" t="s">
        <v>5</v>
      </c>
      <c r="H431" s="1">
        <f t="shared" si="88"/>
        <v>36837.62500000104</v>
      </c>
      <c r="I431">
        <f t="shared" si="105"/>
        <v>1.2206000000000001</v>
      </c>
      <c r="J431">
        <f t="shared" si="105"/>
        <v>2.7871999999999999</v>
      </c>
      <c r="K431">
        <f t="shared" si="100"/>
        <v>6.2343999999999999</v>
      </c>
      <c r="L431">
        <f t="shared" si="101"/>
        <v>4.6575293799999971</v>
      </c>
      <c r="M431">
        <f t="shared" si="102"/>
        <v>299.197</v>
      </c>
      <c r="O431">
        <v>312</v>
      </c>
      <c r="P431">
        <v>1500</v>
      </c>
      <c r="Q431">
        <v>0.68700000000000006</v>
      </c>
      <c r="R431">
        <f t="shared" si="93"/>
        <v>-0.69283232287353536</v>
      </c>
    </row>
    <row r="432" spans="1:18" x14ac:dyDescent="0.25">
      <c r="A432">
        <v>71</v>
      </c>
      <c r="B432">
        <v>11</v>
      </c>
      <c r="C432">
        <v>24</v>
      </c>
      <c r="D432">
        <v>293</v>
      </c>
      <c r="E432">
        <v>526</v>
      </c>
      <c r="F432">
        <v>841</v>
      </c>
      <c r="G432" t="s">
        <v>5</v>
      </c>
      <c r="H432" s="1">
        <f t="shared" si="88"/>
        <v>36837.645833334376</v>
      </c>
      <c r="I432">
        <f t="shared" si="105"/>
        <v>1.2206000000000001</v>
      </c>
      <c r="J432">
        <f t="shared" si="105"/>
        <v>2.1903999999999999</v>
      </c>
      <c r="K432">
        <f t="shared" si="100"/>
        <v>27.7986</v>
      </c>
      <c r="L432">
        <f t="shared" si="101"/>
        <v>1.2752935200000004</v>
      </c>
      <c r="M432">
        <f t="shared" si="102"/>
        <v>295.00899999999996</v>
      </c>
      <c r="O432">
        <v>312</v>
      </c>
      <c r="P432">
        <v>1530</v>
      </c>
      <c r="Q432">
        <v>0.69199999999999995</v>
      </c>
      <c r="R432">
        <f t="shared" si="93"/>
        <v>-0.69361353733679898</v>
      </c>
    </row>
    <row r="433" spans="1:18" x14ac:dyDescent="0.25">
      <c r="A433">
        <v>71</v>
      </c>
      <c r="B433">
        <v>18</v>
      </c>
      <c r="C433">
        <v>48</v>
      </c>
      <c r="D433">
        <v>236</v>
      </c>
      <c r="E433">
        <v>523</v>
      </c>
      <c r="F433">
        <v>888</v>
      </c>
      <c r="G433" t="s">
        <v>5</v>
      </c>
      <c r="H433" s="1">
        <f t="shared" si="88"/>
        <v>36837.666666667712</v>
      </c>
      <c r="I433">
        <f t="shared" si="105"/>
        <v>1.7427999999999999</v>
      </c>
      <c r="J433">
        <f t="shared" si="105"/>
        <v>3.9807999999999999</v>
      </c>
      <c r="K433">
        <f t="shared" si="100"/>
        <v>21.973199999999999</v>
      </c>
      <c r="L433">
        <f t="shared" si="101"/>
        <v>1.0022605799999984</v>
      </c>
      <c r="M433">
        <f t="shared" si="102"/>
        <v>311.41199999999998</v>
      </c>
      <c r="O433">
        <v>312</v>
      </c>
      <c r="P433">
        <v>1600</v>
      </c>
      <c r="Q433">
        <v>0.69499999999999995</v>
      </c>
      <c r="R433">
        <f t="shared" si="93"/>
        <v>-0.69627390315975746</v>
      </c>
    </row>
    <row r="434" spans="1:18" x14ac:dyDescent="0.25">
      <c r="A434">
        <v>71</v>
      </c>
      <c r="B434">
        <v>15</v>
      </c>
      <c r="C434">
        <v>40</v>
      </c>
      <c r="D434">
        <v>223</v>
      </c>
      <c r="E434">
        <v>513</v>
      </c>
      <c r="F434">
        <v>885</v>
      </c>
      <c r="G434" t="s">
        <v>5</v>
      </c>
      <c r="H434" s="1">
        <f t="shared" si="88"/>
        <v>36837.687500001048</v>
      </c>
      <c r="I434">
        <f t="shared" si="105"/>
        <v>1.5190000000000001</v>
      </c>
      <c r="J434">
        <f t="shared" si="105"/>
        <v>3.3839999999999999</v>
      </c>
      <c r="K434">
        <f t="shared" si="100"/>
        <v>20.644600000000001</v>
      </c>
      <c r="L434">
        <f t="shared" si="101"/>
        <v>9.3453379999998365E-2</v>
      </c>
      <c r="M434">
        <f t="shared" si="102"/>
        <v>310.36499999999995</v>
      </c>
      <c r="O434">
        <v>312</v>
      </c>
      <c r="P434">
        <v>1630</v>
      </c>
      <c r="Q434">
        <v>0.7</v>
      </c>
      <c r="R434">
        <f t="shared" si="93"/>
        <v>-0.70011973599050314</v>
      </c>
    </row>
    <row r="435" spans="1:18" x14ac:dyDescent="0.25">
      <c r="A435">
        <v>71</v>
      </c>
      <c r="B435">
        <v>36</v>
      </c>
      <c r="C435">
        <v>76</v>
      </c>
      <c r="D435">
        <v>348</v>
      </c>
      <c r="E435">
        <v>510</v>
      </c>
      <c r="F435">
        <v>913</v>
      </c>
      <c r="G435" t="s">
        <v>5</v>
      </c>
      <c r="H435" s="1">
        <f t="shared" si="88"/>
        <v>36837.708333334383</v>
      </c>
      <c r="I435">
        <f t="shared" si="105"/>
        <v>3.0855999999999999</v>
      </c>
      <c r="J435">
        <f t="shared" si="105"/>
        <v>6.0696000000000003</v>
      </c>
      <c r="K435">
        <f t="shared" si="100"/>
        <v>33.419599999999996</v>
      </c>
      <c r="L435">
        <f t="shared" si="101"/>
        <v>-0.17879800000000357</v>
      </c>
      <c r="M435">
        <f t="shared" si="102"/>
        <v>320.137</v>
      </c>
      <c r="O435">
        <v>312</v>
      </c>
      <c r="P435">
        <v>1700</v>
      </c>
      <c r="Q435">
        <v>0.70499999999999996</v>
      </c>
      <c r="R435">
        <f t="shared" si="93"/>
        <v>-0.70476922345859527</v>
      </c>
    </row>
    <row r="436" spans="1:18" x14ac:dyDescent="0.25">
      <c r="A436">
        <v>71</v>
      </c>
      <c r="B436">
        <v>18</v>
      </c>
      <c r="C436">
        <v>60</v>
      </c>
      <c r="D436">
        <v>999</v>
      </c>
      <c r="E436">
        <v>526</v>
      </c>
      <c r="F436">
        <v>857</v>
      </c>
      <c r="G436" t="s">
        <v>5</v>
      </c>
      <c r="H436" s="1">
        <f t="shared" si="88"/>
        <v>36837.729166667719</v>
      </c>
      <c r="I436">
        <f t="shared" si="105"/>
        <v>1.7427999999999999</v>
      </c>
      <c r="J436">
        <f t="shared" si="105"/>
        <v>4.8760000000000003</v>
      </c>
      <c r="K436">
        <f t="shared" si="100"/>
        <v>99.951799999999992</v>
      </c>
      <c r="L436">
        <f t="shared" si="101"/>
        <v>1.2752935200000004</v>
      </c>
      <c r="M436">
        <f t="shared" si="102"/>
        <v>300.59299999999996</v>
      </c>
      <c r="O436">
        <v>312</v>
      </c>
      <c r="P436">
        <v>1730</v>
      </c>
      <c r="Q436">
        <v>0.70699999999999996</v>
      </c>
      <c r="R436">
        <f t="shared" si="93"/>
        <v>-0.70864851285710528</v>
      </c>
    </row>
    <row r="437" spans="1:18" x14ac:dyDescent="0.25">
      <c r="A437">
        <v>71</v>
      </c>
      <c r="B437">
        <v>31</v>
      </c>
      <c r="C437">
        <v>56</v>
      </c>
      <c r="D437">
        <v>547</v>
      </c>
      <c r="E437">
        <v>516</v>
      </c>
      <c r="F437">
        <v>881</v>
      </c>
      <c r="G437" t="s">
        <v>5</v>
      </c>
      <c r="H437" s="1">
        <f t="shared" si="88"/>
        <v>36837.750000001055</v>
      </c>
      <c r="I437">
        <f t="shared" ref="I437:J440" si="106">0.4+0.0746*B437</f>
        <v>2.7125999999999997</v>
      </c>
      <c r="J437">
        <f t="shared" si="106"/>
        <v>4.5776000000000003</v>
      </c>
      <c r="K437">
        <f t="shared" si="100"/>
        <v>53.757399999999997</v>
      </c>
      <c r="L437">
        <f t="shared" si="101"/>
        <v>0.36588512000000062</v>
      </c>
      <c r="M437">
        <f t="shared" si="102"/>
        <v>308.96899999999999</v>
      </c>
      <c r="O437">
        <v>312</v>
      </c>
      <c r="P437">
        <v>1800</v>
      </c>
      <c r="Q437">
        <v>0.70499999999999996</v>
      </c>
      <c r="R437">
        <f t="shared" si="93"/>
        <v>-0.70547201663292436</v>
      </c>
    </row>
    <row r="438" spans="1:18" x14ac:dyDescent="0.25">
      <c r="A438">
        <v>71</v>
      </c>
      <c r="B438">
        <v>20</v>
      </c>
      <c r="C438">
        <v>44</v>
      </c>
      <c r="D438">
        <v>388</v>
      </c>
      <c r="E438">
        <v>511</v>
      </c>
      <c r="F438">
        <v>893</v>
      </c>
      <c r="G438" t="s">
        <v>5</v>
      </c>
      <c r="H438" s="1">
        <f t="shared" si="88"/>
        <v>36837.770833334391</v>
      </c>
      <c r="I438">
        <f t="shared" si="106"/>
        <v>1.8919999999999999</v>
      </c>
      <c r="J438">
        <f t="shared" si="106"/>
        <v>3.6823999999999999</v>
      </c>
      <c r="K438">
        <f t="shared" si="100"/>
        <v>37.507599999999996</v>
      </c>
      <c r="L438">
        <f t="shared" si="101"/>
        <v>-8.806758000000281E-2</v>
      </c>
      <c r="M438">
        <f t="shared" si="102"/>
        <v>313.15699999999998</v>
      </c>
      <c r="O438">
        <v>312</v>
      </c>
      <c r="P438">
        <v>1830</v>
      </c>
      <c r="Q438">
        <v>0.70699999999999996</v>
      </c>
      <c r="R438">
        <f t="shared" si="93"/>
        <v>-0.70688601720930089</v>
      </c>
    </row>
    <row r="439" spans="1:18" x14ac:dyDescent="0.25">
      <c r="A439">
        <v>71</v>
      </c>
      <c r="B439">
        <v>37</v>
      </c>
      <c r="C439">
        <v>80</v>
      </c>
      <c r="D439">
        <v>333</v>
      </c>
      <c r="E439">
        <v>505</v>
      </c>
      <c r="F439">
        <v>901</v>
      </c>
      <c r="G439" t="s">
        <v>5</v>
      </c>
      <c r="H439" s="1">
        <f t="shared" si="88"/>
        <v>36837.791666667727</v>
      </c>
      <c r="I439">
        <f>0.4+0.0746*B439</f>
        <v>3.1602000000000001</v>
      </c>
      <c r="J439">
        <f>0.4+0.0746*C439</f>
        <v>6.3680000000000003</v>
      </c>
      <c r="K439">
        <f t="shared" si="100"/>
        <v>31.886600000000001</v>
      </c>
      <c r="L439">
        <f t="shared" si="101"/>
        <v>-0.6321494999999997</v>
      </c>
      <c r="M439">
        <f t="shared" si="102"/>
        <v>315.94899999999996</v>
      </c>
      <c r="O439">
        <v>312</v>
      </c>
      <c r="P439">
        <v>1900</v>
      </c>
      <c r="Q439">
        <v>0.71</v>
      </c>
      <c r="R439">
        <f t="shared" si="93"/>
        <v>-0.70917794961582581</v>
      </c>
    </row>
    <row r="440" spans="1:18" x14ac:dyDescent="0.25">
      <c r="A440">
        <v>71</v>
      </c>
      <c r="B440">
        <v>31</v>
      </c>
      <c r="C440">
        <v>72</v>
      </c>
      <c r="D440">
        <v>542</v>
      </c>
      <c r="E440">
        <v>517</v>
      </c>
      <c r="F440">
        <v>765</v>
      </c>
      <c r="G440" t="s">
        <v>5</v>
      </c>
      <c r="H440" s="1">
        <f t="shared" si="88"/>
        <v>36837.812500001062</v>
      </c>
      <c r="I440">
        <f t="shared" si="106"/>
        <v>2.7125999999999997</v>
      </c>
      <c r="J440">
        <f t="shared" si="106"/>
        <v>5.7712000000000003</v>
      </c>
      <c r="K440">
        <f t="shared" si="100"/>
        <v>53.246400000000001</v>
      </c>
      <c r="L440">
        <f t="shared" si="101"/>
        <v>0.45673578000000115</v>
      </c>
      <c r="M440">
        <f t="shared" si="102"/>
        <v>268.48499999999996</v>
      </c>
      <c r="O440">
        <v>312</v>
      </c>
      <c r="P440">
        <v>1930</v>
      </c>
      <c r="Q440">
        <v>0.71199999999999997</v>
      </c>
      <c r="R440">
        <f t="shared" si="93"/>
        <v>-0.71259502113928874</v>
      </c>
    </row>
    <row r="441" spans="1:18" x14ac:dyDescent="0.25">
      <c r="A441">
        <v>711</v>
      </c>
      <c r="B441">
        <v>24</v>
      </c>
      <c r="C441">
        <v>68</v>
      </c>
      <c r="D441">
        <v>865</v>
      </c>
      <c r="E441">
        <v>510</v>
      </c>
      <c r="F441">
        <v>840</v>
      </c>
      <c r="G441" t="s">
        <v>5</v>
      </c>
      <c r="H441" s="1">
        <f>H440+1/48</f>
        <v>36837.833333334398</v>
      </c>
      <c r="I441">
        <f t="shared" ref="I441:I485" si="107">0.4+0.0746*B441</f>
        <v>2.1903999999999999</v>
      </c>
      <c r="J441">
        <f t="shared" ref="J441:J485" si="108">0.4+0.0746*C441</f>
        <v>5.4728000000000003</v>
      </c>
      <c r="K441">
        <f t="shared" ref="K441:K485" si="109">-2.146+0.1022*D441</f>
        <v>86.257000000000005</v>
      </c>
      <c r="L441">
        <f t="shared" ref="L441:L485" si="110">-43.84+0.0805*E441+0.00001002*E441^2</f>
        <v>-0.17879800000000357</v>
      </c>
      <c r="M441">
        <f t="shared" ref="M441:M485" si="111">1.5+0.349*F441</f>
        <v>294.65999999999997</v>
      </c>
      <c r="O441">
        <v>312</v>
      </c>
      <c r="P441">
        <v>2000</v>
      </c>
      <c r="Q441">
        <v>0.71199999999999997</v>
      </c>
      <c r="R441">
        <f t="shared" si="93"/>
        <v>-0.71176693206031183</v>
      </c>
    </row>
    <row r="442" spans="1:18" x14ac:dyDescent="0.25">
      <c r="A442">
        <v>711</v>
      </c>
      <c r="B442">
        <v>44</v>
      </c>
      <c r="C442">
        <v>92</v>
      </c>
      <c r="D442">
        <v>348</v>
      </c>
      <c r="E442">
        <v>499</v>
      </c>
      <c r="F442">
        <v>852</v>
      </c>
      <c r="G442" t="s">
        <v>5</v>
      </c>
      <c r="H442" s="1">
        <f t="shared" si="88"/>
        <v>36837.854166667734</v>
      </c>
      <c r="I442">
        <f t="shared" si="107"/>
        <v>3.6823999999999999</v>
      </c>
      <c r="J442">
        <f t="shared" si="108"/>
        <v>7.2632000000000003</v>
      </c>
      <c r="K442">
        <f t="shared" si="109"/>
        <v>33.419599999999996</v>
      </c>
      <c r="L442">
        <f t="shared" si="110"/>
        <v>-1.1755099800000037</v>
      </c>
      <c r="M442">
        <f t="shared" si="111"/>
        <v>298.84799999999996</v>
      </c>
      <c r="O442">
        <v>312</v>
      </c>
      <c r="P442">
        <v>2030</v>
      </c>
      <c r="Q442">
        <v>0.71499999999999997</v>
      </c>
      <c r="R442">
        <f t="shared" si="93"/>
        <v>-0.71345982819805986</v>
      </c>
    </row>
    <row r="443" spans="1:18" x14ac:dyDescent="0.25">
      <c r="A443">
        <v>711</v>
      </c>
      <c r="B443">
        <v>48</v>
      </c>
      <c r="C443">
        <v>84</v>
      </c>
      <c r="D443">
        <v>856</v>
      </c>
      <c r="E443">
        <v>503</v>
      </c>
      <c r="F443">
        <v>800</v>
      </c>
      <c r="G443" t="s">
        <v>5</v>
      </c>
      <c r="H443" s="1">
        <f t="shared" ref="H443:H505" si="112">H442+1/48</f>
        <v>36837.87500000107</v>
      </c>
      <c r="I443">
        <f t="shared" si="107"/>
        <v>3.9807999999999999</v>
      </c>
      <c r="J443">
        <f t="shared" si="108"/>
        <v>6.6664000000000003</v>
      </c>
      <c r="K443">
        <f t="shared" si="109"/>
        <v>85.337199999999996</v>
      </c>
      <c r="L443">
        <f t="shared" si="110"/>
        <v>-0.81334982000000133</v>
      </c>
      <c r="M443">
        <f t="shared" si="111"/>
        <v>280.7</v>
      </c>
      <c r="O443">
        <v>312</v>
      </c>
      <c r="P443">
        <v>2100</v>
      </c>
      <c r="Q443">
        <v>0.71699999999999997</v>
      </c>
      <c r="R443">
        <f t="shared" si="93"/>
        <v>-0.71593171043127235</v>
      </c>
    </row>
    <row r="444" spans="1:18" x14ac:dyDescent="0.25">
      <c r="A444">
        <v>711</v>
      </c>
      <c r="B444">
        <v>48</v>
      </c>
      <c r="C444">
        <v>100</v>
      </c>
      <c r="D444">
        <v>426</v>
      </c>
      <c r="E444">
        <v>494</v>
      </c>
      <c r="F444">
        <v>825</v>
      </c>
      <c r="G444" t="s">
        <v>5</v>
      </c>
      <c r="H444" s="1">
        <f t="shared" si="112"/>
        <v>36837.895833334405</v>
      </c>
      <c r="I444">
        <f t="shared" si="107"/>
        <v>3.9807999999999999</v>
      </c>
      <c r="J444">
        <f t="shared" si="108"/>
        <v>7.86</v>
      </c>
      <c r="K444">
        <f t="shared" si="109"/>
        <v>41.391199999999998</v>
      </c>
      <c r="L444">
        <f t="shared" si="110"/>
        <v>-1.6277592800000003</v>
      </c>
      <c r="M444">
        <f t="shared" si="111"/>
        <v>289.42499999999995</v>
      </c>
      <c r="O444">
        <v>312</v>
      </c>
      <c r="P444">
        <v>2130</v>
      </c>
      <c r="Q444">
        <v>0.71699999999999997</v>
      </c>
      <c r="R444">
        <f t="shared" si="93"/>
        <v>-0.71486042951006323</v>
      </c>
    </row>
    <row r="445" spans="1:18" x14ac:dyDescent="0.25">
      <c r="A445">
        <v>711</v>
      </c>
      <c r="B445">
        <v>70</v>
      </c>
      <c r="C445">
        <v>132</v>
      </c>
      <c r="D445">
        <v>426</v>
      </c>
      <c r="E445">
        <v>502</v>
      </c>
      <c r="F445">
        <v>689</v>
      </c>
      <c r="G445" t="s">
        <v>5</v>
      </c>
      <c r="H445" s="1">
        <f t="shared" si="112"/>
        <v>36837.916666667741</v>
      </c>
      <c r="I445">
        <f t="shared" si="107"/>
        <v>5.6219999999999999</v>
      </c>
      <c r="J445">
        <f t="shared" si="108"/>
        <v>10.247200000000001</v>
      </c>
      <c r="K445">
        <f t="shared" si="109"/>
        <v>41.391199999999998</v>
      </c>
      <c r="L445">
        <f t="shared" si="110"/>
        <v>-0.9039199200000021</v>
      </c>
      <c r="M445">
        <f t="shared" si="111"/>
        <v>241.96099999999998</v>
      </c>
      <c r="O445">
        <v>312</v>
      </c>
      <c r="P445">
        <v>2200</v>
      </c>
      <c r="Q445">
        <v>0.72</v>
      </c>
      <c r="R445">
        <f t="shared" si="93"/>
        <v>-0.71880768503096271</v>
      </c>
    </row>
    <row r="446" spans="1:18" x14ac:dyDescent="0.25">
      <c r="A446">
        <v>711</v>
      </c>
      <c r="B446">
        <v>110</v>
      </c>
      <c r="C446">
        <v>176</v>
      </c>
      <c r="D446">
        <v>803</v>
      </c>
      <c r="E446">
        <v>493</v>
      </c>
      <c r="F446">
        <v>725</v>
      </c>
      <c r="G446" t="s">
        <v>5</v>
      </c>
      <c r="H446" s="1">
        <f t="shared" si="112"/>
        <v>36837.937500001077</v>
      </c>
      <c r="I446">
        <f t="shared" si="107"/>
        <v>8.6059999999999999</v>
      </c>
      <c r="J446">
        <f t="shared" si="108"/>
        <v>13.5296</v>
      </c>
      <c r="K446">
        <f t="shared" si="109"/>
        <v>79.920599999999993</v>
      </c>
      <c r="L446">
        <f t="shared" si="110"/>
        <v>-1.7181490200000011</v>
      </c>
      <c r="M446">
        <f t="shared" si="111"/>
        <v>254.52499999999998</v>
      </c>
      <c r="O446">
        <v>312</v>
      </c>
      <c r="P446">
        <v>2230</v>
      </c>
      <c r="Q446">
        <v>0.72</v>
      </c>
      <c r="R446">
        <f t="shared" si="93"/>
        <v>-0.71773198102639435</v>
      </c>
    </row>
    <row r="447" spans="1:18" x14ac:dyDescent="0.25">
      <c r="A447">
        <v>711</v>
      </c>
      <c r="B447">
        <v>110</v>
      </c>
      <c r="C447">
        <v>564</v>
      </c>
      <c r="D447">
        <v>705</v>
      </c>
      <c r="E447">
        <v>492</v>
      </c>
      <c r="F447">
        <v>486</v>
      </c>
      <c r="G447" t="s">
        <v>5</v>
      </c>
      <c r="H447" s="1">
        <f t="shared" si="112"/>
        <v>36837.958333334413</v>
      </c>
      <c r="I447">
        <f t="shared" si="107"/>
        <v>8.6059999999999999</v>
      </c>
      <c r="J447">
        <f t="shared" si="108"/>
        <v>42.474399999999996</v>
      </c>
      <c r="K447">
        <f t="shared" si="109"/>
        <v>69.905000000000001</v>
      </c>
      <c r="L447">
        <f t="shared" si="110"/>
        <v>-1.8085187200000017</v>
      </c>
      <c r="M447">
        <f t="shared" si="111"/>
        <v>171.11399999999998</v>
      </c>
      <c r="O447">
        <v>312</v>
      </c>
      <c r="P447">
        <v>2300</v>
      </c>
      <c r="Q447">
        <v>0.72199999999999998</v>
      </c>
      <c r="R447">
        <f t="shared" si="93"/>
        <v>-0.71960585935325416</v>
      </c>
    </row>
    <row r="448" spans="1:18" x14ac:dyDescent="0.25">
      <c r="A448">
        <v>711</v>
      </c>
      <c r="B448">
        <v>140</v>
      </c>
      <c r="C448">
        <v>388</v>
      </c>
      <c r="D448">
        <v>374</v>
      </c>
      <c r="E448">
        <v>496</v>
      </c>
      <c r="F448">
        <v>432</v>
      </c>
      <c r="G448" t="s">
        <v>5</v>
      </c>
      <c r="H448" s="1">
        <f t="shared" si="112"/>
        <v>36837.979166667748</v>
      </c>
      <c r="I448">
        <f t="shared" si="107"/>
        <v>10.843999999999999</v>
      </c>
      <c r="J448">
        <f t="shared" si="108"/>
        <v>29.344799999999999</v>
      </c>
      <c r="K448">
        <f t="shared" si="109"/>
        <v>36.076799999999999</v>
      </c>
      <c r="L448">
        <f t="shared" si="110"/>
        <v>-1.4469196799999988</v>
      </c>
      <c r="M448">
        <f t="shared" si="111"/>
        <v>152.268</v>
      </c>
      <c r="O448">
        <v>312</v>
      </c>
      <c r="P448">
        <v>2330</v>
      </c>
      <c r="Q448">
        <v>0.72699999999999998</v>
      </c>
      <c r="R448">
        <f t="shared" si="93"/>
        <v>-0.72507192505162921</v>
      </c>
    </row>
    <row r="449" spans="1:18" x14ac:dyDescent="0.25">
      <c r="A449">
        <v>711</v>
      </c>
      <c r="B449">
        <v>88</v>
      </c>
      <c r="C449">
        <v>268</v>
      </c>
      <c r="D449">
        <v>313</v>
      </c>
      <c r="E449">
        <v>487</v>
      </c>
      <c r="F449">
        <v>573</v>
      </c>
      <c r="G449" t="s">
        <v>5</v>
      </c>
      <c r="H449" s="1">
        <f t="shared" si="112"/>
        <v>36838.000000001084</v>
      </c>
      <c r="I449">
        <f t="shared" si="107"/>
        <v>6.9648000000000003</v>
      </c>
      <c r="J449">
        <f t="shared" si="108"/>
        <v>20.392799999999998</v>
      </c>
      <c r="K449">
        <f t="shared" si="109"/>
        <v>29.842599999999997</v>
      </c>
      <c r="L449">
        <f t="shared" si="110"/>
        <v>-2.2600666200000052</v>
      </c>
      <c r="M449">
        <f t="shared" si="111"/>
        <v>201.47699999999998</v>
      </c>
      <c r="O449">
        <v>312</v>
      </c>
      <c r="P449">
        <v>2400</v>
      </c>
      <c r="Q449">
        <v>0.72499999999999998</v>
      </c>
      <c r="R449">
        <f t="shared" si="93"/>
        <v>-0.72199441375280216</v>
      </c>
    </row>
    <row r="450" spans="1:18" x14ac:dyDescent="0.25">
      <c r="A450">
        <v>711</v>
      </c>
      <c r="B450">
        <v>90</v>
      </c>
      <c r="C450">
        <v>236</v>
      </c>
      <c r="D450">
        <v>401</v>
      </c>
      <c r="E450">
        <v>486</v>
      </c>
      <c r="F450">
        <v>508</v>
      </c>
      <c r="G450" t="s">
        <v>5</v>
      </c>
      <c r="H450" s="1">
        <f t="shared" si="112"/>
        <v>36838.02083333442</v>
      </c>
      <c r="I450">
        <f t="shared" si="107"/>
        <v>7.1140000000000008</v>
      </c>
      <c r="J450">
        <f t="shared" si="108"/>
        <v>18.005599999999998</v>
      </c>
      <c r="K450">
        <f t="shared" si="109"/>
        <v>38.836199999999998</v>
      </c>
      <c r="L450">
        <f t="shared" si="110"/>
        <v>-2.3503160800000056</v>
      </c>
      <c r="M450">
        <f t="shared" si="111"/>
        <v>178.792</v>
      </c>
      <c r="O450">
        <v>313</v>
      </c>
      <c r="P450">
        <v>30</v>
      </c>
      <c r="Q450">
        <v>0.72699999999999998</v>
      </c>
      <c r="R450">
        <f t="shared" si="93"/>
        <v>-0.72386551113320829</v>
      </c>
    </row>
    <row r="451" spans="1:18" x14ac:dyDescent="0.25">
      <c r="A451">
        <v>711</v>
      </c>
      <c r="B451">
        <v>90</v>
      </c>
      <c r="C451">
        <v>308</v>
      </c>
      <c r="D451">
        <v>206</v>
      </c>
      <c r="E451">
        <v>481</v>
      </c>
      <c r="F451">
        <v>593</v>
      </c>
      <c r="G451" t="s">
        <v>5</v>
      </c>
      <c r="H451" s="1">
        <f t="shared" si="112"/>
        <v>36838.041666667756</v>
      </c>
      <c r="I451">
        <f t="shared" si="107"/>
        <v>7.1140000000000008</v>
      </c>
      <c r="J451">
        <f t="shared" si="108"/>
        <v>23.376799999999999</v>
      </c>
      <c r="K451">
        <f t="shared" si="109"/>
        <v>18.9072</v>
      </c>
      <c r="L451">
        <f t="shared" si="110"/>
        <v>-2.8012627800000018</v>
      </c>
      <c r="M451">
        <f t="shared" si="111"/>
        <v>208.45699999999999</v>
      </c>
      <c r="O451">
        <v>313</v>
      </c>
      <c r="P451">
        <v>100</v>
      </c>
      <c r="Q451">
        <v>0.72499999999999998</v>
      </c>
      <c r="R451">
        <f t="shared" si="93"/>
        <v>-0.72127283662663777</v>
      </c>
    </row>
    <row r="452" spans="1:18" x14ac:dyDescent="0.25">
      <c r="A452">
        <v>711</v>
      </c>
      <c r="B452">
        <v>106</v>
      </c>
      <c r="C452">
        <v>252</v>
      </c>
      <c r="D452">
        <v>641</v>
      </c>
      <c r="E452">
        <v>481</v>
      </c>
      <c r="F452">
        <v>561</v>
      </c>
      <c r="G452" t="s">
        <v>5</v>
      </c>
      <c r="H452" s="1">
        <f t="shared" si="112"/>
        <v>36838.062500001091</v>
      </c>
      <c r="I452">
        <f t="shared" si="107"/>
        <v>8.3076000000000008</v>
      </c>
      <c r="J452">
        <f t="shared" si="108"/>
        <v>19.199199999999998</v>
      </c>
      <c r="K452">
        <f t="shared" si="109"/>
        <v>63.364199999999997</v>
      </c>
      <c r="L452">
        <f t="shared" si="110"/>
        <v>-2.8012627800000018</v>
      </c>
      <c r="M452">
        <f t="shared" si="111"/>
        <v>197.28899999999999</v>
      </c>
      <c r="O452">
        <v>313</v>
      </c>
      <c r="P452">
        <v>130</v>
      </c>
      <c r="Q452">
        <v>0.72699999999999998</v>
      </c>
      <c r="R452">
        <f t="shared" si="93"/>
        <v>-0.72326255479664237</v>
      </c>
    </row>
    <row r="453" spans="1:18" x14ac:dyDescent="0.25">
      <c r="A453">
        <v>711</v>
      </c>
      <c r="B453">
        <v>152</v>
      </c>
      <c r="C453">
        <v>376</v>
      </c>
      <c r="D453">
        <v>691</v>
      </c>
      <c r="E453">
        <v>480</v>
      </c>
      <c r="F453">
        <v>625</v>
      </c>
      <c r="G453" t="s">
        <v>5</v>
      </c>
      <c r="H453" s="1">
        <f t="shared" si="112"/>
        <v>36838.083333334427</v>
      </c>
      <c r="I453">
        <f t="shared" si="107"/>
        <v>11.7392</v>
      </c>
      <c r="J453">
        <f t="shared" si="108"/>
        <v>28.449599999999997</v>
      </c>
      <c r="K453">
        <f t="shared" si="109"/>
        <v>68.474199999999996</v>
      </c>
      <c r="L453">
        <f t="shared" si="110"/>
        <v>-2.8913920000000028</v>
      </c>
      <c r="M453">
        <f t="shared" si="111"/>
        <v>219.62499999999997</v>
      </c>
      <c r="O453">
        <v>313</v>
      </c>
      <c r="P453">
        <v>200</v>
      </c>
      <c r="Q453">
        <v>0.72699999999999998</v>
      </c>
      <c r="R453">
        <f t="shared" si="93"/>
        <v>-0.72314198363264348</v>
      </c>
    </row>
    <row r="454" spans="1:18" x14ac:dyDescent="0.25">
      <c r="A454">
        <v>711</v>
      </c>
      <c r="B454">
        <v>154</v>
      </c>
      <c r="C454">
        <v>348</v>
      </c>
      <c r="D454">
        <v>693</v>
      </c>
      <c r="E454">
        <v>464</v>
      </c>
      <c r="F454">
        <v>765</v>
      </c>
      <c r="G454" t="s">
        <v>5</v>
      </c>
      <c r="H454" s="1">
        <f t="shared" si="112"/>
        <v>36838.104166667763</v>
      </c>
      <c r="I454">
        <f t="shared" si="107"/>
        <v>11.888400000000001</v>
      </c>
      <c r="J454">
        <f t="shared" si="108"/>
        <v>26.360799999999998</v>
      </c>
      <c r="K454">
        <f t="shared" si="109"/>
        <v>68.678600000000003</v>
      </c>
      <c r="L454">
        <f t="shared" si="110"/>
        <v>-4.3307340799999992</v>
      </c>
      <c r="M454">
        <f t="shared" si="111"/>
        <v>268.48499999999996</v>
      </c>
      <c r="O454">
        <v>313</v>
      </c>
      <c r="P454">
        <v>230</v>
      </c>
      <c r="Q454">
        <v>0.73</v>
      </c>
      <c r="R454">
        <f t="shared" si="93"/>
        <v>-0.7241898825151315</v>
      </c>
    </row>
    <row r="455" spans="1:18" x14ac:dyDescent="0.25">
      <c r="A455">
        <v>711</v>
      </c>
      <c r="B455">
        <v>150</v>
      </c>
      <c r="C455">
        <v>324</v>
      </c>
      <c r="D455">
        <v>786</v>
      </c>
      <c r="E455">
        <v>470</v>
      </c>
      <c r="F455">
        <v>717</v>
      </c>
      <c r="G455" t="s">
        <v>5</v>
      </c>
      <c r="H455" s="1">
        <f t="shared" si="112"/>
        <v>36838.125000001099</v>
      </c>
      <c r="I455">
        <f t="shared" si="107"/>
        <v>11.59</v>
      </c>
      <c r="J455">
        <f t="shared" si="108"/>
        <v>24.570399999999999</v>
      </c>
      <c r="K455">
        <f t="shared" si="109"/>
        <v>78.183199999999999</v>
      </c>
      <c r="L455">
        <f t="shared" si="110"/>
        <v>-3.7915820000000022</v>
      </c>
      <c r="M455">
        <f t="shared" si="111"/>
        <v>251.73299999999998</v>
      </c>
      <c r="O455">
        <v>313</v>
      </c>
      <c r="P455">
        <v>300</v>
      </c>
      <c r="Q455">
        <v>0.73199999999999998</v>
      </c>
      <c r="R455">
        <f t="shared" ref="R455:R518" si="113">-SQRT((L455+273.15)/273.15)*Q455</f>
        <v>-0.72690181788991548</v>
      </c>
    </row>
    <row r="456" spans="1:18" x14ac:dyDescent="0.25">
      <c r="A456">
        <v>711</v>
      </c>
      <c r="B456">
        <v>145</v>
      </c>
      <c r="C456">
        <v>364</v>
      </c>
      <c r="D456">
        <v>816</v>
      </c>
      <c r="E456">
        <v>481</v>
      </c>
      <c r="F456">
        <v>571</v>
      </c>
      <c r="G456" t="s">
        <v>5</v>
      </c>
      <c r="H456" s="1">
        <f t="shared" si="112"/>
        <v>36838.145833334434</v>
      </c>
      <c r="I456">
        <f t="shared" si="107"/>
        <v>11.217000000000001</v>
      </c>
      <c r="J456">
        <f t="shared" si="108"/>
        <v>27.554399999999998</v>
      </c>
      <c r="K456">
        <f t="shared" si="109"/>
        <v>81.249200000000002</v>
      </c>
      <c r="L456">
        <f t="shared" si="110"/>
        <v>-2.8012627800000018</v>
      </c>
      <c r="M456">
        <f t="shared" si="111"/>
        <v>200.779</v>
      </c>
      <c r="O456">
        <v>313</v>
      </c>
      <c r="P456">
        <v>330</v>
      </c>
      <c r="Q456">
        <v>0.73</v>
      </c>
      <c r="R456">
        <f t="shared" si="113"/>
        <v>-0.72624713205164915</v>
      </c>
    </row>
    <row r="457" spans="1:18" x14ac:dyDescent="0.25">
      <c r="A457">
        <v>711</v>
      </c>
      <c r="B457">
        <v>141</v>
      </c>
      <c r="C457">
        <v>312</v>
      </c>
      <c r="D457">
        <v>737</v>
      </c>
      <c r="E457">
        <v>476</v>
      </c>
      <c r="F457">
        <v>657</v>
      </c>
      <c r="G457" t="s">
        <v>5</v>
      </c>
      <c r="H457" s="1">
        <f t="shared" si="112"/>
        <v>36838.16666666777</v>
      </c>
      <c r="I457">
        <f t="shared" si="107"/>
        <v>10.9186</v>
      </c>
      <c r="J457">
        <f t="shared" si="108"/>
        <v>23.675199999999997</v>
      </c>
      <c r="K457">
        <f t="shared" si="109"/>
        <v>73.175399999999996</v>
      </c>
      <c r="L457">
        <f t="shared" si="110"/>
        <v>-3.2517084800000053</v>
      </c>
      <c r="M457">
        <f t="shared" si="111"/>
        <v>230.79299999999998</v>
      </c>
      <c r="O457">
        <v>313</v>
      </c>
      <c r="P457">
        <v>400</v>
      </c>
      <c r="Q457">
        <v>0.73</v>
      </c>
      <c r="R457">
        <f t="shared" si="113"/>
        <v>-0.72564185591834396</v>
      </c>
    </row>
    <row r="458" spans="1:18" x14ac:dyDescent="0.25">
      <c r="A458">
        <v>711</v>
      </c>
      <c r="B458">
        <v>144</v>
      </c>
      <c r="C458">
        <v>372</v>
      </c>
      <c r="D458">
        <v>730</v>
      </c>
      <c r="E458">
        <v>477</v>
      </c>
      <c r="F458">
        <v>599</v>
      </c>
      <c r="G458" t="s">
        <v>5</v>
      </c>
      <c r="H458" s="1">
        <f t="shared" si="112"/>
        <v>36838.187500001106</v>
      </c>
      <c r="I458">
        <f t="shared" si="107"/>
        <v>11.1424</v>
      </c>
      <c r="J458">
        <f t="shared" si="108"/>
        <v>28.151199999999999</v>
      </c>
      <c r="K458">
        <f t="shared" si="109"/>
        <v>72.459999999999994</v>
      </c>
      <c r="L458">
        <f t="shared" si="110"/>
        <v>-3.1616594200000048</v>
      </c>
      <c r="M458">
        <f t="shared" si="111"/>
        <v>210.55099999999999</v>
      </c>
      <c r="O458">
        <v>313</v>
      </c>
      <c r="P458">
        <v>430</v>
      </c>
      <c r="Q458">
        <v>0.73</v>
      </c>
      <c r="R458">
        <f t="shared" si="113"/>
        <v>-0.72576289765829194</v>
      </c>
    </row>
    <row r="459" spans="1:18" x14ac:dyDescent="0.25">
      <c r="A459">
        <v>711</v>
      </c>
      <c r="B459">
        <v>126</v>
      </c>
      <c r="C459">
        <v>280</v>
      </c>
      <c r="D459">
        <v>783</v>
      </c>
      <c r="E459">
        <v>465</v>
      </c>
      <c r="F459">
        <v>737</v>
      </c>
      <c r="G459" t="s">
        <v>5</v>
      </c>
      <c r="H459" s="1">
        <f t="shared" si="112"/>
        <v>36838.208333334442</v>
      </c>
      <c r="I459">
        <f t="shared" si="107"/>
        <v>9.7995999999999999</v>
      </c>
      <c r="J459">
        <f t="shared" si="108"/>
        <v>21.287999999999997</v>
      </c>
      <c r="K459">
        <f t="shared" si="109"/>
        <v>77.876599999999996</v>
      </c>
      <c r="L459">
        <f t="shared" si="110"/>
        <v>-4.2409255000000057</v>
      </c>
      <c r="M459">
        <f t="shared" si="111"/>
        <v>258.71299999999997</v>
      </c>
      <c r="O459">
        <v>313</v>
      </c>
      <c r="P459">
        <v>500</v>
      </c>
      <c r="Q459">
        <v>0.73699999999999999</v>
      </c>
      <c r="R459">
        <f t="shared" si="113"/>
        <v>-0.73125628947035548</v>
      </c>
    </row>
    <row r="460" spans="1:18" x14ac:dyDescent="0.25">
      <c r="A460">
        <v>711</v>
      </c>
      <c r="B460">
        <v>137</v>
      </c>
      <c r="C460">
        <v>372</v>
      </c>
      <c r="D460">
        <v>859</v>
      </c>
      <c r="E460">
        <v>469</v>
      </c>
      <c r="F460">
        <v>755</v>
      </c>
      <c r="G460" t="s">
        <v>5</v>
      </c>
      <c r="H460" s="1">
        <f t="shared" si="112"/>
        <v>36838.229166667777</v>
      </c>
      <c r="I460">
        <f t="shared" si="107"/>
        <v>10.620200000000001</v>
      </c>
      <c r="J460">
        <f t="shared" si="108"/>
        <v>28.151199999999999</v>
      </c>
      <c r="K460">
        <f t="shared" si="109"/>
        <v>85.643799999999999</v>
      </c>
      <c r="L460">
        <f t="shared" si="110"/>
        <v>-3.8814907800000031</v>
      </c>
      <c r="M460">
        <f t="shared" si="111"/>
        <v>264.995</v>
      </c>
      <c r="O460">
        <v>313</v>
      </c>
      <c r="P460">
        <v>530</v>
      </c>
      <c r="Q460">
        <v>0.73199999999999998</v>
      </c>
      <c r="R460">
        <f t="shared" si="113"/>
        <v>-0.72678049198018713</v>
      </c>
    </row>
    <row r="461" spans="1:18" x14ac:dyDescent="0.25">
      <c r="A461">
        <v>711</v>
      </c>
      <c r="B461">
        <v>136</v>
      </c>
      <c r="C461">
        <v>328</v>
      </c>
      <c r="D461">
        <v>780</v>
      </c>
      <c r="E461">
        <v>465</v>
      </c>
      <c r="F461">
        <v>780</v>
      </c>
      <c r="G461" t="s">
        <v>5</v>
      </c>
      <c r="H461" s="1">
        <f t="shared" si="112"/>
        <v>36838.250000001113</v>
      </c>
      <c r="I461">
        <f t="shared" si="107"/>
        <v>10.5456</v>
      </c>
      <c r="J461">
        <f t="shared" si="108"/>
        <v>24.8688</v>
      </c>
      <c r="K461">
        <f t="shared" si="109"/>
        <v>77.569999999999993</v>
      </c>
      <c r="L461">
        <f t="shared" si="110"/>
        <v>-4.2409255000000057</v>
      </c>
      <c r="M461">
        <f t="shared" si="111"/>
        <v>273.71999999999997</v>
      </c>
      <c r="O461">
        <v>313</v>
      </c>
      <c r="P461">
        <v>600</v>
      </c>
      <c r="Q461">
        <v>0.73199999999999998</v>
      </c>
      <c r="R461">
        <f t="shared" si="113"/>
        <v>-0.72629525629891489</v>
      </c>
    </row>
    <row r="462" spans="1:18" x14ac:dyDescent="0.25">
      <c r="A462">
        <v>711</v>
      </c>
      <c r="B462">
        <v>126</v>
      </c>
      <c r="C462">
        <v>392</v>
      </c>
      <c r="D462">
        <v>896</v>
      </c>
      <c r="E462">
        <v>468</v>
      </c>
      <c r="F462">
        <v>813</v>
      </c>
      <c r="G462" t="s">
        <v>5</v>
      </c>
      <c r="H462" s="1">
        <f t="shared" si="112"/>
        <v>36838.270833334449</v>
      </c>
      <c r="I462">
        <f t="shared" si="107"/>
        <v>9.7995999999999999</v>
      </c>
      <c r="J462">
        <f t="shared" si="108"/>
        <v>29.6432</v>
      </c>
      <c r="K462">
        <f t="shared" si="109"/>
        <v>89.425200000000004</v>
      </c>
      <c r="L462">
        <f t="shared" si="110"/>
        <v>-3.9713795200000037</v>
      </c>
      <c r="M462">
        <f t="shared" si="111"/>
        <v>285.23699999999997</v>
      </c>
      <c r="O462">
        <v>313</v>
      </c>
      <c r="P462">
        <v>630</v>
      </c>
      <c r="Q462">
        <v>0.73499999999999999</v>
      </c>
      <c r="R462">
        <f t="shared" si="113"/>
        <v>-0.72963728422701102</v>
      </c>
    </row>
    <row r="463" spans="1:18" x14ac:dyDescent="0.25">
      <c r="A463">
        <v>711</v>
      </c>
      <c r="B463">
        <v>142</v>
      </c>
      <c r="C463">
        <v>388</v>
      </c>
      <c r="D463">
        <v>922</v>
      </c>
      <c r="E463">
        <v>468</v>
      </c>
      <c r="F463">
        <v>747</v>
      </c>
      <c r="G463" t="s">
        <v>5</v>
      </c>
      <c r="H463" s="1">
        <f t="shared" si="112"/>
        <v>36838.291666667785</v>
      </c>
      <c r="I463">
        <f t="shared" si="107"/>
        <v>10.9932</v>
      </c>
      <c r="J463">
        <f t="shared" si="108"/>
        <v>29.344799999999999</v>
      </c>
      <c r="K463">
        <f t="shared" si="109"/>
        <v>92.082399999999993</v>
      </c>
      <c r="L463">
        <f t="shared" si="110"/>
        <v>-3.9713795200000037</v>
      </c>
      <c r="M463">
        <f t="shared" si="111"/>
        <v>262.20299999999997</v>
      </c>
      <c r="O463">
        <v>313</v>
      </c>
      <c r="P463">
        <v>700</v>
      </c>
      <c r="Q463">
        <v>0.73499999999999999</v>
      </c>
      <c r="R463">
        <f t="shared" si="113"/>
        <v>-0.72963728422701102</v>
      </c>
    </row>
    <row r="464" spans="1:18" x14ac:dyDescent="0.25">
      <c r="A464">
        <v>711</v>
      </c>
      <c r="B464">
        <v>144</v>
      </c>
      <c r="C464">
        <v>352</v>
      </c>
      <c r="D464">
        <v>820</v>
      </c>
      <c r="E464">
        <v>469</v>
      </c>
      <c r="F464">
        <v>761</v>
      </c>
      <c r="G464" t="s">
        <v>5</v>
      </c>
      <c r="H464" s="1">
        <f t="shared" si="112"/>
        <v>36838.31250000112</v>
      </c>
      <c r="I464">
        <f t="shared" si="107"/>
        <v>11.1424</v>
      </c>
      <c r="J464">
        <f t="shared" si="108"/>
        <v>26.659199999999998</v>
      </c>
      <c r="K464">
        <f t="shared" si="109"/>
        <v>81.658000000000001</v>
      </c>
      <c r="L464">
        <f t="shared" si="110"/>
        <v>-3.8814907800000031</v>
      </c>
      <c r="M464">
        <f t="shared" si="111"/>
        <v>267.089</v>
      </c>
      <c r="O464">
        <v>313</v>
      </c>
      <c r="P464">
        <v>730</v>
      </c>
      <c r="Q464">
        <v>0.73199999999999998</v>
      </c>
      <c r="R464">
        <f t="shared" si="113"/>
        <v>-0.72678049198018713</v>
      </c>
    </row>
    <row r="465" spans="1:18" x14ac:dyDescent="0.25">
      <c r="A465">
        <v>711</v>
      </c>
      <c r="B465">
        <v>125</v>
      </c>
      <c r="C465">
        <v>304</v>
      </c>
      <c r="D465">
        <v>865</v>
      </c>
      <c r="E465">
        <v>473</v>
      </c>
      <c r="F465">
        <v>629</v>
      </c>
      <c r="G465" t="s">
        <v>5</v>
      </c>
      <c r="H465" s="1">
        <f t="shared" si="112"/>
        <v>36838.333333334456</v>
      </c>
      <c r="I465">
        <f t="shared" si="107"/>
        <v>9.7249999999999996</v>
      </c>
      <c r="J465">
        <f t="shared" si="108"/>
        <v>23.078399999999998</v>
      </c>
      <c r="K465">
        <f t="shared" si="109"/>
        <v>86.257000000000005</v>
      </c>
      <c r="L465">
        <f t="shared" si="110"/>
        <v>-3.5217354200000002</v>
      </c>
      <c r="M465">
        <f t="shared" si="111"/>
        <v>221.02099999999999</v>
      </c>
      <c r="O465">
        <v>313</v>
      </c>
      <c r="P465">
        <v>800</v>
      </c>
      <c r="Q465">
        <v>0.73199999999999998</v>
      </c>
      <c r="R465">
        <f t="shared" si="113"/>
        <v>-0.72726583633926889</v>
      </c>
    </row>
    <row r="466" spans="1:18" x14ac:dyDescent="0.25">
      <c r="A466">
        <v>711</v>
      </c>
      <c r="B466">
        <v>142</v>
      </c>
      <c r="C466">
        <v>368</v>
      </c>
      <c r="D466">
        <v>902</v>
      </c>
      <c r="E466">
        <v>475</v>
      </c>
      <c r="F466">
        <v>661</v>
      </c>
      <c r="G466" t="s">
        <v>5</v>
      </c>
      <c r="H466" s="1">
        <f t="shared" si="112"/>
        <v>36838.354166667792</v>
      </c>
      <c r="I466">
        <f t="shared" si="107"/>
        <v>10.9932</v>
      </c>
      <c r="J466">
        <f t="shared" si="108"/>
        <v>27.852799999999998</v>
      </c>
      <c r="K466">
        <f t="shared" si="109"/>
        <v>90.038399999999996</v>
      </c>
      <c r="L466">
        <f t="shared" si="110"/>
        <v>-3.3417374999999989</v>
      </c>
      <c r="M466">
        <f t="shared" si="111"/>
        <v>232.18899999999999</v>
      </c>
      <c r="O466">
        <v>313</v>
      </c>
      <c r="P466">
        <v>830</v>
      </c>
      <c r="Q466">
        <v>0.73199999999999998</v>
      </c>
      <c r="R466">
        <f t="shared" si="113"/>
        <v>-0.72750854920501939</v>
      </c>
    </row>
    <row r="467" spans="1:18" x14ac:dyDescent="0.25">
      <c r="A467">
        <v>711</v>
      </c>
      <c r="B467">
        <v>116</v>
      </c>
      <c r="C467">
        <v>356</v>
      </c>
      <c r="D467">
        <v>936</v>
      </c>
      <c r="E467">
        <v>473</v>
      </c>
      <c r="F467">
        <v>693</v>
      </c>
      <c r="G467" t="s">
        <v>5</v>
      </c>
      <c r="H467" s="1">
        <f t="shared" si="112"/>
        <v>36838.375000001128</v>
      </c>
      <c r="I467">
        <f t="shared" si="107"/>
        <v>9.0536000000000012</v>
      </c>
      <c r="J467">
        <f t="shared" si="108"/>
        <v>26.957599999999999</v>
      </c>
      <c r="K467">
        <f t="shared" si="109"/>
        <v>93.513199999999998</v>
      </c>
      <c r="L467">
        <f t="shared" si="110"/>
        <v>-3.5217354200000002</v>
      </c>
      <c r="M467">
        <f t="shared" si="111"/>
        <v>243.35699999999997</v>
      </c>
      <c r="O467">
        <v>313</v>
      </c>
      <c r="P467">
        <v>900</v>
      </c>
      <c r="Q467">
        <v>0.73199999999999998</v>
      </c>
      <c r="R467">
        <f t="shared" si="113"/>
        <v>-0.72726583633926889</v>
      </c>
    </row>
    <row r="468" spans="1:18" x14ac:dyDescent="0.25">
      <c r="A468">
        <v>711</v>
      </c>
      <c r="B468">
        <v>118</v>
      </c>
      <c r="C468">
        <v>332</v>
      </c>
      <c r="D468">
        <v>872</v>
      </c>
      <c r="E468">
        <v>467</v>
      </c>
      <c r="F468">
        <v>721</v>
      </c>
      <c r="G468" t="s">
        <v>5</v>
      </c>
      <c r="H468" s="1">
        <f t="shared" si="112"/>
        <v>36838.395833334464</v>
      </c>
      <c r="I468">
        <f t="shared" si="107"/>
        <v>9.2027999999999999</v>
      </c>
      <c r="J468">
        <f t="shared" si="108"/>
        <v>25.167199999999998</v>
      </c>
      <c r="K468">
        <f t="shared" si="109"/>
        <v>86.972399999999993</v>
      </c>
      <c r="L468">
        <f t="shared" si="110"/>
        <v>-4.0612482200000048</v>
      </c>
      <c r="M468">
        <f t="shared" si="111"/>
        <v>253.12899999999999</v>
      </c>
      <c r="O468">
        <v>313</v>
      </c>
      <c r="P468">
        <v>930</v>
      </c>
      <c r="Q468">
        <v>0.73199999999999998</v>
      </c>
      <c r="R468">
        <f t="shared" si="113"/>
        <v>-0.72653786054121439</v>
      </c>
    </row>
    <row r="469" spans="1:18" x14ac:dyDescent="0.25">
      <c r="A469">
        <v>711</v>
      </c>
      <c r="B469">
        <v>108</v>
      </c>
      <c r="C469">
        <v>368</v>
      </c>
      <c r="D469">
        <v>833</v>
      </c>
      <c r="E469">
        <v>466</v>
      </c>
      <c r="F469">
        <v>765</v>
      </c>
      <c r="G469" t="s">
        <v>5</v>
      </c>
      <c r="H469" s="1">
        <f t="shared" si="112"/>
        <v>36838.416666667799</v>
      </c>
      <c r="I469">
        <f t="shared" si="107"/>
        <v>8.4567999999999994</v>
      </c>
      <c r="J469">
        <f t="shared" si="108"/>
        <v>27.852799999999998</v>
      </c>
      <c r="K469">
        <f t="shared" si="109"/>
        <v>82.986599999999996</v>
      </c>
      <c r="L469">
        <f t="shared" si="110"/>
        <v>-4.1510968800000052</v>
      </c>
      <c r="M469">
        <f t="shared" si="111"/>
        <v>268.48499999999996</v>
      </c>
      <c r="O469">
        <v>313</v>
      </c>
      <c r="P469">
        <v>1000</v>
      </c>
      <c r="Q469">
        <v>0.73199999999999998</v>
      </c>
      <c r="R469">
        <f t="shared" si="113"/>
        <v>-0.72641655501877722</v>
      </c>
    </row>
    <row r="470" spans="1:18" x14ac:dyDescent="0.25">
      <c r="A470">
        <v>711</v>
      </c>
      <c r="B470">
        <v>120</v>
      </c>
      <c r="C470">
        <v>376</v>
      </c>
      <c r="D470">
        <v>794</v>
      </c>
      <c r="E470">
        <v>469</v>
      </c>
      <c r="F470">
        <v>701</v>
      </c>
      <c r="G470" t="s">
        <v>5</v>
      </c>
      <c r="H470" s="1">
        <f t="shared" si="112"/>
        <v>36838.437500001135</v>
      </c>
      <c r="I470">
        <f t="shared" si="107"/>
        <v>9.3520000000000003</v>
      </c>
      <c r="J470">
        <f t="shared" si="108"/>
        <v>28.449599999999997</v>
      </c>
      <c r="K470">
        <f t="shared" si="109"/>
        <v>79.000799999999998</v>
      </c>
      <c r="L470">
        <f t="shared" si="110"/>
        <v>-3.8814907800000031</v>
      </c>
      <c r="M470">
        <f t="shared" si="111"/>
        <v>246.14899999999997</v>
      </c>
      <c r="O470">
        <v>313</v>
      </c>
      <c r="P470">
        <v>1030</v>
      </c>
      <c r="Q470">
        <v>0.73199999999999998</v>
      </c>
      <c r="R470">
        <f t="shared" si="113"/>
        <v>-0.72678049198018713</v>
      </c>
    </row>
    <row r="471" spans="1:18" x14ac:dyDescent="0.25">
      <c r="A471">
        <v>711</v>
      </c>
      <c r="B471">
        <v>103</v>
      </c>
      <c r="C471">
        <v>344</v>
      </c>
      <c r="D471">
        <v>818</v>
      </c>
      <c r="E471">
        <v>473</v>
      </c>
      <c r="F471">
        <v>753</v>
      </c>
      <c r="G471" t="s">
        <v>5</v>
      </c>
      <c r="H471" s="1">
        <f t="shared" si="112"/>
        <v>36838.458333334471</v>
      </c>
      <c r="I471">
        <f t="shared" si="107"/>
        <v>8.0838000000000001</v>
      </c>
      <c r="J471">
        <f t="shared" si="108"/>
        <v>26.062399999999997</v>
      </c>
      <c r="K471">
        <f t="shared" si="109"/>
        <v>81.453599999999994</v>
      </c>
      <c r="L471">
        <f t="shared" si="110"/>
        <v>-3.5217354200000002</v>
      </c>
      <c r="M471">
        <f t="shared" si="111"/>
        <v>264.29699999999997</v>
      </c>
      <c r="O471">
        <v>313</v>
      </c>
      <c r="P471">
        <v>1100</v>
      </c>
      <c r="Q471">
        <v>0.73199999999999998</v>
      </c>
      <c r="R471">
        <f t="shared" si="113"/>
        <v>-0.72726583633926889</v>
      </c>
    </row>
    <row r="472" spans="1:18" x14ac:dyDescent="0.25">
      <c r="A472">
        <v>711</v>
      </c>
      <c r="B472">
        <v>136</v>
      </c>
      <c r="C472">
        <v>372</v>
      </c>
      <c r="D472">
        <v>732</v>
      </c>
      <c r="E472">
        <v>469</v>
      </c>
      <c r="F472">
        <v>697</v>
      </c>
      <c r="G472" t="s">
        <v>5</v>
      </c>
      <c r="H472" s="1">
        <f t="shared" si="112"/>
        <v>36838.479166667807</v>
      </c>
      <c r="I472">
        <f t="shared" si="107"/>
        <v>10.5456</v>
      </c>
      <c r="J472">
        <f t="shared" si="108"/>
        <v>28.151199999999999</v>
      </c>
      <c r="K472">
        <f t="shared" si="109"/>
        <v>72.664400000000001</v>
      </c>
      <c r="L472">
        <f t="shared" si="110"/>
        <v>-3.8814907800000031</v>
      </c>
      <c r="M472">
        <f t="shared" si="111"/>
        <v>244.75299999999999</v>
      </c>
      <c r="O472">
        <v>313</v>
      </c>
      <c r="P472">
        <v>1130</v>
      </c>
      <c r="Q472">
        <v>0.73199999999999998</v>
      </c>
      <c r="R472">
        <f t="shared" si="113"/>
        <v>-0.72678049198018713</v>
      </c>
    </row>
    <row r="473" spans="1:18" x14ac:dyDescent="0.25">
      <c r="A473">
        <v>711</v>
      </c>
      <c r="B473">
        <v>133</v>
      </c>
      <c r="C473">
        <v>336</v>
      </c>
      <c r="D473">
        <v>808</v>
      </c>
      <c r="E473">
        <v>471</v>
      </c>
      <c r="F473">
        <v>717</v>
      </c>
      <c r="G473" t="s">
        <v>5</v>
      </c>
      <c r="H473" s="1">
        <f t="shared" si="112"/>
        <v>36838.500000001142</v>
      </c>
      <c r="I473">
        <f t="shared" si="107"/>
        <v>10.3218</v>
      </c>
      <c r="J473">
        <f t="shared" si="108"/>
        <v>25.465599999999998</v>
      </c>
      <c r="K473">
        <f t="shared" si="109"/>
        <v>80.431600000000003</v>
      </c>
      <c r="L473">
        <f t="shared" si="110"/>
        <v>-3.7016531800000019</v>
      </c>
      <c r="M473">
        <f t="shared" si="111"/>
        <v>251.73299999999998</v>
      </c>
      <c r="O473">
        <v>313</v>
      </c>
      <c r="P473">
        <v>1200</v>
      </c>
      <c r="Q473">
        <v>0.73</v>
      </c>
      <c r="R473">
        <f t="shared" si="113"/>
        <v>-0.72503674853781541</v>
      </c>
    </row>
    <row r="474" spans="1:18" x14ac:dyDescent="0.25">
      <c r="A474">
        <v>711</v>
      </c>
      <c r="B474">
        <v>143</v>
      </c>
      <c r="C474">
        <v>304</v>
      </c>
      <c r="D474">
        <v>680</v>
      </c>
      <c r="E474">
        <v>465</v>
      </c>
      <c r="F474">
        <v>685</v>
      </c>
      <c r="G474" t="s">
        <v>5</v>
      </c>
      <c r="H474" s="1">
        <f t="shared" si="112"/>
        <v>36838.520833334478</v>
      </c>
      <c r="I474">
        <f t="shared" si="107"/>
        <v>11.0678</v>
      </c>
      <c r="J474">
        <f t="shared" si="108"/>
        <v>23.078399999999998</v>
      </c>
      <c r="K474">
        <f t="shared" si="109"/>
        <v>67.349999999999994</v>
      </c>
      <c r="L474">
        <f t="shared" si="110"/>
        <v>-4.2409255000000057</v>
      </c>
      <c r="M474">
        <f t="shared" si="111"/>
        <v>240.565</v>
      </c>
      <c r="O474">
        <v>313</v>
      </c>
      <c r="P474">
        <v>1230</v>
      </c>
      <c r="Q474">
        <v>0.73499999999999999</v>
      </c>
      <c r="R474">
        <f t="shared" si="113"/>
        <v>-0.72927187620177925</v>
      </c>
    </row>
    <row r="475" spans="1:18" x14ac:dyDescent="0.25">
      <c r="A475">
        <v>711</v>
      </c>
      <c r="B475">
        <v>162</v>
      </c>
      <c r="C475">
        <v>324</v>
      </c>
      <c r="D475">
        <v>752</v>
      </c>
      <c r="E475">
        <v>469</v>
      </c>
      <c r="F475">
        <v>729</v>
      </c>
      <c r="G475" t="s">
        <v>5</v>
      </c>
      <c r="H475" s="1">
        <f t="shared" si="112"/>
        <v>36838.541666667814</v>
      </c>
      <c r="I475">
        <f t="shared" si="107"/>
        <v>12.485200000000001</v>
      </c>
      <c r="J475">
        <f t="shared" si="108"/>
        <v>24.570399999999999</v>
      </c>
      <c r="K475">
        <f t="shared" si="109"/>
        <v>74.708399999999997</v>
      </c>
      <c r="L475">
        <f t="shared" si="110"/>
        <v>-3.8814907800000031</v>
      </c>
      <c r="M475">
        <f t="shared" si="111"/>
        <v>255.92099999999999</v>
      </c>
      <c r="O475">
        <v>313</v>
      </c>
      <c r="P475">
        <v>1300</v>
      </c>
      <c r="Q475">
        <v>0.73199999999999998</v>
      </c>
      <c r="R475">
        <f t="shared" si="113"/>
        <v>-0.72678049198018713</v>
      </c>
    </row>
    <row r="476" spans="1:18" x14ac:dyDescent="0.25">
      <c r="A476">
        <v>711</v>
      </c>
      <c r="B476">
        <v>170</v>
      </c>
      <c r="C476">
        <v>428</v>
      </c>
      <c r="D476">
        <v>695</v>
      </c>
      <c r="E476">
        <v>464</v>
      </c>
      <c r="F476">
        <v>717</v>
      </c>
      <c r="G476" t="s">
        <v>5</v>
      </c>
      <c r="H476" s="1">
        <f t="shared" si="112"/>
        <v>36838.56250000115</v>
      </c>
      <c r="I476">
        <f t="shared" si="107"/>
        <v>13.082000000000001</v>
      </c>
      <c r="J476">
        <f t="shared" si="108"/>
        <v>32.328800000000001</v>
      </c>
      <c r="K476">
        <f t="shared" si="109"/>
        <v>68.882999999999996</v>
      </c>
      <c r="L476">
        <f t="shared" si="110"/>
        <v>-4.3307340799999992</v>
      </c>
      <c r="M476">
        <f t="shared" si="111"/>
        <v>251.73299999999998</v>
      </c>
      <c r="O476">
        <v>313</v>
      </c>
      <c r="P476">
        <v>1330</v>
      </c>
      <c r="Q476">
        <v>0.73699999999999999</v>
      </c>
      <c r="R476">
        <f t="shared" si="113"/>
        <v>-0.73113416905979711</v>
      </c>
    </row>
    <row r="477" spans="1:18" x14ac:dyDescent="0.25">
      <c r="A477">
        <v>711</v>
      </c>
      <c r="B477">
        <v>183</v>
      </c>
      <c r="C477">
        <v>392</v>
      </c>
      <c r="D477">
        <v>824</v>
      </c>
      <c r="E477">
        <v>466</v>
      </c>
      <c r="F477">
        <v>701</v>
      </c>
      <c r="G477" t="s">
        <v>5</v>
      </c>
      <c r="H477" s="1">
        <f t="shared" si="112"/>
        <v>36838.583333334485</v>
      </c>
      <c r="I477">
        <f t="shared" si="107"/>
        <v>14.0518</v>
      </c>
      <c r="J477">
        <f t="shared" si="108"/>
        <v>29.6432</v>
      </c>
      <c r="K477">
        <f t="shared" si="109"/>
        <v>82.066800000000001</v>
      </c>
      <c r="L477">
        <f t="shared" si="110"/>
        <v>-4.1510968800000052</v>
      </c>
      <c r="M477">
        <f t="shared" si="111"/>
        <v>246.14899999999997</v>
      </c>
      <c r="O477">
        <v>313</v>
      </c>
      <c r="P477">
        <v>1400</v>
      </c>
      <c r="Q477">
        <v>0.73499999999999999</v>
      </c>
      <c r="R477">
        <f t="shared" si="113"/>
        <v>-0.72939367204754268</v>
      </c>
    </row>
    <row r="478" spans="1:18" x14ac:dyDescent="0.25">
      <c r="A478">
        <v>711</v>
      </c>
      <c r="B478">
        <v>185</v>
      </c>
      <c r="C478">
        <v>368</v>
      </c>
      <c r="D478">
        <v>768</v>
      </c>
      <c r="E478">
        <v>467</v>
      </c>
      <c r="F478">
        <v>681</v>
      </c>
      <c r="G478" t="s">
        <v>5</v>
      </c>
      <c r="H478" s="1">
        <f t="shared" si="112"/>
        <v>36838.604166667821</v>
      </c>
      <c r="I478">
        <f t="shared" si="107"/>
        <v>14.201000000000001</v>
      </c>
      <c r="J478">
        <f t="shared" si="108"/>
        <v>27.852799999999998</v>
      </c>
      <c r="K478">
        <f t="shared" si="109"/>
        <v>76.343599999999995</v>
      </c>
      <c r="L478">
        <f t="shared" si="110"/>
        <v>-4.0612482200000048</v>
      </c>
      <c r="M478">
        <f t="shared" si="111"/>
        <v>239.16899999999998</v>
      </c>
      <c r="O478">
        <v>313</v>
      </c>
      <c r="P478">
        <v>1430</v>
      </c>
      <c r="Q478">
        <v>0.745</v>
      </c>
      <c r="R478">
        <f t="shared" si="113"/>
        <v>-0.73944085533224679</v>
      </c>
    </row>
    <row r="479" spans="1:18" x14ac:dyDescent="0.25">
      <c r="A479">
        <v>711</v>
      </c>
      <c r="B479">
        <v>206</v>
      </c>
      <c r="C479">
        <v>400</v>
      </c>
      <c r="D479">
        <v>775</v>
      </c>
      <c r="E479">
        <v>473</v>
      </c>
      <c r="F479">
        <v>657</v>
      </c>
      <c r="G479" t="s">
        <v>5</v>
      </c>
      <c r="H479" s="1">
        <f t="shared" si="112"/>
        <v>36838.625000001157</v>
      </c>
      <c r="I479">
        <f t="shared" si="107"/>
        <v>15.7676</v>
      </c>
      <c r="J479">
        <f t="shared" si="108"/>
        <v>30.24</v>
      </c>
      <c r="K479">
        <f t="shared" si="109"/>
        <v>77.058999999999997</v>
      </c>
      <c r="L479">
        <f t="shared" si="110"/>
        <v>-3.5217354200000002</v>
      </c>
      <c r="M479">
        <f t="shared" si="111"/>
        <v>230.79299999999998</v>
      </c>
      <c r="O479">
        <v>313</v>
      </c>
      <c r="P479">
        <v>1500</v>
      </c>
      <c r="Q479">
        <v>0.74199999999999999</v>
      </c>
      <c r="R479">
        <f t="shared" si="113"/>
        <v>-0.737201161972319</v>
      </c>
    </row>
    <row r="480" spans="1:18" x14ac:dyDescent="0.25">
      <c r="A480">
        <v>711</v>
      </c>
      <c r="B480">
        <v>209</v>
      </c>
      <c r="C480">
        <v>396</v>
      </c>
      <c r="D480">
        <v>706</v>
      </c>
      <c r="E480">
        <v>472</v>
      </c>
      <c r="F480">
        <v>649</v>
      </c>
      <c r="G480" t="s">
        <v>5</v>
      </c>
      <c r="H480" s="1">
        <f t="shared" si="112"/>
        <v>36838.645833334493</v>
      </c>
      <c r="I480">
        <f t="shared" si="107"/>
        <v>15.991400000000001</v>
      </c>
      <c r="J480">
        <f t="shared" si="108"/>
        <v>29.941599999999998</v>
      </c>
      <c r="K480">
        <f t="shared" si="109"/>
        <v>70.007199999999997</v>
      </c>
      <c r="L480">
        <f t="shared" si="110"/>
        <v>-3.6117043200000012</v>
      </c>
      <c r="M480">
        <f t="shared" si="111"/>
        <v>228.00099999999998</v>
      </c>
      <c r="O480">
        <v>313</v>
      </c>
      <c r="P480">
        <v>1530</v>
      </c>
      <c r="Q480">
        <v>0.73699999999999999</v>
      </c>
      <c r="R480">
        <f t="shared" si="113"/>
        <v>-0.73211132402143897</v>
      </c>
    </row>
    <row r="481" spans="1:18" x14ac:dyDescent="0.25">
      <c r="A481">
        <v>711</v>
      </c>
      <c r="B481">
        <v>208</v>
      </c>
      <c r="C481">
        <v>432</v>
      </c>
      <c r="D481">
        <v>786</v>
      </c>
      <c r="E481">
        <v>479</v>
      </c>
      <c r="F481">
        <v>561</v>
      </c>
      <c r="G481" t="s">
        <v>5</v>
      </c>
      <c r="H481" s="1">
        <f t="shared" si="112"/>
        <v>36838.666666667828</v>
      </c>
      <c r="I481">
        <f t="shared" si="107"/>
        <v>15.9168</v>
      </c>
      <c r="J481">
        <f t="shared" si="108"/>
        <v>32.627199999999995</v>
      </c>
      <c r="K481">
        <f t="shared" si="109"/>
        <v>78.183199999999999</v>
      </c>
      <c r="L481">
        <f t="shared" si="110"/>
        <v>-2.9815011800000035</v>
      </c>
      <c r="M481">
        <f t="shared" si="111"/>
        <v>197.28899999999999</v>
      </c>
      <c r="O481">
        <v>313</v>
      </c>
      <c r="P481">
        <v>1600</v>
      </c>
      <c r="Q481">
        <v>0.74</v>
      </c>
      <c r="R481">
        <f t="shared" si="113"/>
        <v>-0.7359502753664422</v>
      </c>
    </row>
    <row r="482" spans="1:18" x14ac:dyDescent="0.25">
      <c r="A482">
        <v>711</v>
      </c>
      <c r="B482">
        <v>215</v>
      </c>
      <c r="C482">
        <v>416</v>
      </c>
      <c r="D482">
        <v>719</v>
      </c>
      <c r="E482">
        <v>473</v>
      </c>
      <c r="F482">
        <v>649</v>
      </c>
      <c r="G482" t="s">
        <v>5</v>
      </c>
      <c r="H482" s="1">
        <f t="shared" si="112"/>
        <v>36838.687500001164</v>
      </c>
      <c r="I482">
        <f t="shared" si="107"/>
        <v>16.439</v>
      </c>
      <c r="J482">
        <f t="shared" si="108"/>
        <v>31.433599999999998</v>
      </c>
      <c r="K482">
        <f t="shared" si="109"/>
        <v>71.335799999999992</v>
      </c>
      <c r="L482">
        <f t="shared" si="110"/>
        <v>-3.5217354200000002</v>
      </c>
      <c r="M482">
        <f t="shared" si="111"/>
        <v>228.00099999999998</v>
      </c>
      <c r="O482">
        <v>313</v>
      </c>
      <c r="P482">
        <v>1630</v>
      </c>
      <c r="Q482">
        <v>0.74199999999999999</v>
      </c>
      <c r="R482">
        <f t="shared" si="113"/>
        <v>-0.737201161972319</v>
      </c>
    </row>
    <row r="483" spans="1:18" x14ac:dyDescent="0.25">
      <c r="A483">
        <v>711</v>
      </c>
      <c r="B483">
        <v>189</v>
      </c>
      <c r="C483">
        <v>336</v>
      </c>
      <c r="D483">
        <v>804</v>
      </c>
      <c r="E483">
        <v>467</v>
      </c>
      <c r="F483">
        <v>741</v>
      </c>
      <c r="G483" t="s">
        <v>5</v>
      </c>
      <c r="H483" s="1">
        <f t="shared" si="112"/>
        <v>36838.7083333345</v>
      </c>
      <c r="I483">
        <f t="shared" si="107"/>
        <v>14.4994</v>
      </c>
      <c r="J483">
        <f t="shared" si="108"/>
        <v>25.465599999999998</v>
      </c>
      <c r="K483">
        <f t="shared" si="109"/>
        <v>80.022800000000004</v>
      </c>
      <c r="L483">
        <f t="shared" si="110"/>
        <v>-4.0612482200000048</v>
      </c>
      <c r="M483">
        <f t="shared" si="111"/>
        <v>260.10899999999998</v>
      </c>
      <c r="O483">
        <v>313</v>
      </c>
      <c r="P483">
        <v>1700</v>
      </c>
      <c r="Q483">
        <v>0.745</v>
      </c>
      <c r="R483">
        <f t="shared" si="113"/>
        <v>-0.73944085533224679</v>
      </c>
    </row>
    <row r="484" spans="1:18" x14ac:dyDescent="0.25">
      <c r="A484">
        <v>711</v>
      </c>
      <c r="B484">
        <v>136</v>
      </c>
      <c r="C484">
        <v>284</v>
      </c>
      <c r="D484">
        <v>692</v>
      </c>
      <c r="E484">
        <v>456</v>
      </c>
      <c r="F484">
        <v>701</v>
      </c>
      <c r="G484" t="s">
        <v>5</v>
      </c>
      <c r="H484" s="1">
        <f t="shared" si="112"/>
        <v>36838.729166667836</v>
      </c>
      <c r="I484">
        <f t="shared" si="107"/>
        <v>10.5456</v>
      </c>
      <c r="J484">
        <f t="shared" si="108"/>
        <v>21.586399999999998</v>
      </c>
      <c r="K484">
        <f t="shared" si="109"/>
        <v>68.576399999999992</v>
      </c>
      <c r="L484">
        <f t="shared" si="110"/>
        <v>-5.0484812800000043</v>
      </c>
      <c r="M484">
        <f t="shared" si="111"/>
        <v>246.14899999999997</v>
      </c>
      <c r="O484">
        <v>313</v>
      </c>
      <c r="P484">
        <v>1730</v>
      </c>
      <c r="Q484">
        <v>0.75</v>
      </c>
      <c r="R484">
        <f t="shared" si="113"/>
        <v>-0.74303675665897795</v>
      </c>
    </row>
    <row r="485" spans="1:18" x14ac:dyDescent="0.25">
      <c r="A485">
        <v>711</v>
      </c>
      <c r="B485">
        <v>170</v>
      </c>
      <c r="C485">
        <v>324</v>
      </c>
      <c r="D485">
        <v>824</v>
      </c>
      <c r="E485">
        <v>458</v>
      </c>
      <c r="F485">
        <v>697</v>
      </c>
      <c r="G485" t="s">
        <v>5</v>
      </c>
      <c r="H485" s="1">
        <f t="shared" si="112"/>
        <v>36838.750000001171</v>
      </c>
      <c r="I485">
        <f t="shared" si="107"/>
        <v>13.082000000000001</v>
      </c>
      <c r="J485">
        <f t="shared" si="108"/>
        <v>24.570399999999999</v>
      </c>
      <c r="K485">
        <f t="shared" si="109"/>
        <v>82.066800000000001</v>
      </c>
      <c r="L485">
        <f t="shared" si="110"/>
        <v>-4.8691647200000041</v>
      </c>
      <c r="M485">
        <f t="shared" si="111"/>
        <v>244.75299999999999</v>
      </c>
      <c r="O485">
        <v>313</v>
      </c>
      <c r="P485">
        <v>1800</v>
      </c>
      <c r="Q485">
        <v>0.74</v>
      </c>
      <c r="R485">
        <f t="shared" si="113"/>
        <v>-0.73337473149418753</v>
      </c>
    </row>
    <row r="486" spans="1:18" x14ac:dyDescent="0.25">
      <c r="A486">
        <v>711</v>
      </c>
      <c r="B486">
        <v>169</v>
      </c>
      <c r="C486">
        <v>344</v>
      </c>
      <c r="D486">
        <v>779</v>
      </c>
      <c r="E486">
        <v>58</v>
      </c>
      <c r="F486">
        <v>49</v>
      </c>
      <c r="H486" s="1">
        <f t="shared" si="112"/>
        <v>36838.770833334507</v>
      </c>
      <c r="O486">
        <v>313</v>
      </c>
      <c r="P486">
        <v>1830</v>
      </c>
      <c r="Q486">
        <v>0.74</v>
      </c>
    </row>
    <row r="487" spans="1:18" x14ac:dyDescent="0.25">
      <c r="A487">
        <v>11</v>
      </c>
      <c r="B487">
        <v>7</v>
      </c>
      <c r="C487">
        <v>4</v>
      </c>
      <c r="D487">
        <v>13</v>
      </c>
      <c r="E487">
        <v>67</v>
      </c>
      <c r="F487">
        <v>33</v>
      </c>
      <c r="H487" s="1">
        <f t="shared" si="112"/>
        <v>36838.791666667843</v>
      </c>
      <c r="O487">
        <v>313</v>
      </c>
      <c r="P487">
        <v>1900</v>
      </c>
      <c r="Q487">
        <v>0.74199999999999999</v>
      </c>
    </row>
    <row r="488" spans="1:18" x14ac:dyDescent="0.25">
      <c r="A488">
        <v>11</v>
      </c>
      <c r="B488">
        <v>27</v>
      </c>
      <c r="C488">
        <v>96</v>
      </c>
      <c r="D488">
        <v>32</v>
      </c>
      <c r="E488">
        <v>61</v>
      </c>
      <c r="F488">
        <v>21</v>
      </c>
      <c r="H488" s="1">
        <f t="shared" si="112"/>
        <v>36838.812500001179</v>
      </c>
      <c r="O488">
        <v>313</v>
      </c>
      <c r="P488">
        <v>1930</v>
      </c>
      <c r="Q488">
        <v>0.747</v>
      </c>
    </row>
    <row r="489" spans="1:18" x14ac:dyDescent="0.25">
      <c r="A489">
        <v>11</v>
      </c>
      <c r="B489">
        <v>34</v>
      </c>
      <c r="C489">
        <v>44</v>
      </c>
      <c r="D489">
        <v>87</v>
      </c>
      <c r="E489">
        <v>56</v>
      </c>
      <c r="F489">
        <v>81</v>
      </c>
      <c r="H489" s="1">
        <f>H488+1/48</f>
        <v>36838.833333334514</v>
      </c>
      <c r="O489">
        <v>313</v>
      </c>
      <c r="P489">
        <v>2000</v>
      </c>
      <c r="Q489">
        <v>0.745</v>
      </c>
    </row>
    <row r="490" spans="1:18" x14ac:dyDescent="0.25">
      <c r="A490">
        <v>11</v>
      </c>
      <c r="B490">
        <v>238</v>
      </c>
      <c r="C490">
        <v>344</v>
      </c>
      <c r="D490">
        <v>708</v>
      </c>
      <c r="E490">
        <v>467</v>
      </c>
      <c r="F490">
        <v>581</v>
      </c>
      <c r="G490" t="s">
        <v>5</v>
      </c>
      <c r="H490" s="1">
        <f t="shared" si="112"/>
        <v>36838.85416666785</v>
      </c>
      <c r="I490">
        <f t="shared" ref="I490:I504" si="114">0.4+0.0746*B490</f>
        <v>18.154799999999998</v>
      </c>
      <c r="J490">
        <f t="shared" ref="J490:J504" si="115">0.4+0.0746*C490</f>
        <v>26.062399999999997</v>
      </c>
      <c r="K490">
        <f t="shared" ref="K490:K504" si="116">-2.146+0.1022*D490</f>
        <v>70.211600000000004</v>
      </c>
      <c r="L490">
        <f t="shared" ref="L490:L504" si="117">-43.84+0.0805*E490+0.00001002*E490^2</f>
        <v>-4.0612482200000048</v>
      </c>
      <c r="M490">
        <f t="shared" ref="M490:M504" si="118">1.5+0.349*F490</f>
        <v>204.26899999999998</v>
      </c>
      <c r="O490">
        <v>313</v>
      </c>
      <c r="P490">
        <v>2030</v>
      </c>
      <c r="Q490">
        <v>0.745</v>
      </c>
      <c r="R490">
        <f t="shared" si="113"/>
        <v>-0.73944085533224679</v>
      </c>
    </row>
    <row r="491" spans="1:18" x14ac:dyDescent="0.25">
      <c r="A491">
        <v>11</v>
      </c>
      <c r="B491">
        <v>242</v>
      </c>
      <c r="C491">
        <v>340</v>
      </c>
      <c r="D491">
        <v>739</v>
      </c>
      <c r="E491">
        <v>472</v>
      </c>
      <c r="F491">
        <v>559</v>
      </c>
      <c r="G491" t="s">
        <v>5</v>
      </c>
      <c r="H491" s="1">
        <f t="shared" si="112"/>
        <v>36838.875000001186</v>
      </c>
      <c r="I491">
        <f t="shared" si="114"/>
        <v>18.453199999999999</v>
      </c>
      <c r="J491">
        <f t="shared" si="115"/>
        <v>25.763999999999999</v>
      </c>
      <c r="K491">
        <f t="shared" si="116"/>
        <v>73.379800000000003</v>
      </c>
      <c r="L491">
        <f t="shared" si="117"/>
        <v>-3.6117043200000012</v>
      </c>
      <c r="M491">
        <f t="shared" si="118"/>
        <v>196.59099999999998</v>
      </c>
      <c r="O491">
        <v>313</v>
      </c>
      <c r="P491">
        <v>2100</v>
      </c>
      <c r="Q491">
        <v>0.74</v>
      </c>
      <c r="R491">
        <f t="shared" si="113"/>
        <v>-0.73509142439059005</v>
      </c>
    </row>
    <row r="492" spans="1:18" x14ac:dyDescent="0.25">
      <c r="A492">
        <v>11</v>
      </c>
      <c r="B492">
        <v>261</v>
      </c>
      <c r="C492">
        <v>360</v>
      </c>
      <c r="D492">
        <v>717</v>
      </c>
      <c r="E492">
        <v>472</v>
      </c>
      <c r="F492">
        <v>605</v>
      </c>
      <c r="G492" t="s">
        <v>5</v>
      </c>
      <c r="H492" s="1">
        <f t="shared" si="112"/>
        <v>36838.895833334522</v>
      </c>
      <c r="I492">
        <f t="shared" si="114"/>
        <v>19.8706</v>
      </c>
      <c r="J492">
        <f t="shared" si="115"/>
        <v>27.256</v>
      </c>
      <c r="K492">
        <f t="shared" si="116"/>
        <v>71.131399999999999</v>
      </c>
      <c r="L492">
        <f t="shared" si="117"/>
        <v>-3.6117043200000012</v>
      </c>
      <c r="M492">
        <f t="shared" si="118"/>
        <v>212.64499999999998</v>
      </c>
      <c r="O492">
        <v>313</v>
      </c>
      <c r="P492">
        <v>2130</v>
      </c>
      <c r="Q492">
        <v>0.74199999999999999</v>
      </c>
      <c r="R492">
        <f t="shared" si="113"/>
        <v>-0.73707815797002407</v>
      </c>
    </row>
    <row r="493" spans="1:18" x14ac:dyDescent="0.25">
      <c r="A493">
        <v>11</v>
      </c>
      <c r="B493">
        <v>154</v>
      </c>
      <c r="C493">
        <v>352</v>
      </c>
      <c r="D493">
        <v>25</v>
      </c>
      <c r="E493">
        <v>475</v>
      </c>
      <c r="F493">
        <v>533</v>
      </c>
      <c r="G493" t="s">
        <v>5</v>
      </c>
      <c r="H493" s="1">
        <f t="shared" si="112"/>
        <v>36838.916666667857</v>
      </c>
      <c r="I493">
        <f t="shared" si="114"/>
        <v>11.888400000000001</v>
      </c>
      <c r="J493">
        <f t="shared" si="115"/>
        <v>26.659199999999998</v>
      </c>
      <c r="K493">
        <f t="shared" si="116"/>
        <v>0.40900000000000025</v>
      </c>
      <c r="L493">
        <f t="shared" si="117"/>
        <v>-3.3417374999999989</v>
      </c>
      <c r="M493">
        <f t="shared" si="118"/>
        <v>187.517</v>
      </c>
      <c r="O493">
        <v>313</v>
      </c>
      <c r="P493">
        <v>2200</v>
      </c>
      <c r="Q493">
        <v>0.74</v>
      </c>
      <c r="R493">
        <f t="shared" si="113"/>
        <v>-0.73545946231108517</v>
      </c>
    </row>
    <row r="494" spans="1:18" x14ac:dyDescent="0.25">
      <c r="A494">
        <v>11</v>
      </c>
      <c r="B494">
        <v>36</v>
      </c>
      <c r="C494">
        <v>100</v>
      </c>
      <c r="D494">
        <v>820</v>
      </c>
      <c r="E494">
        <v>466</v>
      </c>
      <c r="F494">
        <v>573</v>
      </c>
      <c r="G494" t="s">
        <v>5</v>
      </c>
      <c r="H494" s="1">
        <f t="shared" si="112"/>
        <v>36838.937500001193</v>
      </c>
      <c r="I494">
        <f t="shared" si="114"/>
        <v>3.0855999999999999</v>
      </c>
      <c r="J494">
        <f t="shared" si="115"/>
        <v>7.86</v>
      </c>
      <c r="K494">
        <f t="shared" si="116"/>
        <v>81.658000000000001</v>
      </c>
      <c r="L494">
        <f t="shared" si="117"/>
        <v>-4.1510968800000052</v>
      </c>
      <c r="M494">
        <f t="shared" si="118"/>
        <v>201.47699999999998</v>
      </c>
      <c r="O494">
        <v>313</v>
      </c>
      <c r="P494">
        <v>2230</v>
      </c>
      <c r="Q494">
        <v>0.747</v>
      </c>
      <c r="R494">
        <f t="shared" si="113"/>
        <v>-0.74130214016260465</v>
      </c>
    </row>
    <row r="495" spans="1:18" x14ac:dyDescent="0.25">
      <c r="A495">
        <v>11</v>
      </c>
      <c r="B495">
        <v>60</v>
      </c>
      <c r="C495">
        <v>168</v>
      </c>
      <c r="D495">
        <v>361</v>
      </c>
      <c r="E495">
        <v>469</v>
      </c>
      <c r="F495">
        <v>621</v>
      </c>
      <c r="G495" t="s">
        <v>5</v>
      </c>
      <c r="H495" s="1">
        <f t="shared" si="112"/>
        <v>36838.958333334529</v>
      </c>
      <c r="I495">
        <f t="shared" si="114"/>
        <v>4.8760000000000003</v>
      </c>
      <c r="J495">
        <f t="shared" si="115"/>
        <v>12.9328</v>
      </c>
      <c r="K495">
        <f t="shared" si="116"/>
        <v>34.748199999999997</v>
      </c>
      <c r="L495">
        <f t="shared" si="117"/>
        <v>-3.8814907800000031</v>
      </c>
      <c r="M495">
        <f t="shared" si="118"/>
        <v>218.22899999999998</v>
      </c>
      <c r="O495">
        <v>313</v>
      </c>
      <c r="P495">
        <v>2300</v>
      </c>
      <c r="Q495">
        <v>0.75</v>
      </c>
      <c r="R495">
        <f t="shared" si="113"/>
        <v>-0.74465214342232289</v>
      </c>
    </row>
    <row r="496" spans="1:18" x14ac:dyDescent="0.25">
      <c r="A496">
        <v>1</v>
      </c>
      <c r="B496">
        <v>34</v>
      </c>
      <c r="C496">
        <v>84</v>
      </c>
      <c r="D496">
        <v>372</v>
      </c>
      <c r="E496">
        <v>468</v>
      </c>
      <c r="F496">
        <v>637</v>
      </c>
      <c r="G496" t="s">
        <v>5</v>
      </c>
      <c r="H496" s="1">
        <f t="shared" si="112"/>
        <v>36838.979166667865</v>
      </c>
      <c r="I496">
        <f t="shared" si="114"/>
        <v>2.9363999999999999</v>
      </c>
      <c r="J496">
        <f t="shared" si="115"/>
        <v>6.6664000000000003</v>
      </c>
      <c r="K496">
        <f t="shared" si="116"/>
        <v>35.872399999999999</v>
      </c>
      <c r="L496">
        <f t="shared" si="117"/>
        <v>-3.9713795200000037</v>
      </c>
      <c r="M496">
        <f t="shared" si="118"/>
        <v>223.81299999999999</v>
      </c>
      <c r="O496">
        <v>313</v>
      </c>
      <c r="P496">
        <v>2330</v>
      </c>
      <c r="Q496">
        <v>0.75</v>
      </c>
      <c r="R496">
        <f t="shared" si="113"/>
        <v>-0.74452784104797043</v>
      </c>
    </row>
    <row r="497" spans="1:18" x14ac:dyDescent="0.25">
      <c r="A497">
        <v>1</v>
      </c>
      <c r="B497">
        <v>43</v>
      </c>
      <c r="C497">
        <v>100</v>
      </c>
      <c r="D497">
        <v>550</v>
      </c>
      <c r="E497">
        <v>465</v>
      </c>
      <c r="F497">
        <v>661</v>
      </c>
      <c r="G497" t="s">
        <v>5</v>
      </c>
      <c r="H497" s="1">
        <f t="shared" si="112"/>
        <v>36839.000000001201</v>
      </c>
      <c r="I497">
        <f t="shared" si="114"/>
        <v>3.6077999999999997</v>
      </c>
      <c r="J497">
        <f t="shared" si="115"/>
        <v>7.86</v>
      </c>
      <c r="K497">
        <f t="shared" si="116"/>
        <v>54.064</v>
      </c>
      <c r="L497">
        <f t="shared" si="117"/>
        <v>-4.2409255000000057</v>
      </c>
      <c r="M497">
        <f t="shared" si="118"/>
        <v>232.18899999999999</v>
      </c>
      <c r="O497">
        <v>313</v>
      </c>
      <c r="P497">
        <v>2400</v>
      </c>
      <c r="Q497">
        <v>0.752</v>
      </c>
      <c r="R497">
        <f t="shared" si="113"/>
        <v>-0.74613938898467758</v>
      </c>
    </row>
    <row r="498" spans="1:18" x14ac:dyDescent="0.25">
      <c r="A498">
        <v>1</v>
      </c>
      <c r="B498">
        <v>87</v>
      </c>
      <c r="C498">
        <v>152</v>
      </c>
      <c r="D498">
        <v>476</v>
      </c>
      <c r="E498">
        <v>463</v>
      </c>
      <c r="F498">
        <v>697</v>
      </c>
      <c r="G498" t="s">
        <v>5</v>
      </c>
      <c r="H498" s="1">
        <f t="shared" si="112"/>
        <v>36839.020833334536</v>
      </c>
      <c r="I498">
        <f t="shared" si="114"/>
        <v>6.8902000000000001</v>
      </c>
      <c r="J498">
        <f t="shared" si="115"/>
        <v>11.7392</v>
      </c>
      <c r="K498">
        <f t="shared" si="116"/>
        <v>46.501199999999997</v>
      </c>
      <c r="L498">
        <f t="shared" si="117"/>
        <v>-4.4205226199999998</v>
      </c>
      <c r="M498">
        <f t="shared" si="118"/>
        <v>244.75299999999999</v>
      </c>
      <c r="O498">
        <v>314</v>
      </c>
      <c r="P498">
        <v>30</v>
      </c>
      <c r="Q498">
        <v>0.75</v>
      </c>
      <c r="R498">
        <f t="shared" si="113"/>
        <v>-0.7439064336890896</v>
      </c>
    </row>
    <row r="499" spans="1:18" x14ac:dyDescent="0.25">
      <c r="A499">
        <v>1</v>
      </c>
      <c r="B499">
        <v>59</v>
      </c>
      <c r="C499">
        <v>120</v>
      </c>
      <c r="D499">
        <v>275</v>
      </c>
      <c r="E499">
        <v>463</v>
      </c>
      <c r="F499">
        <v>673</v>
      </c>
      <c r="G499" t="s">
        <v>5</v>
      </c>
      <c r="H499" s="1">
        <f t="shared" si="112"/>
        <v>36839.041666667872</v>
      </c>
      <c r="I499">
        <f t="shared" si="114"/>
        <v>4.8014000000000001</v>
      </c>
      <c r="J499">
        <f t="shared" si="115"/>
        <v>9.3520000000000003</v>
      </c>
      <c r="K499">
        <f t="shared" si="116"/>
        <v>25.959</v>
      </c>
      <c r="L499">
        <f t="shared" si="117"/>
        <v>-4.4205226199999998</v>
      </c>
      <c r="M499">
        <f t="shared" si="118"/>
        <v>236.37699999999998</v>
      </c>
      <c r="O499">
        <v>314</v>
      </c>
      <c r="P499">
        <v>100</v>
      </c>
      <c r="Q499">
        <v>0.752</v>
      </c>
      <c r="R499">
        <f t="shared" si="113"/>
        <v>-0.74589018417892716</v>
      </c>
    </row>
    <row r="500" spans="1:18" x14ac:dyDescent="0.25">
      <c r="A500">
        <v>1</v>
      </c>
      <c r="B500">
        <v>28</v>
      </c>
      <c r="C500">
        <v>72</v>
      </c>
      <c r="D500">
        <v>536</v>
      </c>
      <c r="E500">
        <v>456</v>
      </c>
      <c r="F500">
        <v>689</v>
      </c>
      <c r="G500" t="s">
        <v>5</v>
      </c>
      <c r="H500" s="1">
        <f t="shared" si="112"/>
        <v>36839.062500001208</v>
      </c>
      <c r="I500">
        <f t="shared" si="114"/>
        <v>2.4887999999999999</v>
      </c>
      <c r="J500">
        <f t="shared" si="115"/>
        <v>5.7712000000000003</v>
      </c>
      <c r="K500">
        <f t="shared" si="116"/>
        <v>52.633200000000002</v>
      </c>
      <c r="L500">
        <f t="shared" si="117"/>
        <v>-5.0484812800000043</v>
      </c>
      <c r="M500">
        <f t="shared" si="118"/>
        <v>241.96099999999998</v>
      </c>
      <c r="O500">
        <v>314</v>
      </c>
      <c r="P500">
        <v>130</v>
      </c>
      <c r="Q500">
        <v>0.75</v>
      </c>
      <c r="R500">
        <f t="shared" si="113"/>
        <v>-0.74303675665897795</v>
      </c>
    </row>
    <row r="501" spans="1:18" x14ac:dyDescent="0.25">
      <c r="A501">
        <v>1</v>
      </c>
      <c r="B501">
        <v>64</v>
      </c>
      <c r="C501">
        <v>112</v>
      </c>
      <c r="D501">
        <v>473</v>
      </c>
      <c r="E501">
        <v>461</v>
      </c>
      <c r="F501">
        <v>681</v>
      </c>
      <c r="G501" t="s">
        <v>5</v>
      </c>
      <c r="H501" s="1">
        <f t="shared" si="112"/>
        <v>36839.083333334544</v>
      </c>
      <c r="I501">
        <f t="shared" si="114"/>
        <v>5.1744000000000003</v>
      </c>
      <c r="J501">
        <f t="shared" si="115"/>
        <v>8.7552000000000003</v>
      </c>
      <c r="K501">
        <f t="shared" si="116"/>
        <v>46.194600000000001</v>
      </c>
      <c r="L501">
        <f t="shared" si="117"/>
        <v>-4.6000395800000016</v>
      </c>
      <c r="M501">
        <f t="shared" si="118"/>
        <v>239.16899999999998</v>
      </c>
      <c r="O501">
        <v>314</v>
      </c>
      <c r="P501">
        <v>200</v>
      </c>
      <c r="Q501">
        <v>0.752</v>
      </c>
      <c r="R501">
        <f t="shared" si="113"/>
        <v>-0.74564100736897776</v>
      </c>
    </row>
    <row r="502" spans="1:18" x14ac:dyDescent="0.25">
      <c r="A502">
        <v>1</v>
      </c>
      <c r="B502">
        <v>39</v>
      </c>
      <c r="C502">
        <v>124</v>
      </c>
      <c r="D502">
        <v>450</v>
      </c>
      <c r="E502">
        <v>460</v>
      </c>
      <c r="F502">
        <v>681</v>
      </c>
      <c r="G502" t="s">
        <v>5</v>
      </c>
      <c r="H502" s="1">
        <f t="shared" si="112"/>
        <v>36839.104166667879</v>
      </c>
      <c r="I502">
        <f t="shared" si="114"/>
        <v>3.3093999999999997</v>
      </c>
      <c r="J502">
        <f t="shared" si="115"/>
        <v>9.6503999999999994</v>
      </c>
      <c r="K502">
        <f t="shared" si="116"/>
        <v>43.844000000000001</v>
      </c>
      <c r="L502">
        <f t="shared" si="117"/>
        <v>-4.6897680000000026</v>
      </c>
      <c r="M502">
        <f t="shared" si="118"/>
        <v>239.16899999999998</v>
      </c>
      <c r="O502">
        <v>314</v>
      </c>
      <c r="P502">
        <v>230</v>
      </c>
      <c r="Q502">
        <v>0.75</v>
      </c>
      <c r="R502">
        <f t="shared" si="113"/>
        <v>-0.74353367300984141</v>
      </c>
    </row>
    <row r="503" spans="1:18" x14ac:dyDescent="0.25">
      <c r="A503">
        <v>1</v>
      </c>
      <c r="B503">
        <v>83</v>
      </c>
      <c r="C503">
        <v>148</v>
      </c>
      <c r="D503">
        <v>429</v>
      </c>
      <c r="E503">
        <v>462</v>
      </c>
      <c r="F503">
        <v>665</v>
      </c>
      <c r="G503" t="s">
        <v>5</v>
      </c>
      <c r="H503" s="1">
        <f t="shared" si="112"/>
        <v>36839.125000001215</v>
      </c>
      <c r="I503">
        <f t="shared" si="114"/>
        <v>6.5918000000000001</v>
      </c>
      <c r="J503">
        <f t="shared" si="115"/>
        <v>11.440800000000001</v>
      </c>
      <c r="K503">
        <f t="shared" si="116"/>
        <v>41.697800000000001</v>
      </c>
      <c r="L503">
        <f t="shared" si="117"/>
        <v>-4.5102911200000007</v>
      </c>
      <c r="M503">
        <f t="shared" si="118"/>
        <v>233.58499999999998</v>
      </c>
      <c r="O503">
        <v>314</v>
      </c>
      <c r="P503">
        <v>300</v>
      </c>
      <c r="Q503">
        <v>0.747</v>
      </c>
      <c r="R503">
        <f t="shared" si="113"/>
        <v>-0.74080704445176104</v>
      </c>
    </row>
    <row r="504" spans="1:18" x14ac:dyDescent="0.25">
      <c r="A504">
        <v>1</v>
      </c>
      <c r="B504">
        <v>49</v>
      </c>
      <c r="C504">
        <v>100</v>
      </c>
      <c r="D504">
        <v>213</v>
      </c>
      <c r="E504">
        <v>462</v>
      </c>
      <c r="F504">
        <v>665</v>
      </c>
      <c r="G504" t="s">
        <v>5</v>
      </c>
      <c r="H504" s="1">
        <f t="shared" si="112"/>
        <v>36839.145833334551</v>
      </c>
      <c r="I504">
        <f t="shared" si="114"/>
        <v>4.0554000000000006</v>
      </c>
      <c r="J504">
        <f t="shared" si="115"/>
        <v>7.86</v>
      </c>
      <c r="K504">
        <f t="shared" si="116"/>
        <v>19.622599999999998</v>
      </c>
      <c r="L504">
        <f t="shared" si="117"/>
        <v>-4.5102911200000007</v>
      </c>
      <c r="M504">
        <f t="shared" si="118"/>
        <v>233.58499999999998</v>
      </c>
      <c r="O504">
        <v>314</v>
      </c>
      <c r="P504">
        <v>330</v>
      </c>
      <c r="Q504">
        <v>0.747</v>
      </c>
      <c r="R504">
        <f t="shared" si="113"/>
        <v>-0.74080704445176104</v>
      </c>
    </row>
    <row r="505" spans="1:18" x14ac:dyDescent="0.25">
      <c r="A505">
        <v>1</v>
      </c>
      <c r="B505">
        <v>60</v>
      </c>
      <c r="C505">
        <v>124</v>
      </c>
      <c r="D505">
        <v>620</v>
      </c>
      <c r="E505">
        <v>457</v>
      </c>
      <c r="F505">
        <v>625</v>
      </c>
      <c r="G505" t="s">
        <v>5</v>
      </c>
      <c r="H505" s="1">
        <f t="shared" si="112"/>
        <v>36839.166666667887</v>
      </c>
      <c r="I505">
        <f t="shared" ref="I505:I522" si="119">0.4+0.0746*B505</f>
        <v>4.8760000000000003</v>
      </c>
      <c r="J505">
        <f t="shared" ref="J505:J522" si="120">0.4+0.0746*C505</f>
        <v>9.6503999999999994</v>
      </c>
      <c r="K505">
        <f t="shared" ref="K505:K522" si="121">-2.146+0.1022*D505</f>
        <v>61.217999999999996</v>
      </c>
      <c r="L505">
        <f t="shared" ref="L505:L522" si="122">-43.84+0.0805*E505+0.00001002*E505^2</f>
        <v>-4.9588330200000037</v>
      </c>
      <c r="M505">
        <f t="shared" ref="M505:M522" si="123">1.5+0.349*F505</f>
        <v>219.62499999999997</v>
      </c>
      <c r="O505">
        <v>314</v>
      </c>
      <c r="P505">
        <v>400</v>
      </c>
      <c r="Q505">
        <v>0.745</v>
      </c>
      <c r="R505">
        <f t="shared" si="113"/>
        <v>-0.73820656874650525</v>
      </c>
    </row>
    <row r="506" spans="1:18" x14ac:dyDescent="0.25">
      <c r="A506">
        <v>1</v>
      </c>
      <c r="B506">
        <v>69</v>
      </c>
      <c r="C506">
        <v>140</v>
      </c>
      <c r="D506">
        <v>75</v>
      </c>
      <c r="E506">
        <v>455</v>
      </c>
      <c r="F506">
        <v>681</v>
      </c>
      <c r="G506" t="s">
        <v>5</v>
      </c>
      <c r="H506" s="1">
        <f t="shared" ref="H506:H568" si="124">H505+1/48</f>
        <v>36839.187500001222</v>
      </c>
      <c r="I506">
        <f t="shared" si="119"/>
        <v>5.5474000000000006</v>
      </c>
      <c r="J506">
        <f t="shared" si="120"/>
        <v>10.843999999999999</v>
      </c>
      <c r="K506">
        <f t="shared" si="121"/>
        <v>5.5190000000000001</v>
      </c>
      <c r="L506">
        <f t="shared" si="122"/>
        <v>-5.1381095000000059</v>
      </c>
      <c r="M506">
        <f t="shared" si="123"/>
        <v>239.16899999999998</v>
      </c>
      <c r="O506">
        <v>314</v>
      </c>
      <c r="P506">
        <v>430</v>
      </c>
      <c r="Q506">
        <v>0.75</v>
      </c>
      <c r="R506">
        <f t="shared" si="113"/>
        <v>-0.74291254507467075</v>
      </c>
    </row>
    <row r="507" spans="1:18" x14ac:dyDescent="0.25">
      <c r="A507">
        <v>1</v>
      </c>
      <c r="B507">
        <v>66</v>
      </c>
      <c r="C507">
        <v>140</v>
      </c>
      <c r="D507">
        <v>608</v>
      </c>
      <c r="E507">
        <v>449</v>
      </c>
      <c r="F507">
        <v>669</v>
      </c>
      <c r="G507" t="s">
        <v>5</v>
      </c>
      <c r="H507" s="1">
        <f t="shared" si="124"/>
        <v>36839.208333334558</v>
      </c>
      <c r="I507">
        <f t="shared" si="119"/>
        <v>5.3236000000000008</v>
      </c>
      <c r="J507">
        <f t="shared" si="120"/>
        <v>10.843999999999999</v>
      </c>
      <c r="K507">
        <f t="shared" si="121"/>
        <v>59.991599999999998</v>
      </c>
      <c r="L507">
        <f t="shared" si="122"/>
        <v>-5.6754579800000027</v>
      </c>
      <c r="M507">
        <f t="shared" si="123"/>
        <v>234.98099999999999</v>
      </c>
      <c r="O507">
        <v>314</v>
      </c>
      <c r="P507">
        <v>500</v>
      </c>
      <c r="Q507">
        <v>0.75</v>
      </c>
      <c r="R507">
        <f t="shared" si="113"/>
        <v>-0.74216742286812987</v>
      </c>
    </row>
    <row r="508" spans="1:18" x14ac:dyDescent="0.25">
      <c r="A508">
        <v>1</v>
      </c>
      <c r="B508">
        <v>101</v>
      </c>
      <c r="C508">
        <v>156</v>
      </c>
      <c r="D508">
        <v>449</v>
      </c>
      <c r="E508">
        <v>462</v>
      </c>
      <c r="F508">
        <v>617</v>
      </c>
      <c r="G508" t="s">
        <v>5</v>
      </c>
      <c r="H508" s="1">
        <f t="shared" si="124"/>
        <v>36839.229166667894</v>
      </c>
      <c r="I508">
        <f t="shared" si="119"/>
        <v>7.9346000000000005</v>
      </c>
      <c r="J508">
        <f t="shared" si="120"/>
        <v>12.037599999999999</v>
      </c>
      <c r="K508">
        <f t="shared" si="121"/>
        <v>43.741799999999998</v>
      </c>
      <c r="L508">
        <f t="shared" si="122"/>
        <v>-4.5102911200000007</v>
      </c>
      <c r="M508">
        <f t="shared" si="123"/>
        <v>216.833</v>
      </c>
      <c r="O508">
        <v>314</v>
      </c>
      <c r="P508">
        <v>530</v>
      </c>
      <c r="Q508">
        <v>0.75</v>
      </c>
      <c r="R508">
        <f t="shared" si="113"/>
        <v>-0.74378217314433848</v>
      </c>
    </row>
    <row r="509" spans="1:18" x14ac:dyDescent="0.25">
      <c r="A509">
        <v>1</v>
      </c>
      <c r="B509">
        <v>63</v>
      </c>
      <c r="C509">
        <v>168</v>
      </c>
      <c r="D509">
        <v>55</v>
      </c>
      <c r="E509">
        <v>462</v>
      </c>
      <c r="F509">
        <v>681</v>
      </c>
      <c r="G509" t="s">
        <v>5</v>
      </c>
      <c r="H509" s="1">
        <f t="shared" si="124"/>
        <v>36839.25000000123</v>
      </c>
      <c r="I509">
        <f t="shared" si="119"/>
        <v>5.0998000000000001</v>
      </c>
      <c r="J509">
        <f t="shared" si="120"/>
        <v>12.9328</v>
      </c>
      <c r="K509">
        <f t="shared" si="121"/>
        <v>3.4749999999999996</v>
      </c>
      <c r="L509">
        <f t="shared" si="122"/>
        <v>-4.5102911200000007</v>
      </c>
      <c r="M509">
        <f t="shared" si="123"/>
        <v>239.16899999999998</v>
      </c>
      <c r="O509">
        <v>314</v>
      </c>
      <c r="P509">
        <v>600</v>
      </c>
      <c r="Q509">
        <v>0.745</v>
      </c>
      <c r="R509">
        <f t="shared" si="113"/>
        <v>-0.7388236253233762</v>
      </c>
    </row>
    <row r="510" spans="1:18" x14ac:dyDescent="0.25">
      <c r="A510">
        <v>7</v>
      </c>
      <c r="B510">
        <v>44</v>
      </c>
      <c r="C510">
        <v>104</v>
      </c>
      <c r="D510">
        <v>543</v>
      </c>
      <c r="E510">
        <v>455</v>
      </c>
      <c r="F510">
        <v>723</v>
      </c>
      <c r="G510" t="s">
        <v>5</v>
      </c>
      <c r="H510" s="1">
        <f t="shared" si="124"/>
        <v>36839.270833334565</v>
      </c>
      <c r="I510">
        <f t="shared" si="119"/>
        <v>3.6823999999999999</v>
      </c>
      <c r="J510">
        <f t="shared" si="120"/>
        <v>8.1584000000000003</v>
      </c>
      <c r="K510">
        <f t="shared" si="121"/>
        <v>53.348599999999998</v>
      </c>
      <c r="L510">
        <f t="shared" si="122"/>
        <v>-5.1381095000000059</v>
      </c>
      <c r="M510">
        <f t="shared" si="123"/>
        <v>253.82699999999997</v>
      </c>
      <c r="O510">
        <v>314</v>
      </c>
      <c r="P510">
        <v>630</v>
      </c>
      <c r="Q510">
        <v>0.745</v>
      </c>
      <c r="R510">
        <f t="shared" si="113"/>
        <v>-0.73795979477417284</v>
      </c>
    </row>
    <row r="511" spans="1:18" x14ac:dyDescent="0.25">
      <c r="A511">
        <v>7</v>
      </c>
      <c r="B511">
        <v>81</v>
      </c>
      <c r="C511">
        <v>120</v>
      </c>
      <c r="D511">
        <v>491</v>
      </c>
      <c r="E511">
        <v>456</v>
      </c>
      <c r="F511">
        <v>717</v>
      </c>
      <c r="G511" t="s">
        <v>5</v>
      </c>
      <c r="H511" s="1">
        <f t="shared" si="124"/>
        <v>36839.291666667901</v>
      </c>
      <c r="I511">
        <f t="shared" si="119"/>
        <v>6.4426000000000005</v>
      </c>
      <c r="J511">
        <f t="shared" si="120"/>
        <v>9.3520000000000003</v>
      </c>
      <c r="K511">
        <f t="shared" si="121"/>
        <v>48.034199999999998</v>
      </c>
      <c r="L511">
        <f t="shared" si="122"/>
        <v>-5.0484812800000043</v>
      </c>
      <c r="M511">
        <f t="shared" si="123"/>
        <v>251.73299999999998</v>
      </c>
      <c r="O511">
        <v>314</v>
      </c>
      <c r="P511">
        <v>700</v>
      </c>
      <c r="Q511">
        <v>0.747</v>
      </c>
      <c r="R511">
        <f t="shared" si="113"/>
        <v>-0.740064609632342</v>
      </c>
    </row>
    <row r="512" spans="1:18" x14ac:dyDescent="0.25">
      <c r="A512">
        <v>7</v>
      </c>
      <c r="B512">
        <v>24</v>
      </c>
      <c r="C512">
        <v>68</v>
      </c>
      <c r="D512">
        <v>985</v>
      </c>
      <c r="E512">
        <v>463</v>
      </c>
      <c r="F512">
        <v>677</v>
      </c>
      <c r="G512" t="s">
        <v>5</v>
      </c>
      <c r="H512" s="1">
        <f t="shared" si="124"/>
        <v>36839.312500001237</v>
      </c>
      <c r="I512">
        <f t="shared" si="119"/>
        <v>2.1903999999999999</v>
      </c>
      <c r="J512">
        <f t="shared" si="120"/>
        <v>5.4728000000000003</v>
      </c>
      <c r="K512">
        <f t="shared" si="121"/>
        <v>98.521000000000001</v>
      </c>
      <c r="L512">
        <f t="shared" si="122"/>
        <v>-4.4205226199999998</v>
      </c>
      <c r="M512">
        <f t="shared" si="123"/>
        <v>237.773</v>
      </c>
      <c r="O512">
        <v>314</v>
      </c>
      <c r="P512">
        <v>730</v>
      </c>
      <c r="Q512">
        <v>0.745</v>
      </c>
      <c r="R512">
        <f t="shared" si="113"/>
        <v>-0.73894705746449563</v>
      </c>
    </row>
    <row r="513" spans="1:18" x14ac:dyDescent="0.25">
      <c r="A513">
        <v>7</v>
      </c>
      <c r="B513">
        <v>20</v>
      </c>
      <c r="C513">
        <v>60</v>
      </c>
      <c r="D513">
        <v>600</v>
      </c>
      <c r="E513">
        <v>466</v>
      </c>
      <c r="F513">
        <v>677</v>
      </c>
      <c r="G513" t="s">
        <v>5</v>
      </c>
      <c r="H513" s="1">
        <f t="shared" si="124"/>
        <v>36839.333333334573</v>
      </c>
      <c r="I513">
        <f t="shared" si="119"/>
        <v>1.8919999999999999</v>
      </c>
      <c r="J513">
        <f t="shared" si="120"/>
        <v>4.8760000000000003</v>
      </c>
      <c r="K513">
        <f t="shared" si="121"/>
        <v>59.173999999999999</v>
      </c>
      <c r="L513">
        <f t="shared" si="122"/>
        <v>-4.1510968800000052</v>
      </c>
      <c r="M513">
        <f t="shared" si="123"/>
        <v>237.773</v>
      </c>
      <c r="O513">
        <v>314</v>
      </c>
      <c r="P513">
        <v>800</v>
      </c>
      <c r="Q513">
        <v>0.745</v>
      </c>
      <c r="R513">
        <f t="shared" si="113"/>
        <v>-0.73931739547676101</v>
      </c>
    </row>
    <row r="514" spans="1:18" x14ac:dyDescent="0.25">
      <c r="A514">
        <v>7</v>
      </c>
      <c r="B514">
        <v>42</v>
      </c>
      <c r="C514">
        <v>64</v>
      </c>
      <c r="D514">
        <v>576</v>
      </c>
      <c r="E514">
        <v>461</v>
      </c>
      <c r="F514">
        <v>737</v>
      </c>
      <c r="G514" t="s">
        <v>5</v>
      </c>
      <c r="H514" s="1">
        <f t="shared" si="124"/>
        <v>36839.354166667908</v>
      </c>
      <c r="I514">
        <f t="shared" si="119"/>
        <v>3.5331999999999999</v>
      </c>
      <c r="J514">
        <f t="shared" si="120"/>
        <v>5.1744000000000003</v>
      </c>
      <c r="K514">
        <f t="shared" si="121"/>
        <v>56.721199999999996</v>
      </c>
      <c r="L514">
        <f t="shared" si="122"/>
        <v>-4.6000395800000016</v>
      </c>
      <c r="M514">
        <f t="shared" si="123"/>
        <v>258.71299999999997</v>
      </c>
      <c r="O514">
        <v>314</v>
      </c>
      <c r="P514">
        <v>830</v>
      </c>
      <c r="Q514">
        <v>0.74199999999999999</v>
      </c>
      <c r="R514">
        <f t="shared" si="113"/>
        <v>-0.73572556844119885</v>
      </c>
    </row>
    <row r="515" spans="1:18" x14ac:dyDescent="0.25">
      <c r="A515">
        <v>7</v>
      </c>
      <c r="B515">
        <v>50</v>
      </c>
      <c r="C515">
        <v>84</v>
      </c>
      <c r="D515">
        <v>527</v>
      </c>
      <c r="E515">
        <v>466</v>
      </c>
      <c r="F515">
        <v>697</v>
      </c>
      <c r="G515" t="s">
        <v>5</v>
      </c>
      <c r="H515" s="1">
        <f t="shared" si="124"/>
        <v>36839.375000001244</v>
      </c>
      <c r="I515">
        <f t="shared" si="119"/>
        <v>4.13</v>
      </c>
      <c r="J515">
        <f t="shared" si="120"/>
        <v>6.6664000000000003</v>
      </c>
      <c r="K515">
        <f t="shared" si="121"/>
        <v>51.7134</v>
      </c>
      <c r="L515">
        <f t="shared" si="122"/>
        <v>-4.1510968800000052</v>
      </c>
      <c r="M515">
        <f t="shared" si="123"/>
        <v>244.75299999999999</v>
      </c>
      <c r="O515">
        <v>314</v>
      </c>
      <c r="P515">
        <v>900</v>
      </c>
      <c r="Q515">
        <v>0.745</v>
      </c>
      <c r="R515">
        <f t="shared" si="113"/>
        <v>-0.73931739547676101</v>
      </c>
    </row>
    <row r="516" spans="1:18" x14ac:dyDescent="0.25">
      <c r="A516">
        <v>71</v>
      </c>
      <c r="B516">
        <v>37</v>
      </c>
      <c r="C516">
        <v>68</v>
      </c>
      <c r="D516">
        <v>288</v>
      </c>
      <c r="E516">
        <v>462</v>
      </c>
      <c r="F516">
        <v>793</v>
      </c>
      <c r="G516" t="s">
        <v>5</v>
      </c>
      <c r="H516" s="1">
        <f t="shared" si="124"/>
        <v>36839.39583333458</v>
      </c>
      <c r="I516">
        <f t="shared" si="119"/>
        <v>3.1602000000000001</v>
      </c>
      <c r="J516">
        <f t="shared" si="120"/>
        <v>5.4728000000000003</v>
      </c>
      <c r="K516">
        <f t="shared" si="121"/>
        <v>27.287599999999998</v>
      </c>
      <c r="L516">
        <f t="shared" si="122"/>
        <v>-4.5102911200000007</v>
      </c>
      <c r="M516">
        <f t="shared" si="123"/>
        <v>278.25700000000001</v>
      </c>
      <c r="O516">
        <v>314</v>
      </c>
      <c r="P516">
        <v>930</v>
      </c>
      <c r="Q516">
        <v>0.74199999999999999</v>
      </c>
      <c r="R516">
        <f t="shared" si="113"/>
        <v>-0.73584849663079888</v>
      </c>
    </row>
    <row r="517" spans="1:18" x14ac:dyDescent="0.25">
      <c r="A517">
        <v>71</v>
      </c>
      <c r="B517">
        <v>48</v>
      </c>
      <c r="C517">
        <v>80</v>
      </c>
      <c r="D517">
        <v>405</v>
      </c>
      <c r="E517">
        <v>469</v>
      </c>
      <c r="F517">
        <v>776</v>
      </c>
      <c r="G517" t="s">
        <v>5</v>
      </c>
      <c r="H517" s="1">
        <f t="shared" si="124"/>
        <v>36839.416666667916</v>
      </c>
      <c r="I517">
        <f t="shared" si="119"/>
        <v>3.9807999999999999</v>
      </c>
      <c r="J517">
        <f t="shared" si="120"/>
        <v>6.3680000000000003</v>
      </c>
      <c r="K517">
        <f t="shared" si="121"/>
        <v>39.244999999999997</v>
      </c>
      <c r="L517">
        <f t="shared" si="122"/>
        <v>-3.8814907800000031</v>
      </c>
      <c r="M517">
        <f t="shared" si="123"/>
        <v>272.32399999999996</v>
      </c>
      <c r="O517">
        <v>314</v>
      </c>
      <c r="P517">
        <v>1000</v>
      </c>
      <c r="Q517">
        <v>0.74199999999999999</v>
      </c>
      <c r="R517">
        <f t="shared" si="113"/>
        <v>-0.73670918722581813</v>
      </c>
    </row>
    <row r="518" spans="1:18" x14ac:dyDescent="0.25">
      <c r="A518">
        <v>71</v>
      </c>
      <c r="B518">
        <v>36</v>
      </c>
      <c r="C518">
        <v>60</v>
      </c>
      <c r="D518">
        <v>467</v>
      </c>
      <c r="E518">
        <v>477</v>
      </c>
      <c r="F518">
        <v>793</v>
      </c>
      <c r="G518" t="s">
        <v>5</v>
      </c>
      <c r="H518" s="1">
        <f t="shared" si="124"/>
        <v>36839.437500001251</v>
      </c>
      <c r="I518">
        <f t="shared" si="119"/>
        <v>3.0855999999999999</v>
      </c>
      <c r="J518">
        <f t="shared" si="120"/>
        <v>4.8760000000000003</v>
      </c>
      <c r="K518">
        <f t="shared" si="121"/>
        <v>45.581400000000002</v>
      </c>
      <c r="L518">
        <f t="shared" si="122"/>
        <v>-3.1616594200000048</v>
      </c>
      <c r="M518">
        <f t="shared" si="123"/>
        <v>278.25700000000001</v>
      </c>
      <c r="O518">
        <v>314</v>
      </c>
      <c r="P518">
        <v>1030</v>
      </c>
      <c r="Q518">
        <v>0.74199999999999999</v>
      </c>
      <c r="R518">
        <f t="shared" si="113"/>
        <v>-0.73769324666089409</v>
      </c>
    </row>
    <row r="519" spans="1:18" x14ac:dyDescent="0.25">
      <c r="A519">
        <v>71</v>
      </c>
      <c r="B519">
        <v>31</v>
      </c>
      <c r="C519">
        <v>68</v>
      </c>
      <c r="D519">
        <v>196</v>
      </c>
      <c r="E519">
        <v>471</v>
      </c>
      <c r="F519">
        <v>796</v>
      </c>
      <c r="G519" t="s">
        <v>5</v>
      </c>
      <c r="H519" s="1">
        <f t="shared" si="124"/>
        <v>36839.458333334587</v>
      </c>
      <c r="I519">
        <f t="shared" si="119"/>
        <v>2.7125999999999997</v>
      </c>
      <c r="J519">
        <f t="shared" si="120"/>
        <v>5.4728000000000003</v>
      </c>
      <c r="K519">
        <f t="shared" si="121"/>
        <v>17.885199999999998</v>
      </c>
      <c r="L519">
        <f t="shared" si="122"/>
        <v>-3.7016531800000019</v>
      </c>
      <c r="M519">
        <f t="shared" si="123"/>
        <v>279.30399999999997</v>
      </c>
      <c r="O519">
        <v>314</v>
      </c>
      <c r="P519">
        <v>1100</v>
      </c>
      <c r="Q519">
        <v>0.74</v>
      </c>
      <c r="R519">
        <f t="shared" ref="R519:R578" si="125">-SQRT((L519+273.15)/273.15)*Q519</f>
        <v>-0.73496875879175805</v>
      </c>
    </row>
    <row r="520" spans="1:18" x14ac:dyDescent="0.25">
      <c r="A520">
        <v>71</v>
      </c>
      <c r="B520">
        <v>39</v>
      </c>
      <c r="C520">
        <v>68</v>
      </c>
      <c r="D520">
        <v>152</v>
      </c>
      <c r="E520">
        <v>477</v>
      </c>
      <c r="F520">
        <v>717</v>
      </c>
      <c r="G520" t="s">
        <v>5</v>
      </c>
      <c r="H520" s="1">
        <f t="shared" si="124"/>
        <v>36839.479166667923</v>
      </c>
      <c r="I520">
        <f t="shared" si="119"/>
        <v>3.3093999999999997</v>
      </c>
      <c r="J520">
        <f t="shared" si="120"/>
        <v>5.4728000000000003</v>
      </c>
      <c r="K520">
        <f t="shared" si="121"/>
        <v>13.388400000000001</v>
      </c>
      <c r="L520">
        <f t="shared" si="122"/>
        <v>-3.1616594200000048</v>
      </c>
      <c r="M520">
        <f t="shared" si="123"/>
        <v>251.73299999999998</v>
      </c>
      <c r="O520">
        <v>314</v>
      </c>
      <c r="P520">
        <v>1130</v>
      </c>
      <c r="Q520">
        <v>0.73699999999999999</v>
      </c>
      <c r="R520">
        <f t="shared" si="125"/>
        <v>-0.73272226790980988</v>
      </c>
    </row>
    <row r="521" spans="1:18" x14ac:dyDescent="0.25">
      <c r="A521">
        <v>71</v>
      </c>
      <c r="B521">
        <v>34</v>
      </c>
      <c r="C521">
        <v>64</v>
      </c>
      <c r="D521">
        <v>234</v>
      </c>
      <c r="E521">
        <v>473</v>
      </c>
      <c r="F521">
        <v>769</v>
      </c>
      <c r="G521" t="s">
        <v>5</v>
      </c>
      <c r="H521" s="1">
        <f t="shared" si="124"/>
        <v>36839.500000001259</v>
      </c>
      <c r="I521">
        <f t="shared" si="119"/>
        <v>2.9363999999999999</v>
      </c>
      <c r="J521">
        <f t="shared" si="120"/>
        <v>5.1744000000000003</v>
      </c>
      <c r="K521">
        <f t="shared" si="121"/>
        <v>21.768799999999999</v>
      </c>
      <c r="L521">
        <f t="shared" si="122"/>
        <v>-3.5217354200000002</v>
      </c>
      <c r="M521">
        <f t="shared" si="123"/>
        <v>269.88099999999997</v>
      </c>
      <c r="O521">
        <v>314</v>
      </c>
      <c r="P521">
        <v>1200</v>
      </c>
      <c r="Q521">
        <v>0.73699999999999999</v>
      </c>
      <c r="R521">
        <f t="shared" si="125"/>
        <v>-0.73223349915579394</v>
      </c>
    </row>
    <row r="522" spans="1:18" x14ac:dyDescent="0.25">
      <c r="A522">
        <v>71</v>
      </c>
      <c r="B522">
        <v>53</v>
      </c>
      <c r="C522">
        <v>84</v>
      </c>
      <c r="D522">
        <v>377</v>
      </c>
      <c r="E522">
        <v>479</v>
      </c>
      <c r="F522">
        <v>709</v>
      </c>
      <c r="G522" t="s">
        <v>5</v>
      </c>
      <c r="H522" s="1">
        <f t="shared" si="124"/>
        <v>36839.520833334594</v>
      </c>
      <c r="I522">
        <f t="shared" si="119"/>
        <v>4.3538000000000006</v>
      </c>
      <c r="J522">
        <f t="shared" si="120"/>
        <v>6.6664000000000003</v>
      </c>
      <c r="K522">
        <f t="shared" si="121"/>
        <v>36.383400000000002</v>
      </c>
      <c r="L522">
        <f t="shared" si="122"/>
        <v>-2.9815011800000035</v>
      </c>
      <c r="M522">
        <f t="shared" si="123"/>
        <v>248.94099999999997</v>
      </c>
      <c r="O522">
        <v>314</v>
      </c>
      <c r="P522">
        <v>1230</v>
      </c>
      <c r="Q522">
        <v>0.73699999999999999</v>
      </c>
      <c r="R522">
        <f t="shared" si="125"/>
        <v>-0.73296669316901064</v>
      </c>
    </row>
    <row r="523" spans="1:18" x14ac:dyDescent="0.25">
      <c r="A523">
        <v>711</v>
      </c>
      <c r="B523">
        <v>44</v>
      </c>
      <c r="C523">
        <v>76</v>
      </c>
      <c r="D523">
        <v>155</v>
      </c>
      <c r="E523">
        <v>473</v>
      </c>
      <c r="F523">
        <v>697</v>
      </c>
      <c r="G523" t="s">
        <v>5</v>
      </c>
      <c r="H523" s="1">
        <f t="shared" si="124"/>
        <v>36839.54166666793</v>
      </c>
      <c r="I523">
        <f t="shared" ref="I523:I550" si="126">0.4+0.0746*B523</f>
        <v>3.6823999999999999</v>
      </c>
      <c r="J523">
        <f t="shared" ref="J523:J550" si="127">0.4+0.0746*C523</f>
        <v>6.0696000000000003</v>
      </c>
      <c r="K523">
        <f t="shared" ref="K523:K550" si="128">-2.146+0.1022*D523</f>
        <v>13.695</v>
      </c>
      <c r="L523">
        <f t="shared" ref="L523:L550" si="129">-43.84+0.0805*E523+0.00001002*E523^2</f>
        <v>-3.5217354200000002</v>
      </c>
      <c r="M523">
        <f t="shared" ref="M523:M550" si="130">1.5+0.349*F523</f>
        <v>244.75299999999999</v>
      </c>
      <c r="O523">
        <v>314</v>
      </c>
      <c r="P523">
        <v>1300</v>
      </c>
      <c r="Q523">
        <v>0.73699999999999999</v>
      </c>
      <c r="R523">
        <f t="shared" si="125"/>
        <v>-0.73223349915579394</v>
      </c>
    </row>
    <row r="524" spans="1:18" x14ac:dyDescent="0.25">
      <c r="A524">
        <v>711</v>
      </c>
      <c r="B524">
        <v>51</v>
      </c>
      <c r="C524">
        <v>8</v>
      </c>
      <c r="D524">
        <v>197</v>
      </c>
      <c r="E524">
        <v>473</v>
      </c>
      <c r="F524">
        <v>705</v>
      </c>
      <c r="G524" t="s">
        <v>5</v>
      </c>
      <c r="H524" s="1">
        <f t="shared" si="124"/>
        <v>36839.562500001266</v>
      </c>
      <c r="I524">
        <f t="shared" si="126"/>
        <v>4.2046000000000001</v>
      </c>
      <c r="J524">
        <f t="shared" si="127"/>
        <v>0.99680000000000002</v>
      </c>
      <c r="K524">
        <f t="shared" si="128"/>
        <v>17.987399999999997</v>
      </c>
      <c r="L524">
        <f t="shared" si="129"/>
        <v>-3.5217354200000002</v>
      </c>
      <c r="M524">
        <f t="shared" si="130"/>
        <v>247.54499999999999</v>
      </c>
      <c r="O524">
        <v>314</v>
      </c>
      <c r="P524">
        <v>1330</v>
      </c>
      <c r="Q524">
        <v>0.73699999999999999</v>
      </c>
      <c r="R524">
        <f t="shared" si="125"/>
        <v>-0.73223349915579394</v>
      </c>
    </row>
    <row r="525" spans="1:18" x14ac:dyDescent="0.25">
      <c r="A525">
        <v>711</v>
      </c>
      <c r="B525">
        <v>42</v>
      </c>
      <c r="C525">
        <v>76</v>
      </c>
      <c r="D525">
        <v>442</v>
      </c>
      <c r="E525">
        <v>480</v>
      </c>
      <c r="F525">
        <v>697</v>
      </c>
      <c r="G525" t="s">
        <v>5</v>
      </c>
      <c r="H525" s="1">
        <f t="shared" si="124"/>
        <v>36839.583333334602</v>
      </c>
      <c r="I525">
        <f t="shared" si="126"/>
        <v>3.5331999999999999</v>
      </c>
      <c r="J525">
        <f t="shared" si="127"/>
        <v>6.0696000000000003</v>
      </c>
      <c r="K525">
        <f t="shared" si="128"/>
        <v>43.026399999999995</v>
      </c>
      <c r="L525">
        <f t="shared" si="129"/>
        <v>-2.8913920000000028</v>
      </c>
      <c r="M525">
        <f t="shared" si="130"/>
        <v>244.75299999999999</v>
      </c>
      <c r="O525">
        <v>314</v>
      </c>
      <c r="P525">
        <v>1400</v>
      </c>
      <c r="Q525">
        <v>0.73699999999999999</v>
      </c>
      <c r="R525">
        <f t="shared" si="125"/>
        <v>-0.7330889160072328</v>
      </c>
    </row>
    <row r="526" spans="1:18" x14ac:dyDescent="0.25">
      <c r="A526">
        <v>711</v>
      </c>
      <c r="B526">
        <v>61</v>
      </c>
      <c r="C526">
        <v>96</v>
      </c>
      <c r="D526">
        <v>433</v>
      </c>
      <c r="E526">
        <v>472</v>
      </c>
      <c r="F526">
        <v>741</v>
      </c>
      <c r="G526" t="s">
        <v>5</v>
      </c>
      <c r="H526" s="1">
        <f t="shared" si="124"/>
        <v>36839.604166667938</v>
      </c>
      <c r="I526">
        <f t="shared" si="126"/>
        <v>4.9506000000000006</v>
      </c>
      <c r="J526">
        <f t="shared" si="127"/>
        <v>7.5616000000000003</v>
      </c>
      <c r="K526">
        <f t="shared" si="128"/>
        <v>42.1066</v>
      </c>
      <c r="L526">
        <f t="shared" si="129"/>
        <v>-3.6117043200000012</v>
      </c>
      <c r="M526">
        <f t="shared" si="130"/>
        <v>260.10899999999998</v>
      </c>
      <c r="O526">
        <v>314</v>
      </c>
      <c r="P526">
        <v>1430</v>
      </c>
      <c r="Q526">
        <v>0.73499999999999999</v>
      </c>
      <c r="R526">
        <f t="shared" si="125"/>
        <v>-0.73012459044200495</v>
      </c>
    </row>
    <row r="527" spans="1:18" x14ac:dyDescent="0.25">
      <c r="A527">
        <v>711</v>
      </c>
      <c r="B527">
        <v>54</v>
      </c>
      <c r="C527">
        <v>100</v>
      </c>
      <c r="D527">
        <v>206</v>
      </c>
      <c r="E527">
        <v>471</v>
      </c>
      <c r="F527">
        <v>777</v>
      </c>
      <c r="G527" t="s">
        <v>5</v>
      </c>
      <c r="H527" s="1">
        <f t="shared" si="124"/>
        <v>36839.625000001273</v>
      </c>
      <c r="I527">
        <f t="shared" si="126"/>
        <v>4.4283999999999999</v>
      </c>
      <c r="J527">
        <f t="shared" si="127"/>
        <v>7.86</v>
      </c>
      <c r="K527">
        <f t="shared" si="128"/>
        <v>18.9072</v>
      </c>
      <c r="L527">
        <f t="shared" si="129"/>
        <v>-3.7016531800000019</v>
      </c>
      <c r="M527">
        <f t="shared" si="130"/>
        <v>272.673</v>
      </c>
      <c r="O527">
        <v>314</v>
      </c>
      <c r="P527">
        <v>1500</v>
      </c>
      <c r="Q527">
        <v>0.73699999999999999</v>
      </c>
      <c r="R527">
        <f t="shared" si="125"/>
        <v>-0.73198915571557532</v>
      </c>
    </row>
    <row r="528" spans="1:18" x14ac:dyDescent="0.25">
      <c r="A528">
        <v>711</v>
      </c>
      <c r="B528">
        <v>47</v>
      </c>
      <c r="C528">
        <v>96</v>
      </c>
      <c r="D528">
        <v>68</v>
      </c>
      <c r="E528">
        <v>473</v>
      </c>
      <c r="F528">
        <v>745</v>
      </c>
      <c r="G528" t="s">
        <v>5</v>
      </c>
      <c r="H528" s="1">
        <f t="shared" si="124"/>
        <v>36839.645833334609</v>
      </c>
      <c r="I528">
        <f t="shared" si="126"/>
        <v>3.9061999999999997</v>
      </c>
      <c r="J528">
        <f t="shared" si="127"/>
        <v>7.5616000000000003</v>
      </c>
      <c r="K528">
        <f t="shared" si="128"/>
        <v>4.8036000000000003</v>
      </c>
      <c r="L528">
        <f t="shared" si="129"/>
        <v>-3.5217354200000002</v>
      </c>
      <c r="M528">
        <f t="shared" si="130"/>
        <v>261.505</v>
      </c>
      <c r="O528">
        <v>314</v>
      </c>
      <c r="P528">
        <v>1530</v>
      </c>
      <c r="Q528">
        <v>0.73699999999999999</v>
      </c>
      <c r="R528">
        <f t="shared" si="125"/>
        <v>-0.73223349915579394</v>
      </c>
    </row>
    <row r="529" spans="1:18" x14ac:dyDescent="0.25">
      <c r="A529">
        <v>711</v>
      </c>
      <c r="B529">
        <v>67</v>
      </c>
      <c r="C529">
        <v>132</v>
      </c>
      <c r="D529">
        <v>378</v>
      </c>
      <c r="E529">
        <v>472</v>
      </c>
      <c r="F529">
        <v>792</v>
      </c>
      <c r="G529" t="s">
        <v>5</v>
      </c>
      <c r="H529" s="1">
        <f t="shared" si="124"/>
        <v>36839.666666667945</v>
      </c>
      <c r="I529">
        <f t="shared" si="126"/>
        <v>5.3982000000000001</v>
      </c>
      <c r="J529">
        <f t="shared" si="127"/>
        <v>10.247200000000001</v>
      </c>
      <c r="K529">
        <f t="shared" si="128"/>
        <v>36.485599999999998</v>
      </c>
      <c r="L529">
        <f t="shared" si="129"/>
        <v>-3.6117043200000012</v>
      </c>
      <c r="M529">
        <f t="shared" si="130"/>
        <v>277.90799999999996</v>
      </c>
      <c r="O529">
        <v>314</v>
      </c>
      <c r="P529">
        <v>1600</v>
      </c>
      <c r="Q529">
        <v>0.73699999999999999</v>
      </c>
      <c r="R529">
        <f t="shared" si="125"/>
        <v>-0.73211132402143897</v>
      </c>
    </row>
    <row r="530" spans="1:18" x14ac:dyDescent="0.25">
      <c r="A530">
        <v>711</v>
      </c>
      <c r="B530">
        <v>55</v>
      </c>
      <c r="C530">
        <v>96</v>
      </c>
      <c r="D530">
        <v>435</v>
      </c>
      <c r="E530">
        <v>472</v>
      </c>
      <c r="F530">
        <v>781</v>
      </c>
      <c r="G530" t="s">
        <v>5</v>
      </c>
      <c r="H530" s="1">
        <f t="shared" si="124"/>
        <v>36839.687500001281</v>
      </c>
      <c r="I530">
        <f t="shared" si="126"/>
        <v>4.5030000000000001</v>
      </c>
      <c r="J530">
        <f t="shared" si="127"/>
        <v>7.5616000000000003</v>
      </c>
      <c r="K530">
        <f t="shared" si="128"/>
        <v>42.311</v>
      </c>
      <c r="L530">
        <f t="shared" si="129"/>
        <v>-3.6117043200000012</v>
      </c>
      <c r="M530">
        <f t="shared" si="130"/>
        <v>274.06899999999996</v>
      </c>
      <c r="O530">
        <v>314</v>
      </c>
      <c r="P530">
        <v>1630</v>
      </c>
      <c r="Q530">
        <v>0.73699999999999999</v>
      </c>
      <c r="R530">
        <f t="shared" si="125"/>
        <v>-0.73211132402143897</v>
      </c>
    </row>
    <row r="531" spans="1:18" x14ac:dyDescent="0.25">
      <c r="A531">
        <v>711</v>
      </c>
      <c r="B531">
        <v>40</v>
      </c>
      <c r="C531">
        <v>72</v>
      </c>
      <c r="D531">
        <v>374</v>
      </c>
      <c r="E531">
        <v>471</v>
      </c>
      <c r="F531">
        <v>753</v>
      </c>
      <c r="G531" t="s">
        <v>5</v>
      </c>
      <c r="H531" s="1">
        <f t="shared" si="124"/>
        <v>36839.708333334616</v>
      </c>
      <c r="I531">
        <f t="shared" si="126"/>
        <v>3.3839999999999999</v>
      </c>
      <c r="J531">
        <f t="shared" si="127"/>
        <v>5.7712000000000003</v>
      </c>
      <c r="K531">
        <f t="shared" si="128"/>
        <v>36.076799999999999</v>
      </c>
      <c r="L531">
        <f t="shared" si="129"/>
        <v>-3.7016531800000019</v>
      </c>
      <c r="M531">
        <f t="shared" si="130"/>
        <v>264.29699999999997</v>
      </c>
      <c r="O531">
        <v>314</v>
      </c>
      <c r="P531">
        <v>1700</v>
      </c>
      <c r="Q531">
        <v>0.73699999999999999</v>
      </c>
      <c r="R531">
        <f t="shared" si="125"/>
        <v>-0.73198915571557532</v>
      </c>
    </row>
    <row r="532" spans="1:18" x14ac:dyDescent="0.25">
      <c r="A532">
        <v>711</v>
      </c>
      <c r="B532">
        <v>31</v>
      </c>
      <c r="C532">
        <v>56</v>
      </c>
      <c r="D532">
        <v>267</v>
      </c>
      <c r="E532">
        <v>472</v>
      </c>
      <c r="F532">
        <v>717</v>
      </c>
      <c r="G532" t="s">
        <v>5</v>
      </c>
      <c r="H532" s="1">
        <f t="shared" si="124"/>
        <v>36839.729166667952</v>
      </c>
      <c r="I532">
        <f t="shared" si="126"/>
        <v>2.7125999999999997</v>
      </c>
      <c r="J532">
        <f t="shared" si="127"/>
        <v>4.5776000000000003</v>
      </c>
      <c r="K532">
        <f t="shared" si="128"/>
        <v>25.141399999999997</v>
      </c>
      <c r="L532">
        <f t="shared" si="129"/>
        <v>-3.6117043200000012</v>
      </c>
      <c r="M532">
        <f t="shared" si="130"/>
        <v>251.73299999999998</v>
      </c>
      <c r="O532">
        <v>314</v>
      </c>
      <c r="P532">
        <v>1730</v>
      </c>
      <c r="Q532">
        <v>0.73699999999999999</v>
      </c>
      <c r="R532">
        <f t="shared" si="125"/>
        <v>-0.73211132402143897</v>
      </c>
    </row>
    <row r="533" spans="1:18" x14ac:dyDescent="0.25">
      <c r="A533">
        <v>711</v>
      </c>
      <c r="B533">
        <v>39</v>
      </c>
      <c r="C533">
        <v>72</v>
      </c>
      <c r="D533">
        <v>306</v>
      </c>
      <c r="E533">
        <v>469</v>
      </c>
      <c r="F533">
        <v>757</v>
      </c>
      <c r="G533" t="s">
        <v>5</v>
      </c>
      <c r="H533" s="1">
        <f t="shared" si="124"/>
        <v>36839.750000001288</v>
      </c>
      <c r="I533">
        <f t="shared" si="126"/>
        <v>3.3093999999999997</v>
      </c>
      <c r="J533">
        <f t="shared" si="127"/>
        <v>5.7712000000000003</v>
      </c>
      <c r="K533">
        <f t="shared" si="128"/>
        <v>29.127199999999998</v>
      </c>
      <c r="L533">
        <f t="shared" si="129"/>
        <v>-3.8814907800000031</v>
      </c>
      <c r="M533">
        <f t="shared" si="130"/>
        <v>265.69299999999998</v>
      </c>
      <c r="O533">
        <v>314</v>
      </c>
      <c r="P533">
        <v>1800</v>
      </c>
      <c r="Q533">
        <v>0.73699999999999999</v>
      </c>
      <c r="R533">
        <f t="shared" si="125"/>
        <v>-0.73174483960300263</v>
      </c>
    </row>
    <row r="534" spans="1:18" x14ac:dyDescent="0.25">
      <c r="A534">
        <v>711</v>
      </c>
      <c r="B534">
        <v>27</v>
      </c>
      <c r="C534">
        <v>52</v>
      </c>
      <c r="D534">
        <v>310</v>
      </c>
      <c r="E534">
        <v>467</v>
      </c>
      <c r="F534">
        <v>792</v>
      </c>
      <c r="G534" t="s">
        <v>5</v>
      </c>
      <c r="H534" s="1">
        <f t="shared" si="124"/>
        <v>36839.770833334624</v>
      </c>
      <c r="I534">
        <f t="shared" si="126"/>
        <v>2.4141999999999997</v>
      </c>
      <c r="J534">
        <f t="shared" si="127"/>
        <v>4.2792000000000003</v>
      </c>
      <c r="K534">
        <f t="shared" si="128"/>
        <v>29.535999999999998</v>
      </c>
      <c r="L534">
        <f t="shared" si="129"/>
        <v>-4.0612482200000048</v>
      </c>
      <c r="M534">
        <f t="shared" si="130"/>
        <v>277.90799999999996</v>
      </c>
      <c r="O534">
        <v>314</v>
      </c>
      <c r="P534">
        <v>1830</v>
      </c>
      <c r="Q534">
        <v>0.73699999999999999</v>
      </c>
      <c r="R534">
        <f t="shared" si="125"/>
        <v>-0.73150055084545762</v>
      </c>
    </row>
    <row r="535" spans="1:18" x14ac:dyDescent="0.25">
      <c r="A535">
        <v>711</v>
      </c>
      <c r="B535">
        <v>20</v>
      </c>
      <c r="C535">
        <v>44</v>
      </c>
      <c r="D535">
        <v>70</v>
      </c>
      <c r="E535">
        <v>466</v>
      </c>
      <c r="F535">
        <v>817</v>
      </c>
      <c r="G535" t="s">
        <v>5</v>
      </c>
      <c r="H535" s="1">
        <f t="shared" si="124"/>
        <v>36839.791666667959</v>
      </c>
      <c r="I535">
        <f t="shared" si="126"/>
        <v>1.8919999999999999</v>
      </c>
      <c r="J535">
        <f t="shared" si="127"/>
        <v>3.6823999999999999</v>
      </c>
      <c r="K535">
        <f t="shared" si="128"/>
        <v>5.008</v>
      </c>
      <c r="L535">
        <f t="shared" si="129"/>
        <v>-4.1510968800000052</v>
      </c>
      <c r="M535">
        <f t="shared" si="130"/>
        <v>286.63299999999998</v>
      </c>
      <c r="O535">
        <v>314</v>
      </c>
      <c r="P535">
        <v>1900</v>
      </c>
      <c r="Q535">
        <v>0.73699999999999999</v>
      </c>
      <c r="R535">
        <f t="shared" si="125"/>
        <v>-0.73137841673338633</v>
      </c>
    </row>
    <row r="536" spans="1:18" x14ac:dyDescent="0.25">
      <c r="A536">
        <v>711</v>
      </c>
      <c r="B536">
        <v>6</v>
      </c>
      <c r="C536">
        <v>36</v>
      </c>
      <c r="D536">
        <v>399</v>
      </c>
      <c r="E536">
        <v>466</v>
      </c>
      <c r="F536">
        <v>768</v>
      </c>
      <c r="G536" t="s">
        <v>5</v>
      </c>
      <c r="H536" s="1">
        <f t="shared" si="124"/>
        <v>36839.812500001295</v>
      </c>
      <c r="I536">
        <f t="shared" si="126"/>
        <v>0.84760000000000002</v>
      </c>
      <c r="J536">
        <f t="shared" si="127"/>
        <v>3.0855999999999999</v>
      </c>
      <c r="K536">
        <f t="shared" si="128"/>
        <v>38.631799999999998</v>
      </c>
      <c r="L536">
        <f t="shared" si="129"/>
        <v>-4.1510968800000052</v>
      </c>
      <c r="M536">
        <f t="shared" si="130"/>
        <v>269.53199999999998</v>
      </c>
      <c r="O536">
        <v>314</v>
      </c>
      <c r="P536">
        <v>1930</v>
      </c>
      <c r="Q536">
        <v>0.74</v>
      </c>
      <c r="R536">
        <f t="shared" si="125"/>
        <v>-0.7343555337621519</v>
      </c>
    </row>
    <row r="537" spans="1:18" x14ac:dyDescent="0.25">
      <c r="A537">
        <v>711</v>
      </c>
      <c r="B537">
        <v>8</v>
      </c>
      <c r="C537">
        <v>64</v>
      </c>
      <c r="D537">
        <v>210</v>
      </c>
      <c r="E537">
        <v>464</v>
      </c>
      <c r="F537">
        <v>753</v>
      </c>
      <c r="G537" t="s">
        <v>5</v>
      </c>
      <c r="H537" s="1">
        <f>H536+1/48</f>
        <v>36839.833333334631</v>
      </c>
      <c r="I537">
        <f t="shared" si="126"/>
        <v>0.99680000000000002</v>
      </c>
      <c r="J537">
        <f t="shared" si="127"/>
        <v>5.1744000000000003</v>
      </c>
      <c r="K537">
        <f t="shared" si="128"/>
        <v>19.315999999999999</v>
      </c>
      <c r="L537">
        <f t="shared" si="129"/>
        <v>-4.3307340799999992</v>
      </c>
      <c r="M537">
        <f t="shared" si="130"/>
        <v>264.29699999999997</v>
      </c>
      <c r="O537">
        <v>314</v>
      </c>
      <c r="P537">
        <v>2000</v>
      </c>
      <c r="Q537">
        <v>0.74</v>
      </c>
      <c r="R537">
        <f t="shared" si="125"/>
        <v>-0.73411029186465382</v>
      </c>
    </row>
    <row r="538" spans="1:18" x14ac:dyDescent="0.25">
      <c r="A538">
        <v>711</v>
      </c>
      <c r="B538">
        <v>24</v>
      </c>
      <c r="C538">
        <v>76</v>
      </c>
      <c r="D538">
        <v>12</v>
      </c>
      <c r="E538">
        <v>463</v>
      </c>
      <c r="F538">
        <v>713</v>
      </c>
      <c r="G538" t="s">
        <v>5</v>
      </c>
      <c r="H538" s="1">
        <f t="shared" si="124"/>
        <v>36839.854166667967</v>
      </c>
      <c r="I538">
        <f t="shared" si="126"/>
        <v>2.1903999999999999</v>
      </c>
      <c r="J538">
        <f t="shared" si="127"/>
        <v>6.0696000000000003</v>
      </c>
      <c r="K538">
        <f t="shared" si="128"/>
        <v>-0.91959999999999997</v>
      </c>
      <c r="L538">
        <f t="shared" si="129"/>
        <v>-4.4205226199999998</v>
      </c>
      <c r="M538">
        <f t="shared" si="130"/>
        <v>250.33699999999999</v>
      </c>
      <c r="O538">
        <v>314</v>
      </c>
      <c r="P538">
        <v>2030</v>
      </c>
      <c r="Q538">
        <v>0.74199999999999999</v>
      </c>
      <c r="R538">
        <f t="shared" si="125"/>
        <v>-0.73597143172973922</v>
      </c>
    </row>
    <row r="539" spans="1:18" x14ac:dyDescent="0.25">
      <c r="A539">
        <v>711</v>
      </c>
      <c r="B539">
        <v>13</v>
      </c>
      <c r="C539">
        <v>36</v>
      </c>
      <c r="D539">
        <v>103</v>
      </c>
      <c r="E539">
        <v>462</v>
      </c>
      <c r="F539">
        <v>737</v>
      </c>
      <c r="G539" t="s">
        <v>5</v>
      </c>
      <c r="H539" s="1">
        <f t="shared" si="124"/>
        <v>36839.875000001302</v>
      </c>
      <c r="I539">
        <f t="shared" si="126"/>
        <v>1.3698000000000001</v>
      </c>
      <c r="J539">
        <f t="shared" si="127"/>
        <v>3.0855999999999999</v>
      </c>
      <c r="K539">
        <f t="shared" si="128"/>
        <v>8.3806000000000012</v>
      </c>
      <c r="L539">
        <f t="shared" si="129"/>
        <v>-4.5102911200000007</v>
      </c>
      <c r="M539">
        <f t="shared" si="130"/>
        <v>258.71299999999997</v>
      </c>
      <c r="O539">
        <v>314</v>
      </c>
      <c r="P539">
        <v>2100</v>
      </c>
      <c r="Q539">
        <v>0.74199999999999999</v>
      </c>
      <c r="R539">
        <f t="shared" si="125"/>
        <v>-0.73584849663079888</v>
      </c>
    </row>
    <row r="540" spans="1:18" x14ac:dyDescent="0.25">
      <c r="A540">
        <v>711</v>
      </c>
      <c r="B540">
        <v>30</v>
      </c>
      <c r="C540">
        <v>56</v>
      </c>
      <c r="D540">
        <v>749</v>
      </c>
      <c r="E540">
        <v>457</v>
      </c>
      <c r="F540">
        <v>753</v>
      </c>
      <c r="G540" t="s">
        <v>5</v>
      </c>
      <c r="H540" s="1">
        <f t="shared" si="124"/>
        <v>36839.895833334638</v>
      </c>
      <c r="I540">
        <f t="shared" si="126"/>
        <v>2.6379999999999999</v>
      </c>
      <c r="J540">
        <f t="shared" si="127"/>
        <v>4.5776000000000003</v>
      </c>
      <c r="K540">
        <f t="shared" si="128"/>
        <v>74.401799999999994</v>
      </c>
      <c r="L540">
        <f t="shared" si="129"/>
        <v>-4.9588330200000037</v>
      </c>
      <c r="M540">
        <f t="shared" si="130"/>
        <v>264.29699999999997</v>
      </c>
      <c r="O540">
        <v>314</v>
      </c>
      <c r="P540">
        <v>2130</v>
      </c>
      <c r="Q540">
        <v>0.74199999999999999</v>
      </c>
      <c r="R540">
        <f t="shared" si="125"/>
        <v>-0.73523392484551264</v>
      </c>
    </row>
    <row r="541" spans="1:18" x14ac:dyDescent="0.25">
      <c r="A541">
        <v>711</v>
      </c>
      <c r="B541">
        <v>27</v>
      </c>
      <c r="C541">
        <v>60</v>
      </c>
      <c r="D541">
        <v>397</v>
      </c>
      <c r="E541">
        <v>461</v>
      </c>
      <c r="F541">
        <v>689</v>
      </c>
      <c r="G541" t="s">
        <v>5</v>
      </c>
      <c r="H541" s="1">
        <f t="shared" si="124"/>
        <v>36839.916666667974</v>
      </c>
      <c r="I541">
        <f t="shared" si="126"/>
        <v>2.4141999999999997</v>
      </c>
      <c r="J541">
        <f t="shared" si="127"/>
        <v>4.8760000000000003</v>
      </c>
      <c r="K541">
        <f t="shared" si="128"/>
        <v>38.427399999999999</v>
      </c>
      <c r="L541">
        <f t="shared" si="129"/>
        <v>-4.6000395800000016</v>
      </c>
      <c r="M541">
        <f t="shared" si="130"/>
        <v>241.96099999999998</v>
      </c>
      <c r="O541">
        <v>314</v>
      </c>
      <c r="P541">
        <v>2200</v>
      </c>
      <c r="Q541">
        <v>0.74199999999999999</v>
      </c>
      <c r="R541">
        <f t="shared" si="125"/>
        <v>-0.73572556844119885</v>
      </c>
    </row>
    <row r="542" spans="1:18" x14ac:dyDescent="0.25">
      <c r="A542">
        <v>711</v>
      </c>
      <c r="B542">
        <v>21</v>
      </c>
      <c r="C542">
        <v>52</v>
      </c>
      <c r="D542">
        <v>40</v>
      </c>
      <c r="E542">
        <v>461</v>
      </c>
      <c r="F542">
        <v>675</v>
      </c>
      <c r="G542" t="s">
        <v>5</v>
      </c>
      <c r="H542" s="1">
        <f t="shared" si="124"/>
        <v>36839.93750000131</v>
      </c>
      <c r="I542">
        <f t="shared" si="126"/>
        <v>1.9666000000000001</v>
      </c>
      <c r="J542">
        <f t="shared" si="127"/>
        <v>4.2792000000000003</v>
      </c>
      <c r="K542">
        <f t="shared" si="128"/>
        <v>1.9420000000000002</v>
      </c>
      <c r="L542">
        <f t="shared" si="129"/>
        <v>-4.6000395800000016</v>
      </c>
      <c r="M542">
        <f t="shared" si="130"/>
        <v>237.07499999999999</v>
      </c>
      <c r="O542">
        <v>314</v>
      </c>
      <c r="P542">
        <v>2230</v>
      </c>
      <c r="Q542">
        <v>0.74199999999999999</v>
      </c>
      <c r="R542">
        <f t="shared" si="125"/>
        <v>-0.73572556844119885</v>
      </c>
    </row>
    <row r="543" spans="1:18" x14ac:dyDescent="0.25">
      <c r="A543">
        <v>711</v>
      </c>
      <c r="B543">
        <v>55</v>
      </c>
      <c r="C543">
        <v>156</v>
      </c>
      <c r="D543">
        <v>653</v>
      </c>
      <c r="E543">
        <v>461</v>
      </c>
      <c r="F543">
        <v>693</v>
      </c>
      <c r="G543" t="s">
        <v>5</v>
      </c>
      <c r="H543" s="1">
        <f t="shared" si="124"/>
        <v>36839.958333334645</v>
      </c>
      <c r="I543">
        <f t="shared" si="126"/>
        <v>4.5030000000000001</v>
      </c>
      <c r="J543">
        <f t="shared" si="127"/>
        <v>12.037599999999999</v>
      </c>
      <c r="K543">
        <f t="shared" si="128"/>
        <v>64.590599999999995</v>
      </c>
      <c r="L543">
        <f t="shared" si="129"/>
        <v>-4.6000395800000016</v>
      </c>
      <c r="M543">
        <f t="shared" si="130"/>
        <v>243.35699999999997</v>
      </c>
      <c r="O543">
        <v>314</v>
      </c>
      <c r="P543">
        <v>2300</v>
      </c>
      <c r="Q543">
        <v>0.74199999999999999</v>
      </c>
      <c r="R543">
        <f t="shared" si="125"/>
        <v>-0.73572556844119885</v>
      </c>
    </row>
    <row r="544" spans="1:18" x14ac:dyDescent="0.25">
      <c r="A544">
        <v>711</v>
      </c>
      <c r="B544">
        <v>43</v>
      </c>
      <c r="C544">
        <v>92</v>
      </c>
      <c r="D544">
        <v>749</v>
      </c>
      <c r="E544">
        <v>460</v>
      </c>
      <c r="F544">
        <v>701</v>
      </c>
      <c r="G544" t="s">
        <v>5</v>
      </c>
      <c r="H544" s="1">
        <f t="shared" si="124"/>
        <v>36839.979166667981</v>
      </c>
      <c r="I544">
        <f t="shared" si="126"/>
        <v>3.6077999999999997</v>
      </c>
      <c r="J544">
        <f t="shared" si="127"/>
        <v>7.2632000000000003</v>
      </c>
      <c r="K544">
        <f t="shared" si="128"/>
        <v>74.401799999999994</v>
      </c>
      <c r="L544">
        <f t="shared" si="129"/>
        <v>-4.6897680000000026</v>
      </c>
      <c r="M544">
        <f t="shared" si="130"/>
        <v>246.14899999999997</v>
      </c>
      <c r="O544">
        <v>314</v>
      </c>
      <c r="P544">
        <v>2330</v>
      </c>
      <c r="Q544">
        <v>0.74</v>
      </c>
      <c r="R544">
        <f t="shared" si="125"/>
        <v>-0.73361989070304345</v>
      </c>
    </row>
    <row r="545" spans="1:18" x14ac:dyDescent="0.25">
      <c r="A545">
        <v>711</v>
      </c>
      <c r="B545">
        <v>53</v>
      </c>
      <c r="C545">
        <v>108</v>
      </c>
      <c r="D545">
        <v>221</v>
      </c>
      <c r="E545">
        <v>461</v>
      </c>
      <c r="F545">
        <v>669</v>
      </c>
      <c r="G545" t="s">
        <v>5</v>
      </c>
      <c r="H545" s="1">
        <f t="shared" si="124"/>
        <v>36840.000000001317</v>
      </c>
      <c r="I545">
        <f t="shared" si="126"/>
        <v>4.3538000000000006</v>
      </c>
      <c r="J545">
        <f t="shared" si="127"/>
        <v>8.4567999999999994</v>
      </c>
      <c r="K545">
        <f t="shared" si="128"/>
        <v>20.440199999999997</v>
      </c>
      <c r="L545">
        <f t="shared" si="129"/>
        <v>-4.6000395800000016</v>
      </c>
      <c r="M545">
        <f t="shared" si="130"/>
        <v>234.98099999999999</v>
      </c>
      <c r="O545">
        <v>314</v>
      </c>
      <c r="P545">
        <v>2400</v>
      </c>
      <c r="Q545">
        <v>0.74</v>
      </c>
      <c r="R545">
        <f t="shared" si="125"/>
        <v>-0.73374248065564307</v>
      </c>
    </row>
    <row r="546" spans="1:18" x14ac:dyDescent="0.25">
      <c r="A546">
        <v>711</v>
      </c>
      <c r="B546">
        <v>55</v>
      </c>
      <c r="C546">
        <v>84</v>
      </c>
      <c r="D546">
        <v>106</v>
      </c>
      <c r="E546">
        <v>459</v>
      </c>
      <c r="F546">
        <v>737</v>
      </c>
      <c r="G546" t="s">
        <v>5</v>
      </c>
      <c r="H546" s="1">
        <f t="shared" si="124"/>
        <v>36840.020833334653</v>
      </c>
      <c r="I546">
        <f t="shared" si="126"/>
        <v>4.5030000000000001</v>
      </c>
      <c r="J546">
        <f t="shared" si="127"/>
        <v>6.6664000000000003</v>
      </c>
      <c r="K546">
        <f t="shared" si="128"/>
        <v>8.6872000000000007</v>
      </c>
      <c r="L546">
        <f t="shared" si="129"/>
        <v>-4.7794763800000029</v>
      </c>
      <c r="M546">
        <f t="shared" si="130"/>
        <v>258.71299999999997</v>
      </c>
      <c r="O546">
        <v>315</v>
      </c>
      <c r="P546">
        <v>30</v>
      </c>
      <c r="Q546">
        <v>0.74</v>
      </c>
      <c r="R546">
        <f t="shared" si="125"/>
        <v>-0.73349730764807208</v>
      </c>
    </row>
    <row r="547" spans="1:18" x14ac:dyDescent="0.25">
      <c r="A547">
        <v>711</v>
      </c>
      <c r="B547">
        <v>53</v>
      </c>
      <c r="C547">
        <v>160</v>
      </c>
      <c r="D547">
        <v>556</v>
      </c>
      <c r="E547">
        <v>460</v>
      </c>
      <c r="F547">
        <v>717</v>
      </c>
      <c r="G547" t="s">
        <v>5</v>
      </c>
      <c r="H547" s="1">
        <f t="shared" si="124"/>
        <v>36840.041666667988</v>
      </c>
      <c r="I547">
        <f t="shared" si="126"/>
        <v>4.3538000000000006</v>
      </c>
      <c r="J547">
        <f t="shared" si="127"/>
        <v>12.336</v>
      </c>
      <c r="K547">
        <f t="shared" si="128"/>
        <v>54.677199999999999</v>
      </c>
      <c r="L547">
        <f t="shared" si="129"/>
        <v>-4.6897680000000026</v>
      </c>
      <c r="M547">
        <f t="shared" si="130"/>
        <v>251.73299999999998</v>
      </c>
      <c r="O547">
        <v>315</v>
      </c>
      <c r="P547">
        <v>100</v>
      </c>
      <c r="Q547">
        <v>0.74</v>
      </c>
      <c r="R547">
        <f t="shared" si="125"/>
        <v>-0.73361989070304345</v>
      </c>
    </row>
    <row r="548" spans="1:18" x14ac:dyDescent="0.25">
      <c r="A548">
        <v>711</v>
      </c>
      <c r="B548">
        <v>64</v>
      </c>
      <c r="C548">
        <v>116</v>
      </c>
      <c r="D548">
        <v>369</v>
      </c>
      <c r="E548">
        <v>457</v>
      </c>
      <c r="F548">
        <v>757</v>
      </c>
      <c r="G548" t="s">
        <v>5</v>
      </c>
      <c r="H548" s="1">
        <f t="shared" si="124"/>
        <v>36840.062500001324</v>
      </c>
      <c r="I548">
        <f t="shared" si="126"/>
        <v>5.1744000000000003</v>
      </c>
      <c r="J548">
        <f t="shared" si="127"/>
        <v>9.0536000000000012</v>
      </c>
      <c r="K548">
        <f t="shared" si="128"/>
        <v>35.565799999999996</v>
      </c>
      <c r="L548">
        <f t="shared" si="129"/>
        <v>-4.9588330200000037</v>
      </c>
      <c r="M548">
        <f t="shared" si="130"/>
        <v>265.69299999999998</v>
      </c>
      <c r="O548">
        <v>315</v>
      </c>
      <c r="P548">
        <v>130</v>
      </c>
      <c r="Q548">
        <v>0.74</v>
      </c>
      <c r="R548">
        <f t="shared" si="125"/>
        <v>-0.73325216224485079</v>
      </c>
    </row>
    <row r="549" spans="1:18" x14ac:dyDescent="0.25">
      <c r="A549">
        <v>711</v>
      </c>
      <c r="B549">
        <v>59</v>
      </c>
      <c r="C549">
        <v>188</v>
      </c>
      <c r="D549">
        <v>164</v>
      </c>
      <c r="E549">
        <v>460</v>
      </c>
      <c r="F549">
        <v>745</v>
      </c>
      <c r="G549" t="s">
        <v>5</v>
      </c>
      <c r="H549" s="1">
        <f t="shared" si="124"/>
        <v>36840.08333333466</v>
      </c>
      <c r="I549">
        <f t="shared" si="126"/>
        <v>4.8014000000000001</v>
      </c>
      <c r="J549">
        <f t="shared" si="127"/>
        <v>14.424799999999999</v>
      </c>
      <c r="K549">
        <f t="shared" si="128"/>
        <v>14.614799999999999</v>
      </c>
      <c r="L549">
        <f t="shared" si="129"/>
        <v>-4.6897680000000026</v>
      </c>
      <c r="M549">
        <f t="shared" si="130"/>
        <v>261.505</v>
      </c>
      <c r="O549">
        <v>315</v>
      </c>
      <c r="P549">
        <v>200</v>
      </c>
      <c r="Q549">
        <v>0.74</v>
      </c>
      <c r="R549">
        <f t="shared" si="125"/>
        <v>-0.73361989070304345</v>
      </c>
    </row>
    <row r="550" spans="1:18" x14ac:dyDescent="0.25">
      <c r="A550">
        <v>711</v>
      </c>
      <c r="B550">
        <v>39</v>
      </c>
      <c r="C550">
        <v>92</v>
      </c>
      <c r="D550">
        <v>241</v>
      </c>
      <c r="E550">
        <v>459</v>
      </c>
      <c r="F550">
        <v>773</v>
      </c>
      <c r="G550" t="s">
        <v>5</v>
      </c>
      <c r="H550" s="1">
        <f t="shared" si="124"/>
        <v>36840.104166667996</v>
      </c>
      <c r="I550">
        <f t="shared" si="126"/>
        <v>3.3093999999999997</v>
      </c>
      <c r="J550">
        <f t="shared" si="127"/>
        <v>7.2632000000000003</v>
      </c>
      <c r="K550">
        <f t="shared" si="128"/>
        <v>22.484199999999998</v>
      </c>
      <c r="L550">
        <f t="shared" si="129"/>
        <v>-4.7794763800000029</v>
      </c>
      <c r="M550">
        <f t="shared" si="130"/>
        <v>271.27699999999999</v>
      </c>
      <c r="O550">
        <v>315</v>
      </c>
      <c r="P550">
        <v>230</v>
      </c>
      <c r="Q550">
        <v>0.74199999999999999</v>
      </c>
      <c r="R550">
        <f t="shared" si="125"/>
        <v>-0.73547973280387768</v>
      </c>
    </row>
    <row r="551" spans="1:18" x14ac:dyDescent="0.25">
      <c r="A551">
        <v>711</v>
      </c>
      <c r="B551">
        <v>66</v>
      </c>
      <c r="C551">
        <v>112</v>
      </c>
      <c r="D551">
        <v>236</v>
      </c>
      <c r="E551">
        <v>456</v>
      </c>
      <c r="F551">
        <v>857</v>
      </c>
      <c r="G551" t="s">
        <v>5</v>
      </c>
      <c r="H551" s="1">
        <f t="shared" si="124"/>
        <v>36840.125000001332</v>
      </c>
      <c r="I551">
        <f t="shared" ref="I551:J557" si="131">0.4+0.0746*B551</f>
        <v>5.3236000000000008</v>
      </c>
      <c r="J551">
        <f t="shared" si="131"/>
        <v>8.7552000000000003</v>
      </c>
      <c r="K551">
        <f t="shared" ref="K551:K557" si="132">-2.146+0.1022*D551</f>
        <v>21.973199999999999</v>
      </c>
      <c r="L551">
        <f t="shared" ref="L551:L557" si="133">-43.84+0.0805*E551+0.00001002*E551^2</f>
        <v>-5.0484812800000043</v>
      </c>
      <c r="M551">
        <f t="shared" ref="M551:M557" si="134">1.5+0.349*F551</f>
        <v>300.59299999999996</v>
      </c>
      <c r="O551">
        <v>315</v>
      </c>
      <c r="P551">
        <v>300</v>
      </c>
      <c r="Q551">
        <v>0.74</v>
      </c>
      <c r="R551">
        <f t="shared" si="125"/>
        <v>-0.73312959990352489</v>
      </c>
    </row>
    <row r="552" spans="1:18" x14ac:dyDescent="0.25">
      <c r="A552">
        <v>11</v>
      </c>
      <c r="B552">
        <v>77</v>
      </c>
      <c r="C552">
        <v>124</v>
      </c>
      <c r="D552">
        <v>281</v>
      </c>
      <c r="E552">
        <v>456</v>
      </c>
      <c r="F552">
        <v>889</v>
      </c>
      <c r="G552" t="s">
        <v>5</v>
      </c>
      <c r="H552" s="1">
        <f t="shared" si="124"/>
        <v>36840.145833334667</v>
      </c>
      <c r="I552">
        <f t="shared" si="131"/>
        <v>6.1442000000000005</v>
      </c>
      <c r="J552">
        <f t="shared" si="131"/>
        <v>9.6503999999999994</v>
      </c>
      <c r="K552">
        <f t="shared" si="132"/>
        <v>26.572199999999999</v>
      </c>
      <c r="L552">
        <f t="shared" si="133"/>
        <v>-5.0484812800000043</v>
      </c>
      <c r="M552">
        <f t="shared" si="134"/>
        <v>311.76099999999997</v>
      </c>
      <c r="O552">
        <v>315</v>
      </c>
      <c r="P552">
        <v>330</v>
      </c>
      <c r="Q552">
        <v>0.74</v>
      </c>
      <c r="R552">
        <f t="shared" si="125"/>
        <v>-0.73312959990352489</v>
      </c>
    </row>
    <row r="553" spans="1:18" x14ac:dyDescent="0.25">
      <c r="A553">
        <v>11</v>
      </c>
      <c r="B553">
        <v>75</v>
      </c>
      <c r="C553">
        <v>112</v>
      </c>
      <c r="D553">
        <v>280</v>
      </c>
      <c r="E553">
        <v>457</v>
      </c>
      <c r="F553">
        <v>893</v>
      </c>
      <c r="G553" t="s">
        <v>5</v>
      </c>
      <c r="H553" s="1">
        <f t="shared" si="124"/>
        <v>36840.166666668003</v>
      </c>
      <c r="I553">
        <f t="shared" si="131"/>
        <v>5.9950000000000001</v>
      </c>
      <c r="J553">
        <f t="shared" si="131"/>
        <v>8.7552000000000003</v>
      </c>
      <c r="K553">
        <f t="shared" si="132"/>
        <v>26.47</v>
      </c>
      <c r="L553">
        <f t="shared" si="133"/>
        <v>-4.9588330200000037</v>
      </c>
      <c r="M553">
        <f t="shared" si="134"/>
        <v>313.15699999999998</v>
      </c>
      <c r="O553">
        <v>315</v>
      </c>
      <c r="P553">
        <v>400</v>
      </c>
      <c r="Q553">
        <v>0.73499999999999999</v>
      </c>
      <c r="R553">
        <f t="shared" si="125"/>
        <v>-0.72829775574319644</v>
      </c>
    </row>
    <row r="554" spans="1:18" x14ac:dyDescent="0.25">
      <c r="A554">
        <v>11</v>
      </c>
      <c r="B554">
        <v>86</v>
      </c>
      <c r="C554">
        <v>124</v>
      </c>
      <c r="D554">
        <v>261</v>
      </c>
      <c r="E554">
        <v>457</v>
      </c>
      <c r="F554">
        <v>893</v>
      </c>
      <c r="G554" t="s">
        <v>5</v>
      </c>
      <c r="H554" s="1">
        <f t="shared" si="124"/>
        <v>36840.187500001339</v>
      </c>
      <c r="I554">
        <f t="shared" si="131"/>
        <v>6.8155999999999999</v>
      </c>
      <c r="J554">
        <f t="shared" si="131"/>
        <v>9.6503999999999994</v>
      </c>
      <c r="K554">
        <f t="shared" si="132"/>
        <v>24.528199999999998</v>
      </c>
      <c r="L554">
        <f t="shared" si="133"/>
        <v>-4.9588330200000037</v>
      </c>
      <c r="M554">
        <f t="shared" si="134"/>
        <v>313.15699999999998</v>
      </c>
      <c r="O554">
        <v>315</v>
      </c>
      <c r="P554">
        <v>430</v>
      </c>
      <c r="Q554">
        <v>0.73499999999999999</v>
      </c>
      <c r="R554">
        <f t="shared" si="125"/>
        <v>-0.72829775574319644</v>
      </c>
    </row>
    <row r="555" spans="1:18" x14ac:dyDescent="0.25">
      <c r="A555">
        <v>11</v>
      </c>
      <c r="B555">
        <v>83</v>
      </c>
      <c r="C555">
        <v>156</v>
      </c>
      <c r="D555">
        <v>217</v>
      </c>
      <c r="E555">
        <v>456</v>
      </c>
      <c r="F555">
        <v>895</v>
      </c>
      <c r="G555" t="s">
        <v>5</v>
      </c>
      <c r="H555" s="1">
        <f t="shared" si="124"/>
        <v>36840.208333334675</v>
      </c>
      <c r="I555">
        <f t="shared" si="131"/>
        <v>6.5918000000000001</v>
      </c>
      <c r="J555">
        <f t="shared" si="131"/>
        <v>12.037599999999999</v>
      </c>
      <c r="K555">
        <f t="shared" si="132"/>
        <v>20.031399999999998</v>
      </c>
      <c r="L555">
        <f t="shared" si="133"/>
        <v>-5.0484812800000043</v>
      </c>
      <c r="M555">
        <f t="shared" si="134"/>
        <v>313.85499999999996</v>
      </c>
      <c r="O555">
        <v>315</v>
      </c>
      <c r="P555">
        <v>500</v>
      </c>
      <c r="Q555">
        <v>0.72699999999999998</v>
      </c>
      <c r="R555">
        <f t="shared" si="125"/>
        <v>-0.72025029612143598</v>
      </c>
    </row>
    <row r="556" spans="1:18" x14ac:dyDescent="0.25">
      <c r="A556">
        <v>11</v>
      </c>
      <c r="B556">
        <v>35</v>
      </c>
      <c r="C556">
        <v>80</v>
      </c>
      <c r="D556">
        <v>142</v>
      </c>
      <c r="E556">
        <v>454</v>
      </c>
      <c r="F556">
        <v>896</v>
      </c>
      <c r="G556" t="s">
        <v>5</v>
      </c>
      <c r="H556" s="1">
        <f t="shared" si="124"/>
        <v>36840.22916666801</v>
      </c>
      <c r="I556">
        <f t="shared" si="131"/>
        <v>3.0109999999999997</v>
      </c>
      <c r="J556">
        <f t="shared" si="131"/>
        <v>6.3680000000000003</v>
      </c>
      <c r="K556">
        <f t="shared" si="132"/>
        <v>12.366399999999999</v>
      </c>
      <c r="L556">
        <f t="shared" si="133"/>
        <v>-5.2277176799999996</v>
      </c>
      <c r="M556">
        <f t="shared" si="134"/>
        <v>314.20399999999995</v>
      </c>
      <c r="O556">
        <v>315</v>
      </c>
      <c r="P556">
        <v>530</v>
      </c>
      <c r="Q556">
        <v>0.72499999999999998</v>
      </c>
      <c r="R556">
        <f t="shared" si="125"/>
        <v>-0.71802872914879334</v>
      </c>
    </row>
    <row r="557" spans="1:18" x14ac:dyDescent="0.25">
      <c r="A557">
        <v>11</v>
      </c>
      <c r="B557">
        <v>89</v>
      </c>
      <c r="C557">
        <v>256</v>
      </c>
      <c r="D557">
        <v>200</v>
      </c>
      <c r="E557">
        <v>455</v>
      </c>
      <c r="F557">
        <v>873</v>
      </c>
      <c r="G557" t="s">
        <v>5</v>
      </c>
      <c r="H557" s="1">
        <f t="shared" si="124"/>
        <v>36840.250000001346</v>
      </c>
      <c r="I557">
        <f t="shared" si="131"/>
        <v>7.0394000000000005</v>
      </c>
      <c r="J557">
        <f t="shared" si="131"/>
        <v>19.497599999999998</v>
      </c>
      <c r="K557">
        <f t="shared" si="132"/>
        <v>18.294</v>
      </c>
      <c r="L557">
        <f t="shared" si="133"/>
        <v>-5.1381095000000059</v>
      </c>
      <c r="M557">
        <f t="shared" si="134"/>
        <v>306.17699999999996</v>
      </c>
      <c r="O557">
        <v>315</v>
      </c>
      <c r="P557">
        <v>600</v>
      </c>
      <c r="Q557">
        <v>0.73</v>
      </c>
      <c r="R557">
        <f t="shared" si="125"/>
        <v>-0.72310154387267944</v>
      </c>
    </row>
    <row r="558" spans="1:18" x14ac:dyDescent="0.25">
      <c r="A558">
        <v>11</v>
      </c>
      <c r="B558">
        <v>64</v>
      </c>
      <c r="C558">
        <v>120</v>
      </c>
      <c r="D558">
        <v>583</v>
      </c>
      <c r="E558">
        <v>457</v>
      </c>
      <c r="F558">
        <v>807</v>
      </c>
      <c r="G558" t="s">
        <v>5</v>
      </c>
      <c r="H558" s="1">
        <f t="shared" si="124"/>
        <v>36840.270833334682</v>
      </c>
      <c r="I558">
        <f t="shared" ref="I558:J561" si="135">0.4+0.0746*B558</f>
        <v>5.1744000000000003</v>
      </c>
      <c r="J558">
        <f t="shared" si="135"/>
        <v>9.3520000000000003</v>
      </c>
      <c r="K558">
        <f t="shared" ref="K558:K578" si="136">-2.146+0.1022*D558</f>
        <v>57.436599999999999</v>
      </c>
      <c r="L558">
        <f t="shared" ref="L558:L578" si="137">-43.84+0.0805*E558+0.00001002*E558^2</f>
        <v>-4.9588330200000037</v>
      </c>
      <c r="M558">
        <f t="shared" ref="M558:M578" si="138">1.5+0.349*F558</f>
        <v>283.14299999999997</v>
      </c>
      <c r="O558">
        <v>315</v>
      </c>
      <c r="P558">
        <v>630</v>
      </c>
      <c r="Q558">
        <v>0.71499999999999997</v>
      </c>
      <c r="R558">
        <f t="shared" si="125"/>
        <v>-0.70848012973657881</v>
      </c>
    </row>
    <row r="559" spans="1:18" x14ac:dyDescent="0.25">
      <c r="A559">
        <v>11</v>
      </c>
      <c r="B559">
        <v>44</v>
      </c>
      <c r="C559">
        <v>152</v>
      </c>
      <c r="D559">
        <v>120</v>
      </c>
      <c r="E559">
        <v>463</v>
      </c>
      <c r="F559">
        <v>641</v>
      </c>
      <c r="G559" t="s">
        <v>5</v>
      </c>
      <c r="H559" s="1">
        <f t="shared" si="124"/>
        <v>36840.291666668018</v>
      </c>
      <c r="I559">
        <f t="shared" si="135"/>
        <v>3.6823999999999999</v>
      </c>
      <c r="J559">
        <f t="shared" si="135"/>
        <v>11.7392</v>
      </c>
      <c r="K559">
        <f t="shared" si="136"/>
        <v>10.117999999999999</v>
      </c>
      <c r="L559">
        <f t="shared" si="137"/>
        <v>-4.4205226199999998</v>
      </c>
      <c r="M559">
        <f t="shared" si="138"/>
        <v>225.20899999999997</v>
      </c>
      <c r="O559">
        <v>315</v>
      </c>
      <c r="P559">
        <v>700</v>
      </c>
      <c r="Q559">
        <v>0.71199999999999997</v>
      </c>
      <c r="R559">
        <f t="shared" si="125"/>
        <v>-0.70621517438217563</v>
      </c>
    </row>
    <row r="560" spans="1:18" x14ac:dyDescent="0.25">
      <c r="A560">
        <v>11</v>
      </c>
      <c r="B560">
        <v>66</v>
      </c>
      <c r="C560">
        <v>152</v>
      </c>
      <c r="D560">
        <v>36</v>
      </c>
      <c r="E560">
        <v>467</v>
      </c>
      <c r="F560">
        <v>701</v>
      </c>
      <c r="G560" t="s">
        <v>5</v>
      </c>
      <c r="H560" s="1">
        <f t="shared" si="124"/>
        <v>36840.312500001353</v>
      </c>
      <c r="I560">
        <f t="shared" si="135"/>
        <v>5.3236000000000008</v>
      </c>
      <c r="J560">
        <f t="shared" si="135"/>
        <v>11.7392</v>
      </c>
      <c r="K560">
        <f t="shared" si="136"/>
        <v>1.5331999999999999</v>
      </c>
      <c r="L560">
        <f t="shared" si="137"/>
        <v>-4.0612482200000048</v>
      </c>
      <c r="M560">
        <f t="shared" si="138"/>
        <v>246.14899999999997</v>
      </c>
      <c r="O560">
        <v>315</v>
      </c>
      <c r="P560">
        <v>730</v>
      </c>
      <c r="Q560">
        <v>0.71199999999999997</v>
      </c>
      <c r="R560">
        <f t="shared" si="125"/>
        <v>-0.70668709932424123</v>
      </c>
    </row>
    <row r="561" spans="1:18" x14ac:dyDescent="0.25">
      <c r="A561">
        <v>11</v>
      </c>
      <c r="B561">
        <v>79</v>
      </c>
      <c r="C561">
        <v>152</v>
      </c>
      <c r="D561">
        <v>83</v>
      </c>
      <c r="E561">
        <v>471</v>
      </c>
      <c r="F561">
        <v>665</v>
      </c>
      <c r="G561" t="s">
        <v>5</v>
      </c>
      <c r="H561" s="1">
        <f t="shared" si="124"/>
        <v>36840.333333334689</v>
      </c>
      <c r="I561">
        <f t="shared" si="135"/>
        <v>6.2934000000000001</v>
      </c>
      <c r="J561">
        <f t="shared" si="135"/>
        <v>11.7392</v>
      </c>
      <c r="K561">
        <f t="shared" si="136"/>
        <v>6.3365999999999998</v>
      </c>
      <c r="L561">
        <f t="shared" si="137"/>
        <v>-3.7016531800000019</v>
      </c>
      <c r="M561">
        <f t="shared" si="138"/>
        <v>233.58499999999998</v>
      </c>
      <c r="O561">
        <v>315</v>
      </c>
      <c r="P561">
        <v>800</v>
      </c>
      <c r="Q561">
        <v>0.71199999999999997</v>
      </c>
      <c r="R561">
        <f t="shared" si="125"/>
        <v>-0.70715913008071851</v>
      </c>
    </row>
    <row r="562" spans="1:18" x14ac:dyDescent="0.25">
      <c r="A562">
        <v>11</v>
      </c>
      <c r="B562">
        <v>48</v>
      </c>
      <c r="C562">
        <v>96</v>
      </c>
      <c r="D562">
        <v>46</v>
      </c>
      <c r="E562">
        <v>473</v>
      </c>
      <c r="F562">
        <v>665</v>
      </c>
      <c r="G562" t="s">
        <v>5</v>
      </c>
      <c r="H562" s="1">
        <f t="shared" si="124"/>
        <v>36840.354166668025</v>
      </c>
      <c r="I562">
        <f t="shared" ref="I562:J566" si="139">0.4+0.0746*B562</f>
        <v>3.9807999999999999</v>
      </c>
      <c r="J562">
        <f t="shared" si="139"/>
        <v>7.5616000000000003</v>
      </c>
      <c r="K562">
        <f t="shared" si="136"/>
        <v>2.5552000000000001</v>
      </c>
      <c r="L562">
        <f t="shared" si="137"/>
        <v>-3.5217354200000002</v>
      </c>
      <c r="M562">
        <f t="shared" si="138"/>
        <v>233.58499999999998</v>
      </c>
      <c r="O562">
        <v>315</v>
      </c>
      <c r="P562">
        <v>830</v>
      </c>
      <c r="Q562">
        <v>0.71499999999999997</v>
      </c>
      <c r="R562">
        <f t="shared" si="125"/>
        <v>-0.71037578276308366</v>
      </c>
    </row>
    <row r="563" spans="1:18" x14ac:dyDescent="0.25">
      <c r="A563">
        <v>11</v>
      </c>
      <c r="B563">
        <v>35</v>
      </c>
      <c r="C563">
        <v>88</v>
      </c>
      <c r="D563">
        <v>270</v>
      </c>
      <c r="E563">
        <v>474</v>
      </c>
      <c r="F563">
        <v>637</v>
      </c>
      <c r="G563" t="s">
        <v>5</v>
      </c>
      <c r="H563" s="1">
        <f t="shared" si="124"/>
        <v>36840.375000001361</v>
      </c>
      <c r="I563">
        <f t="shared" si="139"/>
        <v>3.0109999999999997</v>
      </c>
      <c r="J563">
        <f t="shared" si="139"/>
        <v>6.9648000000000003</v>
      </c>
      <c r="K563">
        <f t="shared" si="136"/>
        <v>25.448</v>
      </c>
      <c r="L563">
        <f t="shared" si="137"/>
        <v>-3.4317464799999997</v>
      </c>
      <c r="M563">
        <f t="shared" si="138"/>
        <v>223.81299999999999</v>
      </c>
      <c r="O563">
        <v>315</v>
      </c>
      <c r="P563">
        <v>900</v>
      </c>
      <c r="Q563">
        <v>0.71499999999999997</v>
      </c>
      <c r="R563">
        <f t="shared" si="125"/>
        <v>-0.71049431749984315</v>
      </c>
    </row>
    <row r="564" spans="1:18" x14ac:dyDescent="0.25">
      <c r="A564">
        <v>11</v>
      </c>
      <c r="B564">
        <v>46</v>
      </c>
      <c r="C564">
        <v>96</v>
      </c>
      <c r="D564">
        <v>336</v>
      </c>
      <c r="E564">
        <v>473</v>
      </c>
      <c r="F564">
        <v>721</v>
      </c>
      <c r="G564" t="s">
        <v>5</v>
      </c>
      <c r="H564" s="1">
        <f t="shared" si="124"/>
        <v>36840.395833334696</v>
      </c>
      <c r="I564">
        <f t="shared" si="139"/>
        <v>3.8315999999999999</v>
      </c>
      <c r="J564">
        <f t="shared" si="139"/>
        <v>7.5616000000000003</v>
      </c>
      <c r="K564">
        <f t="shared" si="136"/>
        <v>32.193199999999997</v>
      </c>
      <c r="L564">
        <f t="shared" si="137"/>
        <v>-3.5217354200000002</v>
      </c>
      <c r="M564">
        <f t="shared" si="138"/>
        <v>253.12899999999999</v>
      </c>
      <c r="O564">
        <v>315</v>
      </c>
      <c r="P564">
        <v>930</v>
      </c>
      <c r="Q564">
        <v>0.71499999999999997</v>
      </c>
      <c r="R564">
        <f t="shared" si="125"/>
        <v>-0.71037578276308366</v>
      </c>
    </row>
    <row r="565" spans="1:18" x14ac:dyDescent="0.25">
      <c r="A565">
        <v>11</v>
      </c>
      <c r="B565">
        <v>33</v>
      </c>
      <c r="C565">
        <v>72</v>
      </c>
      <c r="D565">
        <v>779</v>
      </c>
      <c r="E565">
        <v>472</v>
      </c>
      <c r="F565">
        <v>749</v>
      </c>
      <c r="G565" t="s">
        <v>5</v>
      </c>
      <c r="H565" s="1">
        <f t="shared" si="124"/>
        <v>36840.416666668032</v>
      </c>
      <c r="I565">
        <f t="shared" si="139"/>
        <v>2.8618000000000001</v>
      </c>
      <c r="J565">
        <f t="shared" si="139"/>
        <v>5.7712000000000003</v>
      </c>
      <c r="K565">
        <f t="shared" si="136"/>
        <v>77.467799999999997</v>
      </c>
      <c r="L565">
        <f t="shared" si="137"/>
        <v>-3.6117043200000012</v>
      </c>
      <c r="M565">
        <f t="shared" si="138"/>
        <v>262.90100000000001</v>
      </c>
      <c r="O565">
        <v>315</v>
      </c>
      <c r="P565">
        <v>1000</v>
      </c>
      <c r="Q565">
        <v>0.71699999999999997</v>
      </c>
      <c r="R565">
        <f t="shared" si="125"/>
        <v>-0.71224398822709867</v>
      </c>
    </row>
    <row r="566" spans="1:18" x14ac:dyDescent="0.25">
      <c r="A566">
        <v>11</v>
      </c>
      <c r="B566">
        <v>33</v>
      </c>
      <c r="C566">
        <v>88</v>
      </c>
      <c r="D566">
        <v>88</v>
      </c>
      <c r="E566">
        <v>474</v>
      </c>
      <c r="F566">
        <v>741</v>
      </c>
      <c r="G566" t="s">
        <v>5</v>
      </c>
      <c r="H566" s="1">
        <f t="shared" si="124"/>
        <v>36840.437500001368</v>
      </c>
      <c r="I566">
        <f t="shared" si="139"/>
        <v>2.8618000000000001</v>
      </c>
      <c r="J566">
        <f t="shared" si="139"/>
        <v>6.9648000000000003</v>
      </c>
      <c r="K566">
        <f t="shared" si="136"/>
        <v>6.8476000000000008</v>
      </c>
      <c r="L566">
        <f t="shared" si="137"/>
        <v>-3.4317464799999997</v>
      </c>
      <c r="M566">
        <f t="shared" si="138"/>
        <v>260.10899999999998</v>
      </c>
      <c r="O566">
        <v>315</v>
      </c>
      <c r="P566">
        <v>1030</v>
      </c>
      <c r="Q566">
        <v>0.71699999999999997</v>
      </c>
      <c r="R566">
        <f t="shared" si="125"/>
        <v>-0.71248171419215045</v>
      </c>
    </row>
    <row r="567" spans="1:18" x14ac:dyDescent="0.25">
      <c r="A567">
        <v>11</v>
      </c>
      <c r="B567">
        <v>27</v>
      </c>
      <c r="C567">
        <v>60</v>
      </c>
      <c r="D567">
        <v>681</v>
      </c>
      <c r="E567">
        <v>475</v>
      </c>
      <c r="F567">
        <v>757</v>
      </c>
      <c r="G567" t="s">
        <v>5</v>
      </c>
      <c r="H567" s="1">
        <f t="shared" si="124"/>
        <v>36840.458333334704</v>
      </c>
      <c r="I567">
        <f t="shared" ref="I567:I578" si="140">0.4+0.0746*B567</f>
        <v>2.4141999999999997</v>
      </c>
      <c r="J567">
        <f t="shared" ref="J567:J578" si="141">0.4+0.0746*C567</f>
        <v>4.8760000000000003</v>
      </c>
      <c r="K567">
        <f t="shared" si="136"/>
        <v>67.452200000000005</v>
      </c>
      <c r="L567">
        <f t="shared" si="137"/>
        <v>-3.3417374999999989</v>
      </c>
      <c r="M567">
        <f t="shared" si="138"/>
        <v>265.69299999999998</v>
      </c>
      <c r="O567">
        <v>315</v>
      </c>
      <c r="P567">
        <v>1100</v>
      </c>
      <c r="Q567">
        <v>0.71699999999999997</v>
      </c>
      <c r="R567">
        <f t="shared" si="125"/>
        <v>-0.71260058713114593</v>
      </c>
    </row>
    <row r="568" spans="1:18" x14ac:dyDescent="0.25">
      <c r="A568">
        <v>11</v>
      </c>
      <c r="B568">
        <v>42</v>
      </c>
      <c r="C568">
        <v>92</v>
      </c>
      <c r="D568">
        <v>166</v>
      </c>
      <c r="E568">
        <v>476</v>
      </c>
      <c r="F568">
        <v>709</v>
      </c>
      <c r="G568" t="s">
        <v>5</v>
      </c>
      <c r="H568" s="1">
        <f t="shared" si="124"/>
        <v>36840.479166668039</v>
      </c>
      <c r="I568">
        <f t="shared" si="140"/>
        <v>3.5331999999999999</v>
      </c>
      <c r="J568">
        <f t="shared" si="141"/>
        <v>7.2632000000000003</v>
      </c>
      <c r="K568">
        <f t="shared" si="136"/>
        <v>14.819199999999999</v>
      </c>
      <c r="L568">
        <f t="shared" si="137"/>
        <v>-3.2517084800000053</v>
      </c>
      <c r="M568">
        <f t="shared" si="138"/>
        <v>248.94099999999997</v>
      </c>
      <c r="O568">
        <v>315</v>
      </c>
      <c r="P568">
        <v>1130</v>
      </c>
      <c r="Q568">
        <v>0.72</v>
      </c>
      <c r="R568">
        <f t="shared" si="125"/>
        <v>-0.71570155652220224</v>
      </c>
    </row>
    <row r="569" spans="1:18" x14ac:dyDescent="0.25">
      <c r="A569">
        <v>11</v>
      </c>
      <c r="B569">
        <v>40</v>
      </c>
      <c r="C569">
        <v>72</v>
      </c>
      <c r="D569">
        <v>35</v>
      </c>
      <c r="E569">
        <v>477</v>
      </c>
      <c r="F569">
        <v>761</v>
      </c>
      <c r="G569" t="s">
        <v>5</v>
      </c>
      <c r="H569" s="1">
        <f t="shared" ref="H569:H631" si="142">H568+1/48</f>
        <v>36840.500000001375</v>
      </c>
      <c r="I569">
        <f t="shared" si="140"/>
        <v>3.3839999999999999</v>
      </c>
      <c r="J569">
        <f t="shared" si="141"/>
        <v>5.7712000000000003</v>
      </c>
      <c r="K569">
        <f t="shared" si="136"/>
        <v>1.431</v>
      </c>
      <c r="L569">
        <f t="shared" si="137"/>
        <v>-3.1616594200000048</v>
      </c>
      <c r="M569">
        <f t="shared" si="138"/>
        <v>267.089</v>
      </c>
      <c r="O569">
        <v>315</v>
      </c>
      <c r="P569">
        <v>1200</v>
      </c>
      <c r="Q569">
        <v>0.71699999999999997</v>
      </c>
      <c r="R569">
        <f t="shared" si="125"/>
        <v>-0.71283835290547304</v>
      </c>
    </row>
    <row r="570" spans="1:18" x14ac:dyDescent="0.25">
      <c r="A570">
        <v>11</v>
      </c>
      <c r="B570">
        <v>32</v>
      </c>
      <c r="C570">
        <v>80</v>
      </c>
      <c r="D570">
        <v>190</v>
      </c>
      <c r="E570">
        <v>481</v>
      </c>
      <c r="F570">
        <v>737</v>
      </c>
      <c r="G570" t="s">
        <v>5</v>
      </c>
      <c r="H570" s="1">
        <f t="shared" si="142"/>
        <v>36840.520833334711</v>
      </c>
      <c r="I570">
        <f t="shared" si="140"/>
        <v>2.7871999999999999</v>
      </c>
      <c r="J570">
        <f t="shared" si="141"/>
        <v>6.3680000000000003</v>
      </c>
      <c r="K570">
        <f t="shared" si="136"/>
        <v>17.271999999999998</v>
      </c>
      <c r="L570">
        <f t="shared" si="137"/>
        <v>-2.8012627800000018</v>
      </c>
      <c r="M570">
        <f t="shared" si="138"/>
        <v>258.71299999999997</v>
      </c>
      <c r="O570">
        <v>315</v>
      </c>
      <c r="P570">
        <v>1230</v>
      </c>
      <c r="Q570">
        <v>0.71699999999999997</v>
      </c>
      <c r="R570">
        <f t="shared" si="125"/>
        <v>-0.71331396394661972</v>
      </c>
    </row>
    <row r="571" spans="1:18" x14ac:dyDescent="0.25">
      <c r="A571">
        <v>11</v>
      </c>
      <c r="B571">
        <v>16</v>
      </c>
      <c r="C571">
        <v>36</v>
      </c>
      <c r="D571">
        <v>1023</v>
      </c>
      <c r="E571">
        <v>485</v>
      </c>
      <c r="F571">
        <v>713</v>
      </c>
      <c r="G571" t="s">
        <v>5</v>
      </c>
      <c r="H571" s="1">
        <f t="shared" si="142"/>
        <v>36840.541666668047</v>
      </c>
      <c r="I571">
        <f t="shared" si="140"/>
        <v>1.5935999999999999</v>
      </c>
      <c r="J571">
        <f t="shared" si="141"/>
        <v>3.0855999999999999</v>
      </c>
      <c r="K571">
        <f t="shared" si="136"/>
        <v>102.4046</v>
      </c>
      <c r="L571">
        <f t="shared" si="137"/>
        <v>-2.4405454999999994</v>
      </c>
      <c r="M571">
        <f t="shared" si="138"/>
        <v>250.33699999999999</v>
      </c>
      <c r="O571">
        <v>315</v>
      </c>
      <c r="P571">
        <v>1300</v>
      </c>
      <c r="Q571">
        <v>0.71499999999999997</v>
      </c>
      <c r="R571">
        <f t="shared" si="125"/>
        <v>-0.7117986356664624</v>
      </c>
    </row>
    <row r="572" spans="1:18" x14ac:dyDescent="0.25">
      <c r="A572">
        <v>11</v>
      </c>
      <c r="B572">
        <v>57</v>
      </c>
      <c r="C572">
        <v>128</v>
      </c>
      <c r="D572">
        <v>344</v>
      </c>
      <c r="E572">
        <v>473</v>
      </c>
      <c r="F572">
        <v>765</v>
      </c>
      <c r="G572" t="s">
        <v>5</v>
      </c>
      <c r="H572" s="1">
        <f t="shared" si="142"/>
        <v>36840.562500001382</v>
      </c>
      <c r="I572">
        <f t="shared" si="140"/>
        <v>4.6522000000000006</v>
      </c>
      <c r="J572">
        <f t="shared" si="141"/>
        <v>9.9488000000000003</v>
      </c>
      <c r="K572">
        <f t="shared" si="136"/>
        <v>33.010799999999996</v>
      </c>
      <c r="L572">
        <f t="shared" si="137"/>
        <v>-3.5217354200000002</v>
      </c>
      <c r="M572">
        <f t="shared" si="138"/>
        <v>268.48499999999996</v>
      </c>
      <c r="O572">
        <v>315</v>
      </c>
      <c r="P572">
        <v>1330</v>
      </c>
      <c r="Q572">
        <v>0.71499999999999997</v>
      </c>
      <c r="R572">
        <f t="shared" si="125"/>
        <v>-0.71037578276308366</v>
      </c>
    </row>
    <row r="573" spans="1:18" x14ac:dyDescent="0.25">
      <c r="A573">
        <v>1</v>
      </c>
      <c r="B573">
        <v>48</v>
      </c>
      <c r="C573">
        <v>96</v>
      </c>
      <c r="D573">
        <v>256</v>
      </c>
      <c r="E573">
        <v>469</v>
      </c>
      <c r="F573">
        <v>844</v>
      </c>
      <c r="G573" t="s">
        <v>5</v>
      </c>
      <c r="H573" s="1">
        <f t="shared" si="142"/>
        <v>36840.583333334718</v>
      </c>
      <c r="I573">
        <f t="shared" si="140"/>
        <v>3.9807999999999999</v>
      </c>
      <c r="J573">
        <f t="shared" si="141"/>
        <v>7.5616000000000003</v>
      </c>
      <c r="K573">
        <f t="shared" si="136"/>
        <v>24.017199999999999</v>
      </c>
      <c r="L573">
        <f t="shared" si="137"/>
        <v>-3.8814907800000031</v>
      </c>
      <c r="M573">
        <f t="shared" si="138"/>
        <v>296.05599999999998</v>
      </c>
      <c r="O573">
        <v>315</v>
      </c>
      <c r="P573">
        <v>1400</v>
      </c>
      <c r="Q573">
        <v>0.72</v>
      </c>
      <c r="R573">
        <f t="shared" si="125"/>
        <v>-0.71486605768542999</v>
      </c>
    </row>
    <row r="574" spans="1:18" x14ac:dyDescent="0.25">
      <c r="A574">
        <v>1</v>
      </c>
      <c r="B574">
        <v>43</v>
      </c>
      <c r="C574">
        <v>80</v>
      </c>
      <c r="D574">
        <v>222</v>
      </c>
      <c r="E574">
        <v>473</v>
      </c>
      <c r="F574">
        <v>793</v>
      </c>
      <c r="G574" t="s">
        <v>5</v>
      </c>
      <c r="H574" s="1">
        <f t="shared" si="142"/>
        <v>36840.604166668054</v>
      </c>
      <c r="I574">
        <f t="shared" si="140"/>
        <v>3.6077999999999997</v>
      </c>
      <c r="J574">
        <f t="shared" si="141"/>
        <v>6.3680000000000003</v>
      </c>
      <c r="K574">
        <f t="shared" si="136"/>
        <v>20.542400000000001</v>
      </c>
      <c r="L574">
        <f t="shared" si="137"/>
        <v>-3.5217354200000002</v>
      </c>
      <c r="M574">
        <f t="shared" si="138"/>
        <v>278.25700000000001</v>
      </c>
      <c r="O574">
        <v>315</v>
      </c>
      <c r="P574">
        <v>1430</v>
      </c>
      <c r="Q574">
        <v>0.71699999999999997</v>
      </c>
      <c r="R574">
        <f t="shared" si="125"/>
        <v>-0.71236284788969373</v>
      </c>
    </row>
    <row r="575" spans="1:18" x14ac:dyDescent="0.25">
      <c r="A575">
        <v>1</v>
      </c>
      <c r="B575">
        <v>48</v>
      </c>
      <c r="C575">
        <v>96</v>
      </c>
      <c r="D575">
        <v>168</v>
      </c>
      <c r="E575">
        <v>473</v>
      </c>
      <c r="F575">
        <v>809</v>
      </c>
      <c r="G575" t="s">
        <v>5</v>
      </c>
      <c r="H575" s="1">
        <f t="shared" si="142"/>
        <v>36840.62500000139</v>
      </c>
      <c r="I575">
        <f t="shared" si="140"/>
        <v>3.9807999999999999</v>
      </c>
      <c r="J575">
        <f t="shared" si="141"/>
        <v>7.5616000000000003</v>
      </c>
      <c r="K575">
        <f t="shared" si="136"/>
        <v>15.023599999999998</v>
      </c>
      <c r="L575">
        <f t="shared" si="137"/>
        <v>-3.5217354200000002</v>
      </c>
      <c r="M575">
        <f t="shared" si="138"/>
        <v>283.84100000000001</v>
      </c>
      <c r="O575">
        <v>315</v>
      </c>
      <c r="P575">
        <v>1500</v>
      </c>
      <c r="Q575">
        <v>0.72</v>
      </c>
      <c r="R575">
        <f t="shared" si="125"/>
        <v>-0.71534344557960872</v>
      </c>
    </row>
    <row r="576" spans="1:18" x14ac:dyDescent="0.25">
      <c r="A576">
        <v>1</v>
      </c>
      <c r="B576">
        <v>49</v>
      </c>
      <c r="C576">
        <v>96</v>
      </c>
      <c r="D576">
        <v>322</v>
      </c>
      <c r="E576">
        <v>474</v>
      </c>
      <c r="F576">
        <v>777</v>
      </c>
      <c r="G576" t="s">
        <v>5</v>
      </c>
      <c r="H576" s="1">
        <f t="shared" si="142"/>
        <v>36840.645833334725</v>
      </c>
      <c r="I576">
        <f t="shared" si="140"/>
        <v>4.0554000000000006</v>
      </c>
      <c r="J576">
        <f t="shared" si="141"/>
        <v>7.5616000000000003</v>
      </c>
      <c r="K576">
        <f t="shared" si="136"/>
        <v>30.7624</v>
      </c>
      <c r="L576">
        <f t="shared" si="137"/>
        <v>-3.4317464799999997</v>
      </c>
      <c r="M576">
        <f t="shared" si="138"/>
        <v>272.673</v>
      </c>
      <c r="O576">
        <v>315</v>
      </c>
      <c r="P576">
        <v>1530</v>
      </c>
      <c r="Q576">
        <v>0.73199999999999998</v>
      </c>
      <c r="R576">
        <f t="shared" si="125"/>
        <v>-0.72738718938445479</v>
      </c>
    </row>
    <row r="577" spans="1:18" x14ac:dyDescent="0.25">
      <c r="A577">
        <v>1</v>
      </c>
      <c r="B577">
        <v>40</v>
      </c>
      <c r="C577">
        <v>88</v>
      </c>
      <c r="D577">
        <v>271</v>
      </c>
      <c r="E577">
        <v>474</v>
      </c>
      <c r="F577">
        <v>789</v>
      </c>
      <c r="G577" t="s">
        <v>5</v>
      </c>
      <c r="H577" s="1">
        <f t="shared" si="142"/>
        <v>36840.666666668061</v>
      </c>
      <c r="I577">
        <f t="shared" si="140"/>
        <v>3.3839999999999999</v>
      </c>
      <c r="J577">
        <f t="shared" si="141"/>
        <v>6.9648000000000003</v>
      </c>
      <c r="K577">
        <f t="shared" si="136"/>
        <v>25.5502</v>
      </c>
      <c r="L577">
        <f t="shared" si="137"/>
        <v>-3.4317464799999997</v>
      </c>
      <c r="M577">
        <f t="shared" si="138"/>
        <v>276.86099999999999</v>
      </c>
      <c r="O577">
        <v>315</v>
      </c>
      <c r="P577">
        <v>1600</v>
      </c>
      <c r="Q577">
        <v>0.72199999999999998</v>
      </c>
      <c r="R577">
        <f t="shared" si="125"/>
        <v>-0.71745020592291853</v>
      </c>
    </row>
    <row r="578" spans="1:18" x14ac:dyDescent="0.25">
      <c r="A578">
        <v>1</v>
      </c>
      <c r="B578">
        <v>39</v>
      </c>
      <c r="C578">
        <v>84</v>
      </c>
      <c r="D578">
        <v>219</v>
      </c>
      <c r="E578">
        <v>473</v>
      </c>
      <c r="F578">
        <v>767</v>
      </c>
      <c r="G578" t="s">
        <v>5</v>
      </c>
      <c r="H578" s="1">
        <f t="shared" si="142"/>
        <v>36840.687500001397</v>
      </c>
      <c r="I578">
        <f t="shared" si="140"/>
        <v>3.3093999999999997</v>
      </c>
      <c r="J578">
        <f t="shared" si="141"/>
        <v>6.6664000000000003</v>
      </c>
      <c r="K578">
        <f t="shared" si="136"/>
        <v>20.235799999999998</v>
      </c>
      <c r="L578">
        <f t="shared" si="137"/>
        <v>-3.5217354200000002</v>
      </c>
      <c r="M578">
        <f t="shared" si="138"/>
        <v>269.18299999999999</v>
      </c>
      <c r="O578">
        <v>315</v>
      </c>
      <c r="P578">
        <v>1630</v>
      </c>
      <c r="Q578">
        <v>0.72199999999999998</v>
      </c>
      <c r="R578">
        <f t="shared" si="125"/>
        <v>-0.71733051070621878</v>
      </c>
    </row>
    <row r="579" spans="1:18" x14ac:dyDescent="0.25">
      <c r="A579">
        <v>1</v>
      </c>
      <c r="B579">
        <v>62</v>
      </c>
      <c r="C579">
        <v>0</v>
      </c>
      <c r="D579">
        <v>4</v>
      </c>
      <c r="E579">
        <v>7</v>
      </c>
      <c r="F579">
        <v>73</v>
      </c>
      <c r="H579" s="1">
        <f t="shared" si="142"/>
        <v>36840.708333334733</v>
      </c>
      <c r="O579">
        <v>315</v>
      </c>
      <c r="P579">
        <v>1700</v>
      </c>
      <c r="Q579">
        <v>0.72199999999999998</v>
      </c>
    </row>
    <row r="580" spans="1:18" x14ac:dyDescent="0.25">
      <c r="A580">
        <v>71</v>
      </c>
      <c r="B580">
        <v>4</v>
      </c>
      <c r="C580">
        <v>9</v>
      </c>
      <c r="D580">
        <v>26</v>
      </c>
      <c r="E580">
        <v>47</v>
      </c>
      <c r="F580">
        <v>76</v>
      </c>
      <c r="H580" s="1">
        <f t="shared" si="142"/>
        <v>36840.729166668069</v>
      </c>
      <c r="O580">
        <v>315</v>
      </c>
      <c r="P580">
        <v>1730</v>
      </c>
      <c r="Q580">
        <v>0.72499999999999998</v>
      </c>
    </row>
    <row r="581" spans="1:18" x14ac:dyDescent="0.25">
      <c r="A581">
        <v>71</v>
      </c>
      <c r="B581">
        <v>4</v>
      </c>
      <c r="C581">
        <v>11</v>
      </c>
      <c r="D581">
        <v>25</v>
      </c>
      <c r="E581">
        <v>47</v>
      </c>
      <c r="F581">
        <v>78</v>
      </c>
      <c r="H581" s="1">
        <f t="shared" si="142"/>
        <v>36840.750000001404</v>
      </c>
      <c r="O581">
        <v>315</v>
      </c>
      <c r="P581">
        <v>1800</v>
      </c>
      <c r="Q581">
        <v>0.73199999999999998</v>
      </c>
    </row>
    <row r="582" spans="1:18" x14ac:dyDescent="0.25">
      <c r="A582">
        <v>71</v>
      </c>
      <c r="B582">
        <v>5</v>
      </c>
      <c r="C582">
        <v>11</v>
      </c>
      <c r="D582">
        <v>30</v>
      </c>
      <c r="E582">
        <v>47</v>
      </c>
      <c r="F582">
        <v>80</v>
      </c>
      <c r="H582" s="1">
        <f t="shared" si="142"/>
        <v>36840.77083333474</v>
      </c>
      <c r="O582">
        <v>315</v>
      </c>
      <c r="P582">
        <v>1830</v>
      </c>
      <c r="Q582">
        <v>0.72199999999999998</v>
      </c>
    </row>
    <row r="583" spans="1:18" x14ac:dyDescent="0.25">
      <c r="A583">
        <v>71</v>
      </c>
      <c r="B583">
        <v>4</v>
      </c>
      <c r="C583">
        <v>8</v>
      </c>
      <c r="D583">
        <v>18</v>
      </c>
      <c r="E583">
        <v>47</v>
      </c>
      <c r="F583">
        <v>82</v>
      </c>
      <c r="H583" s="1">
        <f t="shared" si="142"/>
        <v>36840.791666668076</v>
      </c>
      <c r="O583">
        <v>315</v>
      </c>
      <c r="P583">
        <v>1900</v>
      </c>
      <c r="Q583">
        <v>0.72199999999999998</v>
      </c>
    </row>
    <row r="584" spans="1:18" x14ac:dyDescent="0.25">
      <c r="A584">
        <v>71</v>
      </c>
      <c r="B584">
        <v>6</v>
      </c>
      <c r="C584">
        <v>12</v>
      </c>
      <c r="D584">
        <v>1</v>
      </c>
      <c r="E584">
        <v>47</v>
      </c>
      <c r="F584">
        <v>80</v>
      </c>
      <c r="H584" s="1">
        <f t="shared" si="142"/>
        <v>36840.812500001412</v>
      </c>
      <c r="O584">
        <v>315</v>
      </c>
      <c r="P584">
        <v>1930</v>
      </c>
      <c r="Q584">
        <v>0.72199999999999998</v>
      </c>
    </row>
    <row r="585" spans="1:18" x14ac:dyDescent="0.25">
      <c r="A585">
        <v>71</v>
      </c>
      <c r="B585">
        <v>6</v>
      </c>
      <c r="C585">
        <v>12</v>
      </c>
      <c r="D585">
        <v>34</v>
      </c>
      <c r="E585">
        <v>46</v>
      </c>
      <c r="F585">
        <v>77</v>
      </c>
      <c r="H585" s="1">
        <f>H584+1/48</f>
        <v>36840.833333334747</v>
      </c>
      <c r="O585">
        <v>315</v>
      </c>
      <c r="P585">
        <v>2000</v>
      </c>
      <c r="Q585">
        <v>0.72</v>
      </c>
    </row>
    <row r="586" spans="1:18" x14ac:dyDescent="0.25">
      <c r="A586">
        <v>71</v>
      </c>
      <c r="B586">
        <v>6</v>
      </c>
      <c r="C586">
        <v>12</v>
      </c>
      <c r="D586">
        <v>12</v>
      </c>
      <c r="E586">
        <v>73</v>
      </c>
      <c r="F586">
        <v>699</v>
      </c>
      <c r="H586" s="1">
        <f t="shared" si="142"/>
        <v>36840.854166668083</v>
      </c>
      <c r="O586">
        <v>315</v>
      </c>
      <c r="P586">
        <v>2030</v>
      </c>
      <c r="Q586">
        <v>0.72199999999999998</v>
      </c>
    </row>
    <row r="587" spans="1:18" x14ac:dyDescent="0.25">
      <c r="A587">
        <v>711</v>
      </c>
      <c r="B587">
        <v>84</v>
      </c>
      <c r="C587">
        <v>184</v>
      </c>
      <c r="D587">
        <v>47</v>
      </c>
      <c r="E587">
        <v>468</v>
      </c>
      <c r="F587">
        <v>723</v>
      </c>
      <c r="G587" t="s">
        <v>5</v>
      </c>
      <c r="H587" s="1">
        <f t="shared" si="142"/>
        <v>36840.875000001419</v>
      </c>
      <c r="I587">
        <f t="shared" ref="I587:I605" si="143">0.4+0.0746*B587</f>
        <v>6.6664000000000003</v>
      </c>
      <c r="J587">
        <f t="shared" ref="J587:J605" si="144">0.4+0.0746*C587</f>
        <v>14.1264</v>
      </c>
      <c r="K587">
        <f t="shared" ref="K587:K605" si="145">-2.146+0.1022*D587</f>
        <v>2.6574</v>
      </c>
      <c r="L587">
        <f t="shared" ref="L587:L605" si="146">-43.84+0.0805*E587+0.00001002*E587^2</f>
        <v>-3.9713795200000037</v>
      </c>
      <c r="M587">
        <f t="shared" ref="M587:M605" si="147">1.5+0.349*F587</f>
        <v>253.82699999999997</v>
      </c>
      <c r="O587">
        <v>315</v>
      </c>
      <c r="P587">
        <v>2100</v>
      </c>
      <c r="Q587">
        <v>0.72199999999999998</v>
      </c>
      <c r="R587">
        <f t="shared" ref="R587:R646" si="148">-SQRT((L587+273.15)/273.15)*Q587</f>
        <v>-0.71673213498217947</v>
      </c>
    </row>
    <row r="588" spans="1:18" x14ac:dyDescent="0.25">
      <c r="A588">
        <v>711</v>
      </c>
      <c r="B588">
        <v>98</v>
      </c>
      <c r="C588">
        <v>180</v>
      </c>
      <c r="D588">
        <v>165</v>
      </c>
      <c r="E588">
        <v>467</v>
      </c>
      <c r="F588">
        <v>745</v>
      </c>
      <c r="G588" t="s">
        <v>5</v>
      </c>
      <c r="H588" s="1">
        <f t="shared" si="142"/>
        <v>36840.895833334755</v>
      </c>
      <c r="I588">
        <f t="shared" si="143"/>
        <v>7.7108000000000008</v>
      </c>
      <c r="J588">
        <f t="shared" si="144"/>
        <v>13.828000000000001</v>
      </c>
      <c r="K588">
        <f t="shared" si="145"/>
        <v>14.716999999999999</v>
      </c>
      <c r="L588">
        <f t="shared" si="146"/>
        <v>-4.0612482200000048</v>
      </c>
      <c r="M588">
        <f t="shared" si="147"/>
        <v>261.505</v>
      </c>
      <c r="O588">
        <v>315</v>
      </c>
      <c r="P588">
        <v>2130</v>
      </c>
      <c r="Q588">
        <v>0.72199999999999998</v>
      </c>
      <c r="R588">
        <f t="shared" si="148"/>
        <v>-0.71661247993272781</v>
      </c>
    </row>
    <row r="589" spans="1:18" x14ac:dyDescent="0.25">
      <c r="A589">
        <v>711</v>
      </c>
      <c r="B589">
        <v>90</v>
      </c>
      <c r="C589">
        <v>192</v>
      </c>
      <c r="D589">
        <v>385</v>
      </c>
      <c r="E589">
        <v>466</v>
      </c>
      <c r="F589">
        <v>757</v>
      </c>
      <c r="G589" t="s">
        <v>5</v>
      </c>
      <c r="H589" s="1">
        <f t="shared" si="142"/>
        <v>36840.91666666809</v>
      </c>
      <c r="I589">
        <f t="shared" si="143"/>
        <v>7.1140000000000008</v>
      </c>
      <c r="J589">
        <f t="shared" si="144"/>
        <v>14.7232</v>
      </c>
      <c r="K589">
        <f t="shared" si="145"/>
        <v>37.201000000000001</v>
      </c>
      <c r="L589">
        <f t="shared" si="146"/>
        <v>-4.1510968800000052</v>
      </c>
      <c r="M589">
        <f t="shared" si="147"/>
        <v>265.69299999999998</v>
      </c>
      <c r="O589">
        <v>315</v>
      </c>
      <c r="P589">
        <v>2200</v>
      </c>
      <c r="Q589">
        <v>0.73199999999999998</v>
      </c>
      <c r="R589">
        <f t="shared" si="148"/>
        <v>-0.72641655501877722</v>
      </c>
    </row>
    <row r="590" spans="1:18" x14ac:dyDescent="0.25">
      <c r="A590">
        <v>711</v>
      </c>
      <c r="B590">
        <v>77</v>
      </c>
      <c r="C590">
        <v>148</v>
      </c>
      <c r="D590">
        <v>200</v>
      </c>
      <c r="E590">
        <v>477</v>
      </c>
      <c r="F590">
        <v>631</v>
      </c>
      <c r="G590" t="s">
        <v>5</v>
      </c>
      <c r="H590" s="1">
        <f t="shared" si="142"/>
        <v>36840.937500001426</v>
      </c>
      <c r="I590">
        <f t="shared" si="143"/>
        <v>6.1442000000000005</v>
      </c>
      <c r="J590">
        <f t="shared" si="144"/>
        <v>11.440800000000001</v>
      </c>
      <c r="K590">
        <f t="shared" si="145"/>
        <v>18.294</v>
      </c>
      <c r="L590">
        <f t="shared" si="146"/>
        <v>-3.1616594200000048</v>
      </c>
      <c r="M590">
        <f t="shared" si="147"/>
        <v>221.71899999999999</v>
      </c>
      <c r="O590">
        <v>315</v>
      </c>
      <c r="P590">
        <v>2230</v>
      </c>
      <c r="Q590">
        <v>0.72499999999999998</v>
      </c>
      <c r="R590">
        <f t="shared" si="148"/>
        <v>-0.72079191890720784</v>
      </c>
    </row>
    <row r="591" spans="1:18" x14ac:dyDescent="0.25">
      <c r="A591">
        <v>711</v>
      </c>
      <c r="B591">
        <v>59</v>
      </c>
      <c r="C591">
        <v>120</v>
      </c>
      <c r="D591">
        <v>16</v>
      </c>
      <c r="E591">
        <v>464</v>
      </c>
      <c r="F591">
        <v>741</v>
      </c>
      <c r="G591" t="s">
        <v>5</v>
      </c>
      <c r="H591" s="1">
        <f t="shared" si="142"/>
        <v>36840.958333334762</v>
      </c>
      <c r="I591">
        <f t="shared" si="143"/>
        <v>4.8014000000000001</v>
      </c>
      <c r="J591">
        <f t="shared" si="144"/>
        <v>9.3520000000000003</v>
      </c>
      <c r="K591">
        <f t="shared" si="145"/>
        <v>-0.51079999999999992</v>
      </c>
      <c r="L591">
        <f t="shared" si="146"/>
        <v>-4.3307340799999992</v>
      </c>
      <c r="M591">
        <f t="shared" si="147"/>
        <v>260.10899999999998</v>
      </c>
      <c r="O591">
        <v>315</v>
      </c>
      <c r="P591">
        <v>2300</v>
      </c>
      <c r="Q591">
        <v>0.73</v>
      </c>
      <c r="R591">
        <f t="shared" si="148"/>
        <v>-0.7241898825151315</v>
      </c>
    </row>
    <row r="592" spans="1:18" x14ac:dyDescent="0.25">
      <c r="A592">
        <v>711</v>
      </c>
      <c r="B592">
        <v>66</v>
      </c>
      <c r="C592">
        <v>156</v>
      </c>
      <c r="D592">
        <v>410</v>
      </c>
      <c r="E592">
        <v>465</v>
      </c>
      <c r="F592">
        <v>733</v>
      </c>
      <c r="G592" t="s">
        <v>5</v>
      </c>
      <c r="H592" s="1">
        <f t="shared" si="142"/>
        <v>36840.979166668098</v>
      </c>
      <c r="I592">
        <f t="shared" si="143"/>
        <v>5.3236000000000008</v>
      </c>
      <c r="J592">
        <f t="shared" si="144"/>
        <v>12.037599999999999</v>
      </c>
      <c r="K592">
        <f t="shared" si="145"/>
        <v>39.756</v>
      </c>
      <c r="L592">
        <f t="shared" si="146"/>
        <v>-4.2409255000000057</v>
      </c>
      <c r="M592">
        <f t="shared" si="147"/>
        <v>257.31700000000001</v>
      </c>
      <c r="O592">
        <v>315</v>
      </c>
      <c r="P592">
        <v>2330</v>
      </c>
      <c r="Q592">
        <v>0.73199999999999998</v>
      </c>
      <c r="R592">
        <f t="shared" si="148"/>
        <v>-0.72629525629891489</v>
      </c>
    </row>
    <row r="593" spans="1:18" x14ac:dyDescent="0.25">
      <c r="A593">
        <v>711</v>
      </c>
      <c r="B593">
        <v>68</v>
      </c>
      <c r="C593">
        <v>156</v>
      </c>
      <c r="D593">
        <v>201</v>
      </c>
      <c r="E593">
        <v>463</v>
      </c>
      <c r="F593">
        <v>709</v>
      </c>
      <c r="G593" t="s">
        <v>5</v>
      </c>
      <c r="H593" s="1">
        <f t="shared" si="142"/>
        <v>36841.000000001433</v>
      </c>
      <c r="I593">
        <f t="shared" si="143"/>
        <v>5.4728000000000003</v>
      </c>
      <c r="J593">
        <f t="shared" si="144"/>
        <v>12.037599999999999</v>
      </c>
      <c r="K593">
        <f t="shared" si="145"/>
        <v>18.3962</v>
      </c>
      <c r="L593">
        <f t="shared" si="146"/>
        <v>-4.4205226199999998</v>
      </c>
      <c r="M593">
        <f t="shared" si="147"/>
        <v>248.94099999999997</v>
      </c>
      <c r="O593">
        <v>315</v>
      </c>
      <c r="P593">
        <v>2400</v>
      </c>
      <c r="Q593">
        <v>0.73199999999999998</v>
      </c>
      <c r="R593">
        <f t="shared" si="148"/>
        <v>-0.72605267928055139</v>
      </c>
    </row>
    <row r="594" spans="1:18" x14ac:dyDescent="0.25">
      <c r="A594">
        <v>711</v>
      </c>
      <c r="B594">
        <v>96</v>
      </c>
      <c r="C594">
        <v>160</v>
      </c>
      <c r="D594">
        <v>150</v>
      </c>
      <c r="E594">
        <v>459</v>
      </c>
      <c r="F594">
        <v>745</v>
      </c>
      <c r="G594" t="s">
        <v>5</v>
      </c>
      <c r="H594" s="1">
        <f t="shared" si="142"/>
        <v>36841.020833334769</v>
      </c>
      <c r="I594">
        <f t="shared" si="143"/>
        <v>7.5616000000000003</v>
      </c>
      <c r="J594">
        <f t="shared" si="144"/>
        <v>12.336</v>
      </c>
      <c r="K594">
        <f t="shared" si="145"/>
        <v>13.184000000000001</v>
      </c>
      <c r="L594">
        <f t="shared" si="146"/>
        <v>-4.7794763800000029</v>
      </c>
      <c r="M594">
        <f t="shared" si="147"/>
        <v>261.505</v>
      </c>
      <c r="O594">
        <v>316</v>
      </c>
      <c r="P594">
        <v>30</v>
      </c>
      <c r="Q594">
        <v>0.73</v>
      </c>
      <c r="R594">
        <f t="shared" si="148"/>
        <v>-0.72358518186904408</v>
      </c>
    </row>
    <row r="595" spans="1:18" x14ac:dyDescent="0.25">
      <c r="A595">
        <v>711</v>
      </c>
      <c r="B595">
        <v>72</v>
      </c>
      <c r="C595">
        <v>184</v>
      </c>
      <c r="D595">
        <v>299</v>
      </c>
      <c r="E595">
        <v>455</v>
      </c>
      <c r="F595">
        <v>689</v>
      </c>
      <c r="G595" t="s">
        <v>5</v>
      </c>
      <c r="H595" s="1">
        <f t="shared" si="142"/>
        <v>36841.041666668105</v>
      </c>
      <c r="I595">
        <f t="shared" si="143"/>
        <v>5.7712000000000003</v>
      </c>
      <c r="J595">
        <f t="shared" si="144"/>
        <v>14.1264</v>
      </c>
      <c r="K595">
        <f t="shared" si="145"/>
        <v>28.411799999999999</v>
      </c>
      <c r="L595">
        <f t="shared" si="146"/>
        <v>-5.1381095000000059</v>
      </c>
      <c r="M595">
        <f t="shared" si="147"/>
        <v>241.96099999999998</v>
      </c>
      <c r="O595">
        <v>316</v>
      </c>
      <c r="P595">
        <v>100</v>
      </c>
      <c r="Q595">
        <v>0.73</v>
      </c>
      <c r="R595">
        <f t="shared" si="148"/>
        <v>-0.72310154387267944</v>
      </c>
    </row>
    <row r="596" spans="1:18" x14ac:dyDescent="0.25">
      <c r="A596">
        <v>711</v>
      </c>
      <c r="B596">
        <v>66</v>
      </c>
      <c r="C596">
        <v>196</v>
      </c>
      <c r="D596">
        <v>64</v>
      </c>
      <c r="E596">
        <v>454</v>
      </c>
      <c r="F596">
        <v>745</v>
      </c>
      <c r="G596" t="s">
        <v>5</v>
      </c>
      <c r="H596" s="1">
        <f t="shared" si="142"/>
        <v>36841.062500001441</v>
      </c>
      <c r="I596">
        <f t="shared" si="143"/>
        <v>5.3236000000000008</v>
      </c>
      <c r="J596">
        <f t="shared" si="144"/>
        <v>15.021600000000001</v>
      </c>
      <c r="K596">
        <f t="shared" si="145"/>
        <v>4.3948</v>
      </c>
      <c r="L596">
        <f t="shared" si="146"/>
        <v>-5.2277176799999996</v>
      </c>
      <c r="M596">
        <f t="shared" si="147"/>
        <v>261.505</v>
      </c>
      <c r="O596">
        <v>316</v>
      </c>
      <c r="P596">
        <v>130</v>
      </c>
      <c r="Q596">
        <v>0.73</v>
      </c>
      <c r="R596">
        <f t="shared" si="148"/>
        <v>-0.72298065141878509</v>
      </c>
    </row>
    <row r="597" spans="1:18" x14ac:dyDescent="0.25">
      <c r="A597">
        <v>711</v>
      </c>
      <c r="B597">
        <v>65</v>
      </c>
      <c r="C597">
        <v>148</v>
      </c>
      <c r="D597">
        <v>209</v>
      </c>
      <c r="E597">
        <v>460</v>
      </c>
      <c r="F597">
        <v>679</v>
      </c>
      <c r="G597" t="s">
        <v>5</v>
      </c>
      <c r="H597" s="1">
        <f t="shared" si="142"/>
        <v>36841.083333334776</v>
      </c>
      <c r="I597">
        <f t="shared" si="143"/>
        <v>5.2490000000000006</v>
      </c>
      <c r="J597">
        <f t="shared" si="144"/>
        <v>11.440800000000001</v>
      </c>
      <c r="K597">
        <f t="shared" si="145"/>
        <v>19.213799999999999</v>
      </c>
      <c r="L597">
        <f t="shared" si="146"/>
        <v>-4.6897680000000026</v>
      </c>
      <c r="M597">
        <f t="shared" si="147"/>
        <v>238.47099999999998</v>
      </c>
      <c r="O597">
        <v>316</v>
      </c>
      <c r="P597">
        <v>200</v>
      </c>
      <c r="Q597">
        <v>0.73199999999999998</v>
      </c>
      <c r="R597">
        <f t="shared" si="148"/>
        <v>-0.7256888648576052</v>
      </c>
    </row>
    <row r="598" spans="1:18" x14ac:dyDescent="0.25">
      <c r="A598">
        <v>711</v>
      </c>
      <c r="B598">
        <v>37</v>
      </c>
      <c r="C598">
        <v>88</v>
      </c>
      <c r="D598">
        <v>445</v>
      </c>
      <c r="E598">
        <v>456</v>
      </c>
      <c r="F598">
        <v>653</v>
      </c>
      <c r="G598" t="s">
        <v>5</v>
      </c>
      <c r="H598" s="1">
        <f t="shared" si="142"/>
        <v>36841.104166668112</v>
      </c>
      <c r="I598">
        <f t="shared" si="143"/>
        <v>3.1602000000000001</v>
      </c>
      <c r="J598">
        <f t="shared" si="144"/>
        <v>6.9648000000000003</v>
      </c>
      <c r="K598">
        <f t="shared" si="145"/>
        <v>43.332999999999998</v>
      </c>
      <c r="L598">
        <f t="shared" si="146"/>
        <v>-5.0484812800000043</v>
      </c>
      <c r="M598">
        <f t="shared" si="147"/>
        <v>229.39699999999999</v>
      </c>
      <c r="O598">
        <v>316</v>
      </c>
      <c r="P598">
        <v>230</v>
      </c>
      <c r="Q598">
        <v>0.73499999999999999</v>
      </c>
      <c r="R598">
        <f t="shared" si="148"/>
        <v>-0.72817602152579841</v>
      </c>
    </row>
    <row r="599" spans="1:18" x14ac:dyDescent="0.25">
      <c r="A599">
        <v>711</v>
      </c>
      <c r="B599">
        <v>47</v>
      </c>
      <c r="C599">
        <v>152</v>
      </c>
      <c r="D599">
        <v>295</v>
      </c>
      <c r="E599">
        <v>463</v>
      </c>
      <c r="F599">
        <v>591</v>
      </c>
      <c r="G599" t="s">
        <v>5</v>
      </c>
      <c r="H599" s="1">
        <f t="shared" si="142"/>
        <v>36841.125000001448</v>
      </c>
      <c r="I599">
        <f t="shared" si="143"/>
        <v>3.9061999999999997</v>
      </c>
      <c r="J599">
        <f t="shared" si="144"/>
        <v>11.7392</v>
      </c>
      <c r="K599">
        <f t="shared" si="145"/>
        <v>28.003</v>
      </c>
      <c r="L599">
        <f t="shared" si="146"/>
        <v>-4.4205226199999998</v>
      </c>
      <c r="M599">
        <f t="shared" si="147"/>
        <v>207.75899999999999</v>
      </c>
      <c r="O599">
        <v>316</v>
      </c>
      <c r="P599">
        <v>300</v>
      </c>
      <c r="Q599">
        <v>0.73</v>
      </c>
      <c r="R599">
        <f t="shared" si="148"/>
        <v>-0.72406892879071383</v>
      </c>
    </row>
    <row r="600" spans="1:18" x14ac:dyDescent="0.25">
      <c r="A600">
        <v>711</v>
      </c>
      <c r="B600">
        <v>57</v>
      </c>
      <c r="C600">
        <v>120</v>
      </c>
      <c r="D600">
        <v>146</v>
      </c>
      <c r="E600">
        <v>458</v>
      </c>
      <c r="F600">
        <v>613</v>
      </c>
      <c r="G600" t="s">
        <v>5</v>
      </c>
      <c r="H600" s="1">
        <f t="shared" si="142"/>
        <v>36841.145833334784</v>
      </c>
      <c r="I600">
        <f t="shared" si="143"/>
        <v>4.6522000000000006</v>
      </c>
      <c r="J600">
        <f t="shared" si="144"/>
        <v>9.3520000000000003</v>
      </c>
      <c r="K600">
        <f t="shared" si="145"/>
        <v>12.775200000000002</v>
      </c>
      <c r="L600">
        <f t="shared" si="146"/>
        <v>-4.8691647200000041</v>
      </c>
      <c r="M600">
        <f t="shared" si="147"/>
        <v>215.43699999999998</v>
      </c>
      <c r="O600">
        <v>316</v>
      </c>
      <c r="P600">
        <v>330</v>
      </c>
      <c r="Q600">
        <v>0.73</v>
      </c>
      <c r="R600">
        <f t="shared" si="148"/>
        <v>-0.72346426214967141</v>
      </c>
    </row>
    <row r="601" spans="1:18" x14ac:dyDescent="0.25">
      <c r="A601">
        <v>711</v>
      </c>
      <c r="B601">
        <v>71</v>
      </c>
      <c r="C601">
        <v>88</v>
      </c>
      <c r="D601">
        <v>658</v>
      </c>
      <c r="E601">
        <v>456</v>
      </c>
      <c r="F601">
        <v>669</v>
      </c>
      <c r="G601" t="s">
        <v>5</v>
      </c>
      <c r="H601" s="1">
        <f t="shared" si="142"/>
        <v>36841.166666668119</v>
      </c>
      <c r="I601">
        <f t="shared" si="143"/>
        <v>5.6966000000000001</v>
      </c>
      <c r="J601">
        <f t="shared" si="144"/>
        <v>6.9648000000000003</v>
      </c>
      <c r="K601">
        <f t="shared" si="145"/>
        <v>65.101600000000005</v>
      </c>
      <c r="L601">
        <f t="shared" si="146"/>
        <v>-5.0484812800000043</v>
      </c>
      <c r="M601">
        <f t="shared" si="147"/>
        <v>234.98099999999999</v>
      </c>
      <c r="O601">
        <v>316</v>
      </c>
      <c r="P601">
        <v>400</v>
      </c>
      <c r="Q601">
        <v>0.73199999999999998</v>
      </c>
      <c r="R601">
        <f t="shared" si="148"/>
        <v>-0.72520387449916246</v>
      </c>
    </row>
    <row r="602" spans="1:18" x14ac:dyDescent="0.25">
      <c r="A602">
        <v>711</v>
      </c>
      <c r="B602">
        <v>44</v>
      </c>
      <c r="C602">
        <v>108</v>
      </c>
      <c r="D602">
        <v>293</v>
      </c>
      <c r="E602">
        <v>456</v>
      </c>
      <c r="F602">
        <v>661</v>
      </c>
      <c r="G602" t="s">
        <v>5</v>
      </c>
      <c r="H602" s="1">
        <f t="shared" si="142"/>
        <v>36841.187500001455</v>
      </c>
      <c r="I602">
        <f t="shared" si="143"/>
        <v>3.6823999999999999</v>
      </c>
      <c r="J602">
        <f t="shared" si="144"/>
        <v>8.4567999999999994</v>
      </c>
      <c r="K602">
        <f t="shared" si="145"/>
        <v>27.7986</v>
      </c>
      <c r="L602">
        <f t="shared" si="146"/>
        <v>-5.0484812800000043</v>
      </c>
      <c r="M602">
        <f t="shared" si="147"/>
        <v>232.18899999999999</v>
      </c>
      <c r="O602">
        <v>316</v>
      </c>
      <c r="P602">
        <v>430</v>
      </c>
      <c r="Q602">
        <v>0.73199999999999998</v>
      </c>
      <c r="R602">
        <f t="shared" si="148"/>
        <v>-0.72520387449916246</v>
      </c>
    </row>
    <row r="603" spans="1:18" x14ac:dyDescent="0.25">
      <c r="A603">
        <v>711</v>
      </c>
      <c r="B603">
        <v>41</v>
      </c>
      <c r="C603">
        <v>96</v>
      </c>
      <c r="D603">
        <v>325</v>
      </c>
      <c r="E603">
        <v>456</v>
      </c>
      <c r="F603">
        <v>637</v>
      </c>
      <c r="G603" t="s">
        <v>5</v>
      </c>
      <c r="H603" s="1">
        <f t="shared" si="142"/>
        <v>36841.208333334791</v>
      </c>
      <c r="I603">
        <f t="shared" si="143"/>
        <v>3.4586000000000001</v>
      </c>
      <c r="J603">
        <f t="shared" si="144"/>
        <v>7.5616000000000003</v>
      </c>
      <c r="K603">
        <f t="shared" si="145"/>
        <v>31.068999999999996</v>
      </c>
      <c r="L603">
        <f t="shared" si="146"/>
        <v>-5.0484812800000043</v>
      </c>
      <c r="M603">
        <f t="shared" si="147"/>
        <v>223.81299999999999</v>
      </c>
      <c r="O603">
        <v>316</v>
      </c>
      <c r="P603">
        <v>500</v>
      </c>
      <c r="Q603">
        <v>0.73499999999999999</v>
      </c>
      <c r="R603">
        <f t="shared" si="148"/>
        <v>-0.72817602152579841</v>
      </c>
    </row>
    <row r="604" spans="1:18" x14ac:dyDescent="0.25">
      <c r="A604">
        <v>711</v>
      </c>
      <c r="B604">
        <v>80</v>
      </c>
      <c r="C604">
        <v>204</v>
      </c>
      <c r="D604">
        <v>945</v>
      </c>
      <c r="E604">
        <v>454</v>
      </c>
      <c r="F604">
        <v>639</v>
      </c>
      <c r="G604" t="s">
        <v>5</v>
      </c>
      <c r="H604" s="1">
        <f t="shared" si="142"/>
        <v>36841.229166668127</v>
      </c>
      <c r="I604">
        <f t="shared" si="143"/>
        <v>6.3680000000000003</v>
      </c>
      <c r="J604">
        <f t="shared" si="144"/>
        <v>15.618399999999999</v>
      </c>
      <c r="K604">
        <f t="shared" si="145"/>
        <v>94.432999999999993</v>
      </c>
      <c r="L604">
        <f t="shared" si="146"/>
        <v>-5.2277176799999996</v>
      </c>
      <c r="M604">
        <f t="shared" si="147"/>
        <v>224.511</v>
      </c>
      <c r="O604">
        <v>316</v>
      </c>
      <c r="P604">
        <v>530</v>
      </c>
      <c r="Q604">
        <v>0.73499999999999999</v>
      </c>
      <c r="R604">
        <f t="shared" si="148"/>
        <v>-0.72793257368877673</v>
      </c>
    </row>
    <row r="605" spans="1:18" x14ac:dyDescent="0.25">
      <c r="A605">
        <v>711</v>
      </c>
      <c r="B605">
        <v>76</v>
      </c>
      <c r="C605">
        <v>256</v>
      </c>
      <c r="D605">
        <v>646</v>
      </c>
      <c r="E605">
        <v>450</v>
      </c>
      <c r="F605">
        <v>633</v>
      </c>
      <c r="G605" t="s">
        <v>5</v>
      </c>
      <c r="H605" s="1">
        <f t="shared" si="142"/>
        <v>36841.250000001462</v>
      </c>
      <c r="I605">
        <f t="shared" si="143"/>
        <v>6.0696000000000003</v>
      </c>
      <c r="J605">
        <f t="shared" si="144"/>
        <v>19.497599999999998</v>
      </c>
      <c r="K605">
        <f t="shared" si="145"/>
        <v>63.875199999999992</v>
      </c>
      <c r="L605">
        <f t="shared" si="146"/>
        <v>-5.5859500000000022</v>
      </c>
      <c r="M605">
        <f t="shared" si="147"/>
        <v>222.41699999999997</v>
      </c>
      <c r="O605">
        <v>316</v>
      </c>
      <c r="P605">
        <v>600</v>
      </c>
      <c r="Q605">
        <v>0.73699999999999999</v>
      </c>
      <c r="R605">
        <f t="shared" si="148"/>
        <v>-0.72942520474859751</v>
      </c>
    </row>
    <row r="606" spans="1:18" x14ac:dyDescent="0.25">
      <c r="A606">
        <v>711</v>
      </c>
      <c r="B606">
        <v>72</v>
      </c>
      <c r="C606">
        <v>160</v>
      </c>
      <c r="D606">
        <v>251</v>
      </c>
      <c r="E606">
        <v>454</v>
      </c>
      <c r="F606">
        <v>637</v>
      </c>
      <c r="G606" t="s">
        <v>5</v>
      </c>
      <c r="H606" s="1">
        <f t="shared" si="142"/>
        <v>36841.270833334798</v>
      </c>
      <c r="I606">
        <f t="shared" ref="I606:J609" si="149">0.4+0.0746*B606</f>
        <v>5.7712000000000003</v>
      </c>
      <c r="J606">
        <f t="shared" si="149"/>
        <v>12.336</v>
      </c>
      <c r="K606">
        <f t="shared" ref="K606:K615" si="150">-2.146+0.1022*D606</f>
        <v>23.5062</v>
      </c>
      <c r="L606">
        <f t="shared" ref="L606:L615" si="151">-43.84+0.0805*E606+0.00001002*E606^2</f>
        <v>-5.2277176799999996</v>
      </c>
      <c r="M606">
        <f t="shared" ref="M606:M615" si="152">1.5+0.349*F606</f>
        <v>223.81299999999999</v>
      </c>
      <c r="O606">
        <v>316</v>
      </c>
      <c r="P606">
        <v>630</v>
      </c>
      <c r="Q606">
        <v>0.73499999999999999</v>
      </c>
      <c r="R606">
        <f t="shared" si="148"/>
        <v>-0.72793257368877673</v>
      </c>
    </row>
    <row r="607" spans="1:18" x14ac:dyDescent="0.25">
      <c r="A607">
        <v>11</v>
      </c>
      <c r="B607">
        <v>79</v>
      </c>
      <c r="C607">
        <v>156</v>
      </c>
      <c r="D607">
        <v>868</v>
      </c>
      <c r="E607">
        <v>459</v>
      </c>
      <c r="F607">
        <v>573</v>
      </c>
      <c r="G607" t="s">
        <v>5</v>
      </c>
      <c r="H607" s="1">
        <f t="shared" si="142"/>
        <v>36841.291666668134</v>
      </c>
      <c r="I607">
        <f t="shared" si="149"/>
        <v>6.2934000000000001</v>
      </c>
      <c r="J607">
        <f t="shared" si="149"/>
        <v>12.037599999999999</v>
      </c>
      <c r="K607">
        <f t="shared" si="150"/>
        <v>86.563599999999994</v>
      </c>
      <c r="L607">
        <f t="shared" si="151"/>
        <v>-4.7794763800000029</v>
      </c>
      <c r="M607">
        <f t="shared" si="152"/>
        <v>201.47699999999998</v>
      </c>
      <c r="O607">
        <v>316</v>
      </c>
      <c r="P607">
        <v>700</v>
      </c>
      <c r="Q607">
        <v>0.74</v>
      </c>
      <c r="R607">
        <f t="shared" si="148"/>
        <v>-0.73349730764807208</v>
      </c>
    </row>
    <row r="608" spans="1:18" x14ac:dyDescent="0.25">
      <c r="A608">
        <v>11</v>
      </c>
      <c r="B608">
        <v>67</v>
      </c>
      <c r="C608">
        <v>200</v>
      </c>
      <c r="D608">
        <v>199</v>
      </c>
      <c r="E608">
        <v>458</v>
      </c>
      <c r="F608">
        <v>653</v>
      </c>
      <c r="G608" t="s">
        <v>5</v>
      </c>
      <c r="H608" s="1">
        <f t="shared" si="142"/>
        <v>36841.31250000147</v>
      </c>
      <c r="I608">
        <f t="shared" si="149"/>
        <v>5.3982000000000001</v>
      </c>
      <c r="J608">
        <f t="shared" si="149"/>
        <v>15.32</v>
      </c>
      <c r="K608">
        <f t="shared" si="150"/>
        <v>18.191800000000001</v>
      </c>
      <c r="L608">
        <f t="shared" si="151"/>
        <v>-4.8691647200000041</v>
      </c>
      <c r="M608">
        <f t="shared" si="152"/>
        <v>229.39699999999999</v>
      </c>
      <c r="O608">
        <v>316</v>
      </c>
      <c r="P608">
        <v>730</v>
      </c>
      <c r="Q608">
        <v>0.73699999999999999</v>
      </c>
      <c r="R608">
        <f t="shared" si="148"/>
        <v>-0.73040159069083266</v>
      </c>
    </row>
    <row r="609" spans="1:18" x14ac:dyDescent="0.25">
      <c r="A609">
        <v>11</v>
      </c>
      <c r="B609">
        <v>61</v>
      </c>
      <c r="C609">
        <v>120</v>
      </c>
      <c r="D609">
        <v>1017</v>
      </c>
      <c r="E609">
        <v>455</v>
      </c>
      <c r="F609">
        <v>785</v>
      </c>
      <c r="G609" t="s">
        <v>5</v>
      </c>
      <c r="H609" s="1">
        <f t="shared" si="142"/>
        <v>36841.333333334806</v>
      </c>
      <c r="I609">
        <f t="shared" si="149"/>
        <v>4.9506000000000006</v>
      </c>
      <c r="J609">
        <f t="shared" si="149"/>
        <v>9.3520000000000003</v>
      </c>
      <c r="K609">
        <f t="shared" si="150"/>
        <v>101.7914</v>
      </c>
      <c r="L609">
        <f t="shared" si="151"/>
        <v>-5.1381095000000059</v>
      </c>
      <c r="M609">
        <f t="shared" si="152"/>
        <v>275.46499999999997</v>
      </c>
      <c r="O609">
        <v>316</v>
      </c>
      <c r="P609">
        <v>800</v>
      </c>
      <c r="Q609">
        <v>0.73699999999999999</v>
      </c>
      <c r="R609">
        <f t="shared" si="148"/>
        <v>-0.73003539429337638</v>
      </c>
    </row>
    <row r="610" spans="1:18" x14ac:dyDescent="0.25">
      <c r="A610">
        <v>11</v>
      </c>
      <c r="B610">
        <v>67</v>
      </c>
      <c r="C610">
        <v>116</v>
      </c>
      <c r="D610">
        <v>276</v>
      </c>
      <c r="E610">
        <v>453</v>
      </c>
      <c r="F610">
        <v>817</v>
      </c>
      <c r="G610" t="s">
        <v>5</v>
      </c>
      <c r="H610" s="1">
        <f t="shared" si="142"/>
        <v>36841.354166668141</v>
      </c>
      <c r="I610">
        <f t="shared" ref="I610:J615" si="153">0.4+0.0746*B610</f>
        <v>5.3982000000000001</v>
      </c>
      <c r="J610">
        <f t="shared" si="153"/>
        <v>9.0536000000000012</v>
      </c>
      <c r="K610">
        <f t="shared" si="150"/>
        <v>26.061199999999999</v>
      </c>
      <c r="L610">
        <f t="shared" si="151"/>
        <v>-5.3173058199999996</v>
      </c>
      <c r="M610">
        <f t="shared" si="152"/>
        <v>286.63299999999998</v>
      </c>
      <c r="O610">
        <v>316</v>
      </c>
      <c r="P610">
        <v>830</v>
      </c>
      <c r="Q610">
        <v>0.73699999999999999</v>
      </c>
      <c r="R610">
        <f t="shared" si="148"/>
        <v>-0.72979129779053553</v>
      </c>
    </row>
    <row r="611" spans="1:18" x14ac:dyDescent="0.25">
      <c r="A611">
        <v>11</v>
      </c>
      <c r="B611">
        <v>75</v>
      </c>
      <c r="C611">
        <v>124</v>
      </c>
      <c r="D611">
        <v>170</v>
      </c>
      <c r="E611">
        <v>453</v>
      </c>
      <c r="F611">
        <v>769</v>
      </c>
      <c r="G611" t="s">
        <v>5</v>
      </c>
      <c r="H611" s="1">
        <f t="shared" si="142"/>
        <v>36841.375000001477</v>
      </c>
      <c r="I611">
        <f t="shared" si="153"/>
        <v>5.9950000000000001</v>
      </c>
      <c r="J611">
        <f t="shared" si="153"/>
        <v>9.6503999999999994</v>
      </c>
      <c r="K611">
        <f t="shared" si="150"/>
        <v>15.227999999999998</v>
      </c>
      <c r="L611">
        <f t="shared" si="151"/>
        <v>-5.3173058199999996</v>
      </c>
      <c r="M611">
        <f t="shared" si="152"/>
        <v>269.88099999999997</v>
      </c>
      <c r="O611">
        <v>316</v>
      </c>
      <c r="P611">
        <v>900</v>
      </c>
      <c r="Q611">
        <v>0.73699999999999999</v>
      </c>
      <c r="R611">
        <f t="shared" si="148"/>
        <v>-0.72979129779053553</v>
      </c>
    </row>
    <row r="612" spans="1:18" x14ac:dyDescent="0.25">
      <c r="A612">
        <v>11</v>
      </c>
      <c r="B612">
        <v>22</v>
      </c>
      <c r="C612">
        <v>64</v>
      </c>
      <c r="D612">
        <v>217</v>
      </c>
      <c r="E612">
        <v>455</v>
      </c>
      <c r="F612">
        <v>737</v>
      </c>
      <c r="G612" t="s">
        <v>5</v>
      </c>
      <c r="H612" s="1">
        <f t="shared" si="142"/>
        <v>36841.395833334813</v>
      </c>
      <c r="I612">
        <f t="shared" si="153"/>
        <v>2.0411999999999999</v>
      </c>
      <c r="J612">
        <f t="shared" si="153"/>
        <v>5.1744000000000003</v>
      </c>
      <c r="K612">
        <f t="shared" si="150"/>
        <v>20.031399999999998</v>
      </c>
      <c r="L612">
        <f t="shared" si="151"/>
        <v>-5.1381095000000059</v>
      </c>
      <c r="M612">
        <f t="shared" si="152"/>
        <v>258.71299999999997</v>
      </c>
      <c r="O612">
        <v>316</v>
      </c>
      <c r="P612">
        <v>930</v>
      </c>
      <c r="Q612">
        <v>0.745</v>
      </c>
      <c r="R612">
        <f t="shared" si="148"/>
        <v>-0.73795979477417284</v>
      </c>
    </row>
    <row r="613" spans="1:18" x14ac:dyDescent="0.25">
      <c r="A613">
        <v>11</v>
      </c>
      <c r="B613">
        <v>25</v>
      </c>
      <c r="C613">
        <v>68</v>
      </c>
      <c r="D613">
        <v>15</v>
      </c>
      <c r="E613">
        <v>460</v>
      </c>
      <c r="F613">
        <v>745</v>
      </c>
      <c r="G613" t="s">
        <v>5</v>
      </c>
      <c r="H613" s="1">
        <f t="shared" si="142"/>
        <v>36841.416666668149</v>
      </c>
      <c r="I613">
        <f t="shared" si="153"/>
        <v>2.2650000000000001</v>
      </c>
      <c r="J613">
        <f t="shared" si="153"/>
        <v>5.4728000000000003</v>
      </c>
      <c r="K613">
        <f t="shared" si="150"/>
        <v>-0.61299999999999999</v>
      </c>
      <c r="L613">
        <f t="shared" si="151"/>
        <v>-4.6897680000000026</v>
      </c>
      <c r="M613">
        <f t="shared" si="152"/>
        <v>261.505</v>
      </c>
      <c r="O613">
        <v>316</v>
      </c>
      <c r="P613">
        <v>1000</v>
      </c>
      <c r="Q613">
        <v>0.73699999999999999</v>
      </c>
      <c r="R613">
        <f t="shared" si="148"/>
        <v>-0.73064575601100412</v>
      </c>
    </row>
    <row r="614" spans="1:18" x14ac:dyDescent="0.25">
      <c r="A614">
        <v>11</v>
      </c>
      <c r="B614">
        <v>35</v>
      </c>
      <c r="C614">
        <v>96</v>
      </c>
      <c r="D614">
        <v>966</v>
      </c>
      <c r="E614">
        <v>460</v>
      </c>
      <c r="F614">
        <v>801</v>
      </c>
      <c r="G614" t="s">
        <v>5</v>
      </c>
      <c r="H614" s="1">
        <f t="shared" si="142"/>
        <v>36841.437500001484</v>
      </c>
      <c r="I614">
        <f t="shared" si="153"/>
        <v>3.0109999999999997</v>
      </c>
      <c r="J614">
        <f t="shared" si="153"/>
        <v>7.5616000000000003</v>
      </c>
      <c r="K614">
        <f t="shared" si="150"/>
        <v>96.5792</v>
      </c>
      <c r="L614">
        <f t="shared" si="151"/>
        <v>-4.6897680000000026</v>
      </c>
      <c r="M614">
        <f t="shared" si="152"/>
        <v>281.04899999999998</v>
      </c>
      <c r="O614">
        <v>316</v>
      </c>
      <c r="P614">
        <v>1030</v>
      </c>
      <c r="Q614">
        <v>0.73699999999999999</v>
      </c>
      <c r="R614">
        <f t="shared" si="148"/>
        <v>-0.73064575601100412</v>
      </c>
    </row>
    <row r="615" spans="1:18" x14ac:dyDescent="0.25">
      <c r="A615">
        <v>11</v>
      </c>
      <c r="B615">
        <v>42</v>
      </c>
      <c r="C615">
        <v>200</v>
      </c>
      <c r="D615">
        <v>950</v>
      </c>
      <c r="E615">
        <v>454</v>
      </c>
      <c r="F615">
        <v>753</v>
      </c>
      <c r="G615" t="s">
        <v>5</v>
      </c>
      <c r="H615" s="1">
        <f t="shared" si="142"/>
        <v>36841.45833333482</v>
      </c>
      <c r="I615">
        <f t="shared" si="153"/>
        <v>3.5331999999999999</v>
      </c>
      <c r="J615">
        <f t="shared" si="153"/>
        <v>15.32</v>
      </c>
      <c r="K615">
        <f t="shared" si="150"/>
        <v>94.944000000000003</v>
      </c>
      <c r="L615">
        <f t="shared" si="151"/>
        <v>-5.2277176799999996</v>
      </c>
      <c r="M615">
        <f t="shared" si="152"/>
        <v>264.29699999999997</v>
      </c>
      <c r="O615">
        <v>316</v>
      </c>
      <c r="P615">
        <v>1100</v>
      </c>
      <c r="Q615">
        <v>0.74</v>
      </c>
      <c r="R615">
        <f t="shared" si="148"/>
        <v>-0.73288449595876848</v>
      </c>
    </row>
    <row r="616" spans="1:18" x14ac:dyDescent="0.25">
      <c r="A616">
        <v>11</v>
      </c>
      <c r="B616">
        <v>39</v>
      </c>
      <c r="C616">
        <v>76</v>
      </c>
      <c r="D616">
        <v>879</v>
      </c>
      <c r="E616">
        <v>453</v>
      </c>
      <c r="F616">
        <v>833</v>
      </c>
      <c r="G616" t="s">
        <v>5</v>
      </c>
      <c r="H616" s="1">
        <f t="shared" si="142"/>
        <v>36841.479166668156</v>
      </c>
      <c r="I616">
        <f t="shared" ref="I616:I627" si="154">0.4+0.0746*B616</f>
        <v>3.3093999999999997</v>
      </c>
      <c r="J616">
        <f t="shared" ref="J616:J627" si="155">0.4+0.0746*C616</f>
        <v>6.0696000000000003</v>
      </c>
      <c r="K616">
        <f t="shared" ref="K616:K627" si="156">-2.146+0.1022*D616</f>
        <v>87.687799999999996</v>
      </c>
      <c r="L616">
        <f t="shared" ref="L616:L627" si="157">-43.84+0.0805*E616+0.00001002*E616^2</f>
        <v>-5.3173058199999996</v>
      </c>
      <c r="M616">
        <f t="shared" ref="M616:M627" si="158">1.5+0.349*F616</f>
        <v>292.21699999999998</v>
      </c>
      <c r="O616">
        <v>316</v>
      </c>
      <c r="P616">
        <v>1130</v>
      </c>
      <c r="Q616">
        <v>0.73699999999999999</v>
      </c>
      <c r="R616">
        <f t="shared" si="148"/>
        <v>-0.72979129779053553</v>
      </c>
    </row>
    <row r="617" spans="1:18" x14ac:dyDescent="0.25">
      <c r="A617">
        <v>11</v>
      </c>
      <c r="B617">
        <v>58</v>
      </c>
      <c r="C617">
        <v>172</v>
      </c>
      <c r="D617">
        <v>924</v>
      </c>
      <c r="E617">
        <v>457</v>
      </c>
      <c r="F617">
        <v>825</v>
      </c>
      <c r="G617" t="s">
        <v>5</v>
      </c>
      <c r="H617" s="1">
        <f t="shared" si="142"/>
        <v>36841.500000001492</v>
      </c>
      <c r="I617">
        <f t="shared" si="154"/>
        <v>4.7268000000000008</v>
      </c>
      <c r="J617">
        <f t="shared" si="155"/>
        <v>13.231199999999999</v>
      </c>
      <c r="K617">
        <f t="shared" si="156"/>
        <v>92.286799999999999</v>
      </c>
      <c r="L617">
        <f t="shared" si="157"/>
        <v>-4.9588330200000037</v>
      </c>
      <c r="M617">
        <f t="shared" si="158"/>
        <v>289.42499999999995</v>
      </c>
      <c r="O617">
        <v>316</v>
      </c>
      <c r="P617">
        <v>1200</v>
      </c>
      <c r="Q617">
        <v>0.73699999999999999</v>
      </c>
      <c r="R617">
        <f t="shared" si="148"/>
        <v>-0.73027951834385818</v>
      </c>
    </row>
    <row r="618" spans="1:18" x14ac:dyDescent="0.25">
      <c r="A618">
        <v>11</v>
      </c>
      <c r="B618">
        <v>33</v>
      </c>
      <c r="C618">
        <v>68</v>
      </c>
      <c r="D618">
        <v>36</v>
      </c>
      <c r="E618">
        <v>462</v>
      </c>
      <c r="F618">
        <v>733</v>
      </c>
      <c r="G618" t="s">
        <v>5</v>
      </c>
      <c r="H618" s="1">
        <f t="shared" si="142"/>
        <v>36841.520833334827</v>
      </c>
      <c r="I618">
        <f t="shared" si="154"/>
        <v>2.8618000000000001</v>
      </c>
      <c r="J618">
        <f t="shared" si="155"/>
        <v>5.4728000000000003</v>
      </c>
      <c r="K618">
        <f t="shared" si="156"/>
        <v>1.5331999999999999</v>
      </c>
      <c r="L618">
        <f t="shared" si="157"/>
        <v>-4.5102911200000007</v>
      </c>
      <c r="M618">
        <f t="shared" si="158"/>
        <v>257.31700000000001</v>
      </c>
      <c r="O618">
        <v>316</v>
      </c>
      <c r="P618">
        <v>1230</v>
      </c>
      <c r="Q618">
        <v>0.73699999999999999</v>
      </c>
      <c r="R618">
        <f t="shared" si="148"/>
        <v>-0.7308899488098366</v>
      </c>
    </row>
    <row r="619" spans="1:18" x14ac:dyDescent="0.25">
      <c r="A619">
        <v>1</v>
      </c>
      <c r="B619">
        <v>30</v>
      </c>
      <c r="C619">
        <v>64</v>
      </c>
      <c r="D619">
        <v>893</v>
      </c>
      <c r="E619">
        <v>457</v>
      </c>
      <c r="F619">
        <v>805</v>
      </c>
      <c r="G619" t="s">
        <v>5</v>
      </c>
      <c r="H619" s="1">
        <f t="shared" si="142"/>
        <v>36841.541666668163</v>
      </c>
      <c r="I619">
        <f t="shared" si="154"/>
        <v>2.6379999999999999</v>
      </c>
      <c r="J619">
        <f t="shared" si="155"/>
        <v>5.1744000000000003</v>
      </c>
      <c r="K619">
        <f t="shared" si="156"/>
        <v>89.118600000000001</v>
      </c>
      <c r="L619">
        <f t="shared" si="157"/>
        <v>-4.9588330200000037</v>
      </c>
      <c r="M619">
        <f t="shared" si="158"/>
        <v>282.44499999999999</v>
      </c>
      <c r="O619">
        <v>316</v>
      </c>
      <c r="P619">
        <v>1300</v>
      </c>
      <c r="Q619">
        <v>0.74199999999999999</v>
      </c>
      <c r="R619">
        <f t="shared" si="148"/>
        <v>-0.73523392484551264</v>
      </c>
    </row>
    <row r="620" spans="1:18" x14ac:dyDescent="0.25">
      <c r="A620">
        <v>1</v>
      </c>
      <c r="B620">
        <v>31</v>
      </c>
      <c r="C620">
        <v>108</v>
      </c>
      <c r="D620">
        <v>637</v>
      </c>
      <c r="E620">
        <v>459</v>
      </c>
      <c r="F620">
        <v>801</v>
      </c>
      <c r="G620" t="s">
        <v>5</v>
      </c>
      <c r="H620" s="1">
        <f t="shared" si="142"/>
        <v>36841.562500001499</v>
      </c>
      <c r="I620">
        <f t="shared" si="154"/>
        <v>2.7125999999999997</v>
      </c>
      <c r="J620">
        <f t="shared" si="155"/>
        <v>8.4567999999999994</v>
      </c>
      <c r="K620">
        <f t="shared" si="156"/>
        <v>62.955399999999997</v>
      </c>
      <c r="L620">
        <f t="shared" si="157"/>
        <v>-4.7794763800000029</v>
      </c>
      <c r="M620">
        <f t="shared" si="158"/>
        <v>281.04899999999998</v>
      </c>
      <c r="O620">
        <v>316</v>
      </c>
      <c r="P620">
        <v>1330</v>
      </c>
      <c r="Q620">
        <v>0.74199999999999999</v>
      </c>
      <c r="R620">
        <f t="shared" si="148"/>
        <v>-0.73547973280387768</v>
      </c>
    </row>
    <row r="621" spans="1:18" x14ac:dyDescent="0.25">
      <c r="A621">
        <v>7</v>
      </c>
      <c r="B621">
        <v>46</v>
      </c>
      <c r="C621">
        <v>132</v>
      </c>
      <c r="D621">
        <v>585</v>
      </c>
      <c r="E621">
        <v>465</v>
      </c>
      <c r="F621">
        <v>641</v>
      </c>
      <c r="G621" t="s">
        <v>5</v>
      </c>
      <c r="H621" s="1">
        <f t="shared" si="142"/>
        <v>36841.583333334835</v>
      </c>
      <c r="I621">
        <f t="shared" si="154"/>
        <v>3.8315999999999999</v>
      </c>
      <c r="J621">
        <f t="shared" si="155"/>
        <v>10.247200000000001</v>
      </c>
      <c r="K621">
        <f t="shared" si="156"/>
        <v>57.640999999999998</v>
      </c>
      <c r="L621">
        <f t="shared" si="157"/>
        <v>-4.2409255000000057</v>
      </c>
      <c r="M621">
        <f t="shared" si="158"/>
        <v>225.20899999999997</v>
      </c>
      <c r="O621">
        <v>316</v>
      </c>
      <c r="P621">
        <v>1400</v>
      </c>
      <c r="Q621">
        <v>0.73499999999999999</v>
      </c>
      <c r="R621">
        <f t="shared" si="148"/>
        <v>-0.72927187620177925</v>
      </c>
    </row>
    <row r="622" spans="1:18" x14ac:dyDescent="0.25">
      <c r="A622">
        <v>7</v>
      </c>
      <c r="B622">
        <v>86</v>
      </c>
      <c r="C622">
        <v>220</v>
      </c>
      <c r="D622">
        <v>630</v>
      </c>
      <c r="E622">
        <v>461</v>
      </c>
      <c r="F622">
        <v>617</v>
      </c>
      <c r="G622" t="s">
        <v>5</v>
      </c>
      <c r="H622" s="1">
        <f t="shared" si="142"/>
        <v>36841.60416666817</v>
      </c>
      <c r="I622">
        <f t="shared" si="154"/>
        <v>6.8155999999999999</v>
      </c>
      <c r="J622">
        <f t="shared" si="155"/>
        <v>16.811999999999998</v>
      </c>
      <c r="K622">
        <f t="shared" si="156"/>
        <v>62.239999999999995</v>
      </c>
      <c r="L622">
        <f t="shared" si="157"/>
        <v>-4.6000395800000016</v>
      </c>
      <c r="M622">
        <f t="shared" si="158"/>
        <v>216.833</v>
      </c>
      <c r="O622">
        <v>316</v>
      </c>
      <c r="P622">
        <v>1430</v>
      </c>
      <c r="Q622">
        <v>0.73699999999999999</v>
      </c>
      <c r="R622">
        <f t="shared" si="148"/>
        <v>-0.7307678489773094</v>
      </c>
    </row>
    <row r="623" spans="1:18" x14ac:dyDescent="0.25">
      <c r="A623">
        <v>7</v>
      </c>
      <c r="B623">
        <v>112</v>
      </c>
      <c r="C623">
        <v>260</v>
      </c>
      <c r="D623">
        <v>600</v>
      </c>
      <c r="E623">
        <v>453</v>
      </c>
      <c r="F623">
        <v>689</v>
      </c>
      <c r="G623" t="s">
        <v>5</v>
      </c>
      <c r="H623" s="1">
        <f t="shared" si="142"/>
        <v>36841.625000001506</v>
      </c>
      <c r="I623">
        <f t="shared" si="154"/>
        <v>8.7552000000000003</v>
      </c>
      <c r="J623">
        <f t="shared" si="155"/>
        <v>19.795999999999999</v>
      </c>
      <c r="K623">
        <f t="shared" si="156"/>
        <v>59.173999999999999</v>
      </c>
      <c r="L623">
        <f t="shared" si="157"/>
        <v>-5.3173058199999996</v>
      </c>
      <c r="M623">
        <f t="shared" si="158"/>
        <v>241.96099999999998</v>
      </c>
      <c r="O623">
        <v>316</v>
      </c>
      <c r="P623">
        <v>1500</v>
      </c>
      <c r="Q623">
        <v>0.72499999999999998</v>
      </c>
      <c r="R623">
        <f t="shared" si="148"/>
        <v>-0.71790867150357973</v>
      </c>
    </row>
    <row r="624" spans="1:18" x14ac:dyDescent="0.25">
      <c r="A624">
        <v>7</v>
      </c>
      <c r="B624">
        <v>125</v>
      </c>
      <c r="C624">
        <v>260</v>
      </c>
      <c r="D624">
        <v>704</v>
      </c>
      <c r="E624">
        <v>450</v>
      </c>
      <c r="F624">
        <v>701</v>
      </c>
      <c r="G624" t="s">
        <v>5</v>
      </c>
      <c r="H624" s="1">
        <f t="shared" si="142"/>
        <v>36841.645833334842</v>
      </c>
      <c r="I624">
        <f t="shared" si="154"/>
        <v>9.7249999999999996</v>
      </c>
      <c r="J624">
        <f t="shared" si="155"/>
        <v>19.795999999999999</v>
      </c>
      <c r="K624">
        <f t="shared" si="156"/>
        <v>69.802800000000005</v>
      </c>
      <c r="L624">
        <f t="shared" si="157"/>
        <v>-5.5859500000000022</v>
      </c>
      <c r="M624">
        <f t="shared" si="158"/>
        <v>246.14899999999997</v>
      </c>
      <c r="O624">
        <v>316</v>
      </c>
      <c r="P624">
        <v>1530</v>
      </c>
      <c r="Q624">
        <v>0.73499999999999999</v>
      </c>
      <c r="R624">
        <f t="shared" si="148"/>
        <v>-0.72744576050233267</v>
      </c>
    </row>
    <row r="625" spans="1:18" x14ac:dyDescent="0.25">
      <c r="A625">
        <v>7</v>
      </c>
      <c r="B625">
        <v>92</v>
      </c>
      <c r="C625">
        <v>216</v>
      </c>
      <c r="D625">
        <v>652</v>
      </c>
      <c r="E625">
        <v>466</v>
      </c>
      <c r="F625">
        <v>589</v>
      </c>
      <c r="G625" t="s">
        <v>5</v>
      </c>
      <c r="H625" s="1">
        <f t="shared" si="142"/>
        <v>36841.666666668178</v>
      </c>
      <c r="I625">
        <f t="shared" si="154"/>
        <v>7.2632000000000003</v>
      </c>
      <c r="J625">
        <f t="shared" si="155"/>
        <v>16.513599999999997</v>
      </c>
      <c r="K625">
        <f t="shared" si="156"/>
        <v>64.488399999999999</v>
      </c>
      <c r="L625">
        <f t="shared" si="157"/>
        <v>-4.1510968800000052</v>
      </c>
      <c r="M625">
        <f t="shared" si="158"/>
        <v>207.06099999999998</v>
      </c>
      <c r="O625">
        <v>316</v>
      </c>
      <c r="P625">
        <v>1600</v>
      </c>
      <c r="Q625">
        <v>0.73499999999999999</v>
      </c>
      <c r="R625">
        <f t="shared" si="148"/>
        <v>-0.72939367204754268</v>
      </c>
    </row>
    <row r="626" spans="1:18" x14ac:dyDescent="0.25">
      <c r="A626">
        <v>7</v>
      </c>
      <c r="B626">
        <v>79</v>
      </c>
      <c r="C626">
        <v>180</v>
      </c>
      <c r="D626">
        <v>720</v>
      </c>
      <c r="E626">
        <v>474</v>
      </c>
      <c r="F626">
        <v>553</v>
      </c>
      <c r="G626" t="s">
        <v>5</v>
      </c>
      <c r="H626" s="1">
        <f t="shared" si="142"/>
        <v>36841.687500001513</v>
      </c>
      <c r="I626">
        <f t="shared" si="154"/>
        <v>6.2934000000000001</v>
      </c>
      <c r="J626">
        <f t="shared" si="155"/>
        <v>13.828000000000001</v>
      </c>
      <c r="K626">
        <f t="shared" si="156"/>
        <v>71.438000000000002</v>
      </c>
      <c r="L626">
        <f t="shared" si="157"/>
        <v>-3.4317464799999997</v>
      </c>
      <c r="M626">
        <f t="shared" si="158"/>
        <v>194.49699999999999</v>
      </c>
      <c r="O626">
        <v>316</v>
      </c>
      <c r="P626">
        <v>1630</v>
      </c>
      <c r="Q626">
        <v>0.72499999999999998</v>
      </c>
      <c r="R626">
        <f t="shared" si="148"/>
        <v>-0.72043130096137942</v>
      </c>
    </row>
    <row r="627" spans="1:18" x14ac:dyDescent="0.25">
      <c r="A627">
        <v>7</v>
      </c>
      <c r="B627">
        <v>100</v>
      </c>
      <c r="C627">
        <v>200</v>
      </c>
      <c r="D627">
        <v>678</v>
      </c>
      <c r="E627">
        <v>463</v>
      </c>
      <c r="F627">
        <v>601</v>
      </c>
      <c r="G627" t="s">
        <v>5</v>
      </c>
      <c r="H627" s="1">
        <f t="shared" si="142"/>
        <v>36841.708333334849</v>
      </c>
      <c r="I627">
        <f t="shared" si="154"/>
        <v>7.86</v>
      </c>
      <c r="J627">
        <f t="shared" si="155"/>
        <v>15.32</v>
      </c>
      <c r="K627">
        <f t="shared" si="156"/>
        <v>67.145600000000002</v>
      </c>
      <c r="L627">
        <f t="shared" si="157"/>
        <v>-4.4205226199999998</v>
      </c>
      <c r="M627">
        <f t="shared" si="158"/>
        <v>211.249</v>
      </c>
      <c r="O627">
        <v>316</v>
      </c>
      <c r="P627">
        <v>1700</v>
      </c>
      <c r="Q627">
        <v>0.73</v>
      </c>
      <c r="R627">
        <f t="shared" si="148"/>
        <v>-0.72406892879071383</v>
      </c>
    </row>
    <row r="628" spans="1:18" x14ac:dyDescent="0.25">
      <c r="A628">
        <v>7</v>
      </c>
      <c r="B628">
        <v>67</v>
      </c>
      <c r="C628">
        <v>176</v>
      </c>
      <c r="D628">
        <v>648</v>
      </c>
      <c r="E628">
        <v>465</v>
      </c>
      <c r="F628">
        <v>609</v>
      </c>
      <c r="G628" t="s">
        <v>5</v>
      </c>
      <c r="H628" s="1">
        <f t="shared" si="142"/>
        <v>36841.729166668185</v>
      </c>
      <c r="I628">
        <f>0.4+0.0746*B628</f>
        <v>5.3982000000000001</v>
      </c>
      <c r="J628">
        <f>0.4+0.0746*C628</f>
        <v>13.5296</v>
      </c>
      <c r="K628">
        <f>-2.146+0.1022*D628</f>
        <v>64.079599999999999</v>
      </c>
      <c r="L628">
        <f>-43.84+0.0805*E628+0.00001002*E628^2</f>
        <v>-4.2409255000000057</v>
      </c>
      <c r="M628">
        <f>1.5+0.349*F628</f>
        <v>214.041</v>
      </c>
      <c r="O628">
        <v>316</v>
      </c>
      <c r="P628">
        <v>1730</v>
      </c>
      <c r="Q628">
        <v>0.74</v>
      </c>
      <c r="R628">
        <f t="shared" si="148"/>
        <v>-0.73423290937321994</v>
      </c>
    </row>
    <row r="629" spans="1:18" x14ac:dyDescent="0.25">
      <c r="A629">
        <v>7</v>
      </c>
      <c r="B629">
        <v>64</v>
      </c>
      <c r="C629">
        <v>168</v>
      </c>
      <c r="D629">
        <v>883</v>
      </c>
      <c r="E629">
        <v>467</v>
      </c>
      <c r="F629">
        <v>625</v>
      </c>
      <c r="G629" t="s">
        <v>5</v>
      </c>
      <c r="H629" s="1">
        <f t="shared" si="142"/>
        <v>36841.750000001521</v>
      </c>
      <c r="I629">
        <f t="shared" ref="I629:I640" si="159">0.4+0.0746*B629</f>
        <v>5.1744000000000003</v>
      </c>
      <c r="J629">
        <f t="shared" ref="J629:J640" si="160">0.4+0.0746*C629</f>
        <v>12.9328</v>
      </c>
      <c r="K629">
        <f t="shared" ref="K629:K640" si="161">-2.146+0.1022*D629</f>
        <v>88.096599999999995</v>
      </c>
      <c r="L629">
        <f t="shared" ref="L629:L640" si="162">-43.84+0.0805*E629+0.00001002*E629^2</f>
        <v>-4.0612482200000048</v>
      </c>
      <c r="M629">
        <f t="shared" ref="M629:M640" si="163">1.5+0.349*F629</f>
        <v>219.62499999999997</v>
      </c>
      <c r="O629">
        <v>316</v>
      </c>
      <c r="P629">
        <v>1800</v>
      </c>
      <c r="Q629">
        <v>0.73499999999999999</v>
      </c>
      <c r="R629">
        <f t="shared" si="148"/>
        <v>-0.72951547472376033</v>
      </c>
    </row>
    <row r="630" spans="1:18" x14ac:dyDescent="0.25">
      <c r="A630">
        <v>7</v>
      </c>
      <c r="B630">
        <v>40</v>
      </c>
      <c r="C630">
        <v>108</v>
      </c>
      <c r="D630">
        <v>856</v>
      </c>
      <c r="E630">
        <v>465</v>
      </c>
      <c r="F630">
        <v>607</v>
      </c>
      <c r="G630" t="s">
        <v>5</v>
      </c>
      <c r="H630" s="1">
        <f t="shared" si="142"/>
        <v>36841.770833334856</v>
      </c>
      <c r="I630">
        <f t="shared" si="159"/>
        <v>3.3839999999999999</v>
      </c>
      <c r="J630">
        <f t="shared" si="160"/>
        <v>8.4567999999999994</v>
      </c>
      <c r="K630">
        <f t="shared" si="161"/>
        <v>85.337199999999996</v>
      </c>
      <c r="L630">
        <f t="shared" si="162"/>
        <v>-4.2409255000000057</v>
      </c>
      <c r="M630">
        <f t="shared" si="163"/>
        <v>213.34299999999999</v>
      </c>
      <c r="O630">
        <v>316</v>
      </c>
      <c r="P630">
        <v>1830</v>
      </c>
      <c r="Q630">
        <v>0.73499999999999999</v>
      </c>
      <c r="R630">
        <f t="shared" si="148"/>
        <v>-0.72927187620177925</v>
      </c>
    </row>
    <row r="631" spans="1:18" x14ac:dyDescent="0.25">
      <c r="A631">
        <v>7</v>
      </c>
      <c r="B631">
        <v>42</v>
      </c>
      <c r="C631">
        <v>80</v>
      </c>
      <c r="D631">
        <v>780</v>
      </c>
      <c r="E631">
        <v>466</v>
      </c>
      <c r="F631">
        <v>605</v>
      </c>
      <c r="G631" t="s">
        <v>5</v>
      </c>
      <c r="H631" s="1">
        <f t="shared" si="142"/>
        <v>36841.791666668192</v>
      </c>
      <c r="I631">
        <f t="shared" si="159"/>
        <v>3.5331999999999999</v>
      </c>
      <c r="J631">
        <f t="shared" si="160"/>
        <v>6.3680000000000003</v>
      </c>
      <c r="K631">
        <f t="shared" si="161"/>
        <v>77.569999999999993</v>
      </c>
      <c r="L631">
        <f t="shared" si="162"/>
        <v>-4.1510968800000052</v>
      </c>
      <c r="M631">
        <f t="shared" si="163"/>
        <v>212.64499999999998</v>
      </c>
      <c r="O631">
        <v>316</v>
      </c>
      <c r="P631">
        <v>1900</v>
      </c>
      <c r="Q631">
        <v>0.73499999999999999</v>
      </c>
      <c r="R631">
        <f t="shared" si="148"/>
        <v>-0.72939367204754268</v>
      </c>
    </row>
    <row r="632" spans="1:18" x14ac:dyDescent="0.25">
      <c r="A632">
        <v>7</v>
      </c>
      <c r="B632">
        <v>42</v>
      </c>
      <c r="C632">
        <v>64</v>
      </c>
      <c r="D632">
        <v>944</v>
      </c>
      <c r="E632">
        <v>454</v>
      </c>
      <c r="F632">
        <v>617</v>
      </c>
      <c r="G632" t="s">
        <v>5</v>
      </c>
      <c r="H632" s="1">
        <f t="shared" ref="H632:H692" si="164">H631+1/48</f>
        <v>36841.812500001528</v>
      </c>
      <c r="I632">
        <f t="shared" si="159"/>
        <v>3.5331999999999999</v>
      </c>
      <c r="J632">
        <f t="shared" si="160"/>
        <v>5.1744000000000003</v>
      </c>
      <c r="K632">
        <f t="shared" si="161"/>
        <v>94.330799999999996</v>
      </c>
      <c r="L632">
        <f t="shared" si="162"/>
        <v>-5.2277176799999996</v>
      </c>
      <c r="M632">
        <f t="shared" si="163"/>
        <v>216.833</v>
      </c>
      <c r="O632">
        <v>316</v>
      </c>
      <c r="P632">
        <v>1930</v>
      </c>
      <c r="Q632">
        <v>0.73699999999999999</v>
      </c>
      <c r="R632">
        <f t="shared" si="148"/>
        <v>-0.72991334259677343</v>
      </c>
    </row>
    <row r="633" spans="1:18" x14ac:dyDescent="0.25">
      <c r="A633">
        <v>7</v>
      </c>
      <c r="B633">
        <v>38</v>
      </c>
      <c r="C633">
        <v>88</v>
      </c>
      <c r="D633">
        <v>171</v>
      </c>
      <c r="E633">
        <v>461</v>
      </c>
      <c r="F633">
        <v>609</v>
      </c>
      <c r="G633" t="s">
        <v>5</v>
      </c>
      <c r="H633" s="1">
        <f>H632+1/48</f>
        <v>36841.833333334864</v>
      </c>
      <c r="I633">
        <f t="shared" si="159"/>
        <v>3.2347999999999999</v>
      </c>
      <c r="J633">
        <f t="shared" si="160"/>
        <v>6.9648000000000003</v>
      </c>
      <c r="K633">
        <f t="shared" si="161"/>
        <v>15.330199999999998</v>
      </c>
      <c r="L633">
        <f t="shared" si="162"/>
        <v>-4.6000395800000016</v>
      </c>
      <c r="M633">
        <f t="shared" si="163"/>
        <v>214.041</v>
      </c>
      <c r="O633">
        <v>316</v>
      </c>
      <c r="P633">
        <v>2000</v>
      </c>
      <c r="Q633">
        <v>0.73699999999999999</v>
      </c>
      <c r="R633">
        <f t="shared" si="148"/>
        <v>-0.7307678489773094</v>
      </c>
    </row>
    <row r="634" spans="1:18" x14ac:dyDescent="0.25">
      <c r="A634">
        <v>71</v>
      </c>
      <c r="B634">
        <v>47</v>
      </c>
      <c r="C634">
        <v>108</v>
      </c>
      <c r="D634">
        <v>756</v>
      </c>
      <c r="E634">
        <v>441</v>
      </c>
      <c r="F634">
        <v>697</v>
      </c>
      <c r="G634" t="s">
        <v>5</v>
      </c>
      <c r="H634" s="1">
        <f t="shared" si="164"/>
        <v>36841.854166668199</v>
      </c>
      <c r="I634">
        <f t="shared" si="159"/>
        <v>3.9061999999999997</v>
      </c>
      <c r="J634">
        <f t="shared" si="160"/>
        <v>8.4567999999999994</v>
      </c>
      <c r="K634">
        <f t="shared" si="161"/>
        <v>75.117199999999997</v>
      </c>
      <c r="L634">
        <f t="shared" si="162"/>
        <v>-6.3908003800000008</v>
      </c>
      <c r="M634">
        <f t="shared" si="163"/>
        <v>244.75299999999999</v>
      </c>
      <c r="O634">
        <v>316</v>
      </c>
      <c r="P634">
        <v>2030</v>
      </c>
      <c r="Q634">
        <v>0.73499999999999999</v>
      </c>
      <c r="R634">
        <f t="shared" si="148"/>
        <v>-0.7263508339704523</v>
      </c>
    </row>
    <row r="635" spans="1:18" x14ac:dyDescent="0.25">
      <c r="A635">
        <v>71</v>
      </c>
      <c r="B635">
        <v>30</v>
      </c>
      <c r="C635">
        <v>56</v>
      </c>
      <c r="D635">
        <v>898</v>
      </c>
      <c r="E635">
        <v>452</v>
      </c>
      <c r="F635">
        <v>725</v>
      </c>
      <c r="G635" t="s">
        <v>5</v>
      </c>
      <c r="H635" s="1">
        <f t="shared" si="164"/>
        <v>36841.875000001535</v>
      </c>
      <c r="I635">
        <f t="shared" si="159"/>
        <v>2.6379999999999999</v>
      </c>
      <c r="J635">
        <f t="shared" si="160"/>
        <v>4.5776000000000003</v>
      </c>
      <c r="K635">
        <f t="shared" si="161"/>
        <v>89.629599999999996</v>
      </c>
      <c r="L635">
        <f t="shared" si="162"/>
        <v>-5.4068739200000007</v>
      </c>
      <c r="M635">
        <f t="shared" si="163"/>
        <v>254.52499999999998</v>
      </c>
      <c r="O635">
        <v>316</v>
      </c>
      <c r="P635">
        <v>2100</v>
      </c>
      <c r="Q635">
        <v>0.74</v>
      </c>
      <c r="R635">
        <f t="shared" si="148"/>
        <v>-0.73263941968766477</v>
      </c>
    </row>
    <row r="636" spans="1:18" x14ac:dyDescent="0.25">
      <c r="A636">
        <v>71</v>
      </c>
      <c r="B636">
        <v>45</v>
      </c>
      <c r="C636">
        <v>72</v>
      </c>
      <c r="D636">
        <v>752</v>
      </c>
      <c r="E636">
        <v>448</v>
      </c>
      <c r="F636">
        <v>737</v>
      </c>
      <c r="G636" t="s">
        <v>5</v>
      </c>
      <c r="H636" s="1">
        <f t="shared" si="164"/>
        <v>36841.895833334871</v>
      </c>
      <c r="I636">
        <f t="shared" si="159"/>
        <v>3.7570000000000001</v>
      </c>
      <c r="J636">
        <f t="shared" si="160"/>
        <v>5.7712000000000003</v>
      </c>
      <c r="K636">
        <f t="shared" si="161"/>
        <v>74.708399999999997</v>
      </c>
      <c r="L636">
        <f t="shared" si="162"/>
        <v>-5.7649459200000033</v>
      </c>
      <c r="M636">
        <f t="shared" si="163"/>
        <v>258.71299999999997</v>
      </c>
      <c r="O636">
        <v>316</v>
      </c>
      <c r="P636">
        <v>2130</v>
      </c>
      <c r="Q636">
        <v>0.74</v>
      </c>
      <c r="R636">
        <f t="shared" si="148"/>
        <v>-0.73214935027757322</v>
      </c>
    </row>
    <row r="637" spans="1:18" x14ac:dyDescent="0.25">
      <c r="A637">
        <v>71</v>
      </c>
      <c r="B637">
        <v>35</v>
      </c>
      <c r="C637">
        <v>56</v>
      </c>
      <c r="D637">
        <v>758</v>
      </c>
      <c r="E637">
        <v>452</v>
      </c>
      <c r="F637">
        <v>741</v>
      </c>
      <c r="G637" t="s">
        <v>5</v>
      </c>
      <c r="H637" s="1">
        <f t="shared" si="164"/>
        <v>36841.916666668207</v>
      </c>
      <c r="I637">
        <f t="shared" si="159"/>
        <v>3.0109999999999997</v>
      </c>
      <c r="J637">
        <f t="shared" si="160"/>
        <v>4.5776000000000003</v>
      </c>
      <c r="K637">
        <f t="shared" si="161"/>
        <v>75.321600000000004</v>
      </c>
      <c r="L637">
        <f t="shared" si="162"/>
        <v>-5.4068739200000007</v>
      </c>
      <c r="M637">
        <f t="shared" si="163"/>
        <v>260.10899999999998</v>
      </c>
      <c r="O637">
        <v>316</v>
      </c>
      <c r="P637">
        <v>2200</v>
      </c>
      <c r="Q637">
        <v>0.73699999999999999</v>
      </c>
      <c r="R637">
        <f t="shared" si="148"/>
        <v>-0.72966925987812015</v>
      </c>
    </row>
    <row r="638" spans="1:18" x14ac:dyDescent="0.25">
      <c r="A638">
        <v>71</v>
      </c>
      <c r="B638">
        <v>40</v>
      </c>
      <c r="C638">
        <v>60</v>
      </c>
      <c r="D638">
        <v>765</v>
      </c>
      <c r="E638">
        <v>451</v>
      </c>
      <c r="F638">
        <v>768</v>
      </c>
      <c r="G638" t="s">
        <v>5</v>
      </c>
      <c r="H638" s="1">
        <f t="shared" si="164"/>
        <v>36841.937500001543</v>
      </c>
      <c r="I638">
        <f t="shared" si="159"/>
        <v>3.3839999999999999</v>
      </c>
      <c r="J638">
        <f t="shared" si="160"/>
        <v>4.8760000000000003</v>
      </c>
      <c r="K638">
        <f t="shared" si="161"/>
        <v>76.036999999999992</v>
      </c>
      <c r="L638">
        <f t="shared" si="162"/>
        <v>-5.4964219800000009</v>
      </c>
      <c r="M638">
        <f t="shared" si="163"/>
        <v>269.53199999999998</v>
      </c>
      <c r="O638">
        <v>316</v>
      </c>
      <c r="P638">
        <v>2230</v>
      </c>
      <c r="Q638">
        <v>0.74</v>
      </c>
      <c r="R638">
        <f t="shared" si="148"/>
        <v>-0.73251689193841296</v>
      </c>
    </row>
    <row r="639" spans="1:18" x14ac:dyDescent="0.25">
      <c r="A639">
        <v>71</v>
      </c>
      <c r="B639">
        <v>30</v>
      </c>
      <c r="C639">
        <v>76</v>
      </c>
      <c r="D639">
        <v>749</v>
      </c>
      <c r="E639">
        <v>459</v>
      </c>
      <c r="F639">
        <v>697</v>
      </c>
      <c r="G639" t="s">
        <v>5</v>
      </c>
      <c r="H639" s="1">
        <f t="shared" si="164"/>
        <v>36841.958333334878</v>
      </c>
      <c r="I639">
        <f t="shared" si="159"/>
        <v>2.6379999999999999</v>
      </c>
      <c r="J639">
        <f t="shared" si="160"/>
        <v>6.0696000000000003</v>
      </c>
      <c r="K639">
        <f t="shared" si="161"/>
        <v>74.401799999999994</v>
      </c>
      <c r="L639">
        <f t="shared" si="162"/>
        <v>-4.7794763800000029</v>
      </c>
      <c r="M639">
        <f t="shared" si="163"/>
        <v>244.75299999999999</v>
      </c>
      <c r="O639">
        <v>316</v>
      </c>
      <c r="P639">
        <v>2300</v>
      </c>
      <c r="Q639">
        <v>0.73699999999999999</v>
      </c>
      <c r="R639">
        <f t="shared" si="148"/>
        <v>-0.73052366991436368</v>
      </c>
    </row>
    <row r="640" spans="1:18" x14ac:dyDescent="0.25">
      <c r="A640">
        <v>71</v>
      </c>
      <c r="B640">
        <v>27</v>
      </c>
      <c r="C640">
        <v>44</v>
      </c>
      <c r="D640">
        <v>747</v>
      </c>
      <c r="E640">
        <v>457</v>
      </c>
      <c r="F640">
        <v>705</v>
      </c>
      <c r="G640" t="s">
        <v>5</v>
      </c>
      <c r="H640" s="1">
        <f t="shared" si="164"/>
        <v>36841.979166668214</v>
      </c>
      <c r="I640">
        <f t="shared" si="159"/>
        <v>2.4141999999999997</v>
      </c>
      <c r="J640">
        <f t="shared" si="160"/>
        <v>3.6823999999999999</v>
      </c>
      <c r="K640">
        <f t="shared" si="161"/>
        <v>74.197400000000002</v>
      </c>
      <c r="L640">
        <f t="shared" si="162"/>
        <v>-4.9588330200000037</v>
      </c>
      <c r="M640">
        <f t="shared" si="163"/>
        <v>247.54499999999999</v>
      </c>
      <c r="O640">
        <v>316</v>
      </c>
      <c r="P640">
        <v>2330</v>
      </c>
      <c r="Q640">
        <v>0.73699999999999999</v>
      </c>
      <c r="R640">
        <f t="shared" si="148"/>
        <v>-0.73027951834385818</v>
      </c>
    </row>
    <row r="641" spans="1:18" x14ac:dyDescent="0.25">
      <c r="A641">
        <v>711</v>
      </c>
      <c r="B641">
        <v>38</v>
      </c>
      <c r="C641">
        <v>72</v>
      </c>
      <c r="D641">
        <v>730</v>
      </c>
      <c r="E641">
        <v>448</v>
      </c>
      <c r="F641">
        <v>725</v>
      </c>
      <c r="G641" t="s">
        <v>5</v>
      </c>
      <c r="H641" s="1">
        <f t="shared" si="164"/>
        <v>36842.00000000155</v>
      </c>
      <c r="I641">
        <f t="shared" ref="I641:I667" si="165">0.4+0.0746*B641</f>
        <v>3.2347999999999999</v>
      </c>
      <c r="J641">
        <f t="shared" ref="J641:J667" si="166">0.4+0.0746*C641</f>
        <v>5.7712000000000003</v>
      </c>
      <c r="K641">
        <f t="shared" ref="K641:K667" si="167">-2.146+0.1022*D641</f>
        <v>72.459999999999994</v>
      </c>
      <c r="L641">
        <f t="shared" ref="L641:L667" si="168">-43.84+0.0805*E641+0.00001002*E641^2</f>
        <v>-5.7649459200000033</v>
      </c>
      <c r="M641">
        <f t="shared" ref="M641:M667" si="169">1.5+0.349*F641</f>
        <v>254.52499999999998</v>
      </c>
      <c r="O641">
        <v>316</v>
      </c>
      <c r="P641">
        <v>2400</v>
      </c>
      <c r="Q641">
        <v>0.74</v>
      </c>
      <c r="R641">
        <f t="shared" si="148"/>
        <v>-0.73214935027757322</v>
      </c>
    </row>
    <row r="642" spans="1:18" x14ac:dyDescent="0.25">
      <c r="A642">
        <v>711</v>
      </c>
      <c r="B642">
        <v>40</v>
      </c>
      <c r="C642">
        <v>68</v>
      </c>
      <c r="D642">
        <v>945</v>
      </c>
      <c r="E642">
        <v>465</v>
      </c>
      <c r="F642">
        <v>625</v>
      </c>
      <c r="G642" t="s">
        <v>5</v>
      </c>
      <c r="H642" s="1">
        <f t="shared" si="164"/>
        <v>36842.020833334886</v>
      </c>
      <c r="I642">
        <f t="shared" si="165"/>
        <v>3.3839999999999999</v>
      </c>
      <c r="J642">
        <f t="shared" si="166"/>
        <v>5.4728000000000003</v>
      </c>
      <c r="K642">
        <f t="shared" si="167"/>
        <v>94.432999999999993</v>
      </c>
      <c r="L642">
        <f t="shared" si="168"/>
        <v>-4.2409255000000057</v>
      </c>
      <c r="M642">
        <f t="shared" si="169"/>
        <v>219.62499999999997</v>
      </c>
      <c r="O642">
        <v>317</v>
      </c>
      <c r="P642">
        <v>30</v>
      </c>
      <c r="Q642">
        <v>0.74</v>
      </c>
      <c r="R642">
        <f t="shared" si="148"/>
        <v>-0.73423290937321994</v>
      </c>
    </row>
    <row r="643" spans="1:18" x14ac:dyDescent="0.25">
      <c r="A643">
        <v>711</v>
      </c>
      <c r="B643">
        <v>35</v>
      </c>
      <c r="C643">
        <v>56</v>
      </c>
      <c r="D643">
        <v>805</v>
      </c>
      <c r="E643">
        <v>451</v>
      </c>
      <c r="F643">
        <v>717</v>
      </c>
      <c r="G643" t="s">
        <v>5</v>
      </c>
      <c r="H643" s="1">
        <f t="shared" si="164"/>
        <v>36842.041666668221</v>
      </c>
      <c r="I643">
        <f t="shared" si="165"/>
        <v>3.0109999999999997</v>
      </c>
      <c r="J643">
        <f t="shared" si="166"/>
        <v>4.5776000000000003</v>
      </c>
      <c r="K643">
        <f t="shared" si="167"/>
        <v>80.125</v>
      </c>
      <c r="L643">
        <f t="shared" si="168"/>
        <v>-5.4964219800000009</v>
      </c>
      <c r="M643">
        <f t="shared" si="169"/>
        <v>251.73299999999998</v>
      </c>
      <c r="O643">
        <v>317</v>
      </c>
      <c r="P643">
        <v>100</v>
      </c>
      <c r="Q643">
        <v>0.73499999999999999</v>
      </c>
      <c r="R643">
        <f t="shared" si="148"/>
        <v>-0.72756745347936969</v>
      </c>
    </row>
    <row r="644" spans="1:18" x14ac:dyDescent="0.25">
      <c r="A644">
        <v>711</v>
      </c>
      <c r="B644">
        <v>42</v>
      </c>
      <c r="C644">
        <v>68</v>
      </c>
      <c r="D644">
        <v>375</v>
      </c>
      <c r="E644">
        <v>453</v>
      </c>
      <c r="F644">
        <v>733</v>
      </c>
      <c r="G644" t="s">
        <v>5</v>
      </c>
      <c r="H644" s="1">
        <f t="shared" si="164"/>
        <v>36842.062500001557</v>
      </c>
      <c r="I644">
        <f t="shared" si="165"/>
        <v>3.5331999999999999</v>
      </c>
      <c r="J644">
        <f t="shared" si="166"/>
        <v>5.4728000000000003</v>
      </c>
      <c r="K644">
        <f t="shared" si="167"/>
        <v>36.179000000000002</v>
      </c>
      <c r="L644">
        <f t="shared" si="168"/>
        <v>-5.3173058199999996</v>
      </c>
      <c r="M644">
        <f t="shared" si="169"/>
        <v>257.31700000000001</v>
      </c>
      <c r="O644">
        <v>317</v>
      </c>
      <c r="P644">
        <v>130</v>
      </c>
      <c r="Q644">
        <v>0.74</v>
      </c>
      <c r="R644">
        <f t="shared" si="148"/>
        <v>-0.73276195436227443</v>
      </c>
    </row>
    <row r="645" spans="1:18" x14ac:dyDescent="0.25">
      <c r="A645">
        <v>711</v>
      </c>
      <c r="B645">
        <v>56</v>
      </c>
      <c r="C645">
        <v>112</v>
      </c>
      <c r="D645">
        <v>888</v>
      </c>
      <c r="E645">
        <v>457</v>
      </c>
      <c r="F645">
        <v>759</v>
      </c>
      <c r="G645" t="s">
        <v>5</v>
      </c>
      <c r="H645" s="1">
        <f t="shared" si="164"/>
        <v>36842.083333334893</v>
      </c>
      <c r="I645">
        <f t="shared" si="165"/>
        <v>4.5776000000000003</v>
      </c>
      <c r="J645">
        <f t="shared" si="166"/>
        <v>8.7552000000000003</v>
      </c>
      <c r="K645">
        <f t="shared" si="167"/>
        <v>88.607600000000005</v>
      </c>
      <c r="L645">
        <f t="shared" si="168"/>
        <v>-4.9588330200000037</v>
      </c>
      <c r="M645">
        <f t="shared" si="169"/>
        <v>266.39099999999996</v>
      </c>
      <c r="O645">
        <v>317</v>
      </c>
      <c r="P645">
        <v>200</v>
      </c>
      <c r="Q645">
        <v>0.73699999999999999</v>
      </c>
      <c r="R645">
        <f t="shared" si="148"/>
        <v>-0.73027951834385818</v>
      </c>
    </row>
    <row r="646" spans="1:18" x14ac:dyDescent="0.25">
      <c r="A646">
        <v>711</v>
      </c>
      <c r="B646">
        <v>50</v>
      </c>
      <c r="C646">
        <v>88</v>
      </c>
      <c r="D646">
        <v>536</v>
      </c>
      <c r="E646">
        <v>451</v>
      </c>
      <c r="F646">
        <v>725</v>
      </c>
      <c r="G646" t="s">
        <v>5</v>
      </c>
      <c r="H646" s="1">
        <f t="shared" si="164"/>
        <v>36842.104166668229</v>
      </c>
      <c r="I646">
        <f t="shared" si="165"/>
        <v>4.13</v>
      </c>
      <c r="J646">
        <f t="shared" si="166"/>
        <v>6.9648000000000003</v>
      </c>
      <c r="K646">
        <f t="shared" si="167"/>
        <v>52.633200000000002</v>
      </c>
      <c r="L646">
        <f t="shared" si="168"/>
        <v>-5.4964219800000009</v>
      </c>
      <c r="M646">
        <f t="shared" si="169"/>
        <v>254.52499999999998</v>
      </c>
      <c r="O646">
        <v>317</v>
      </c>
      <c r="P646">
        <v>230</v>
      </c>
      <c r="Q646">
        <v>0.73699999999999999</v>
      </c>
      <c r="R646">
        <f t="shared" si="148"/>
        <v>-0.72954722886298695</v>
      </c>
    </row>
    <row r="647" spans="1:18" x14ac:dyDescent="0.25">
      <c r="A647">
        <v>711</v>
      </c>
      <c r="B647">
        <v>36</v>
      </c>
      <c r="C647">
        <v>84</v>
      </c>
      <c r="D647">
        <v>75</v>
      </c>
      <c r="E647">
        <v>434</v>
      </c>
      <c r="F647">
        <v>745</v>
      </c>
      <c r="G647" t="s">
        <v>5</v>
      </c>
      <c r="H647" s="1">
        <f t="shared" si="164"/>
        <v>36842.125000001564</v>
      </c>
      <c r="I647">
        <f t="shared" si="165"/>
        <v>3.0855999999999999</v>
      </c>
      <c r="J647">
        <f t="shared" si="166"/>
        <v>6.6664000000000003</v>
      </c>
      <c r="K647">
        <f t="shared" si="167"/>
        <v>5.5190000000000001</v>
      </c>
      <c r="L647">
        <f t="shared" si="168"/>
        <v>-7.0156728800000057</v>
      </c>
      <c r="M647">
        <f t="shared" si="169"/>
        <v>261.505</v>
      </c>
      <c r="O647">
        <v>317</v>
      </c>
      <c r="P647">
        <v>300</v>
      </c>
      <c r="Q647">
        <v>0.74</v>
      </c>
      <c r="R647">
        <f t="shared" ref="R647:R710" si="170">-SQRT((L647+273.15)/273.15)*Q647</f>
        <v>-0.73043498315719368</v>
      </c>
    </row>
    <row r="648" spans="1:18" x14ac:dyDescent="0.25">
      <c r="A648">
        <v>711</v>
      </c>
      <c r="B648">
        <v>56</v>
      </c>
      <c r="C648">
        <v>84</v>
      </c>
      <c r="D648">
        <v>886</v>
      </c>
      <c r="E648">
        <v>456</v>
      </c>
      <c r="F648">
        <v>733</v>
      </c>
      <c r="G648" t="s">
        <v>5</v>
      </c>
      <c r="H648" s="1">
        <f t="shared" si="164"/>
        <v>36842.1458333349</v>
      </c>
      <c r="I648">
        <f t="shared" si="165"/>
        <v>4.5776000000000003</v>
      </c>
      <c r="J648">
        <f t="shared" si="166"/>
        <v>6.6664000000000003</v>
      </c>
      <c r="K648">
        <f t="shared" si="167"/>
        <v>88.403199999999998</v>
      </c>
      <c r="L648">
        <f t="shared" si="168"/>
        <v>-5.0484812800000043</v>
      </c>
      <c r="M648">
        <f t="shared" si="169"/>
        <v>257.31700000000001</v>
      </c>
      <c r="O648">
        <v>317</v>
      </c>
      <c r="P648">
        <v>330</v>
      </c>
      <c r="Q648">
        <v>0.74</v>
      </c>
      <c r="R648">
        <f t="shared" si="170"/>
        <v>-0.73312959990352489</v>
      </c>
    </row>
    <row r="649" spans="1:18" x14ac:dyDescent="0.25">
      <c r="A649">
        <v>711</v>
      </c>
      <c r="B649">
        <v>16</v>
      </c>
      <c r="C649">
        <v>56</v>
      </c>
      <c r="D649">
        <v>218</v>
      </c>
      <c r="E649">
        <v>456</v>
      </c>
      <c r="F649">
        <v>753</v>
      </c>
      <c r="G649" t="s">
        <v>5</v>
      </c>
      <c r="H649" s="1">
        <f t="shared" si="164"/>
        <v>36842.166666668236</v>
      </c>
      <c r="I649">
        <f t="shared" si="165"/>
        <v>1.5935999999999999</v>
      </c>
      <c r="J649">
        <f t="shared" si="166"/>
        <v>4.5776000000000003</v>
      </c>
      <c r="K649">
        <f t="shared" si="167"/>
        <v>20.133599999999998</v>
      </c>
      <c r="L649">
        <f t="shared" si="168"/>
        <v>-5.0484812800000043</v>
      </c>
      <c r="M649">
        <f t="shared" si="169"/>
        <v>264.29699999999997</v>
      </c>
      <c r="O649">
        <v>317</v>
      </c>
      <c r="P649">
        <v>400</v>
      </c>
      <c r="Q649">
        <v>0.74</v>
      </c>
      <c r="R649">
        <f t="shared" si="170"/>
        <v>-0.73312959990352489</v>
      </c>
    </row>
    <row r="650" spans="1:18" x14ac:dyDescent="0.25">
      <c r="A650">
        <v>711</v>
      </c>
      <c r="B650">
        <v>37</v>
      </c>
      <c r="C650">
        <v>72</v>
      </c>
      <c r="D650">
        <v>785</v>
      </c>
      <c r="E650">
        <v>455</v>
      </c>
      <c r="F650">
        <v>741</v>
      </c>
      <c r="G650" t="s">
        <v>5</v>
      </c>
      <c r="H650" s="1">
        <f t="shared" si="164"/>
        <v>36842.187500001572</v>
      </c>
      <c r="I650">
        <f t="shared" si="165"/>
        <v>3.1602000000000001</v>
      </c>
      <c r="J650">
        <f t="shared" si="166"/>
        <v>5.7712000000000003</v>
      </c>
      <c r="K650">
        <f t="shared" si="167"/>
        <v>78.081000000000003</v>
      </c>
      <c r="L650">
        <f t="shared" si="168"/>
        <v>-5.1381095000000059</v>
      </c>
      <c r="M650">
        <f t="shared" si="169"/>
        <v>260.10899999999998</v>
      </c>
      <c r="O650">
        <v>317</v>
      </c>
      <c r="P650">
        <v>430</v>
      </c>
      <c r="Q650">
        <v>0.73699999999999999</v>
      </c>
      <c r="R650">
        <f t="shared" si="170"/>
        <v>-0.73003539429337638</v>
      </c>
    </row>
    <row r="651" spans="1:18" x14ac:dyDescent="0.25">
      <c r="A651">
        <v>711</v>
      </c>
      <c r="B651">
        <v>35</v>
      </c>
      <c r="C651">
        <v>76</v>
      </c>
      <c r="D651">
        <v>246</v>
      </c>
      <c r="E651">
        <v>446</v>
      </c>
      <c r="F651">
        <v>785</v>
      </c>
      <c r="G651" t="s">
        <v>5</v>
      </c>
      <c r="H651" s="1">
        <f t="shared" si="164"/>
        <v>36842.208333334907</v>
      </c>
      <c r="I651">
        <f t="shared" si="165"/>
        <v>3.0109999999999997</v>
      </c>
      <c r="J651">
        <f t="shared" si="166"/>
        <v>6.0696000000000003</v>
      </c>
      <c r="K651">
        <f t="shared" si="167"/>
        <v>22.995200000000001</v>
      </c>
      <c r="L651">
        <f t="shared" si="168"/>
        <v>-5.9438616800000048</v>
      </c>
      <c r="M651">
        <f t="shared" si="169"/>
        <v>275.46499999999997</v>
      </c>
      <c r="O651">
        <v>317</v>
      </c>
      <c r="P651">
        <v>500</v>
      </c>
      <c r="Q651">
        <v>0.73699999999999999</v>
      </c>
      <c r="R651">
        <f t="shared" si="170"/>
        <v>-0.72893717736778585</v>
      </c>
    </row>
    <row r="652" spans="1:18" x14ac:dyDescent="0.25">
      <c r="A652">
        <v>711</v>
      </c>
      <c r="B652">
        <v>45</v>
      </c>
      <c r="C652">
        <v>80</v>
      </c>
      <c r="D652">
        <v>783</v>
      </c>
      <c r="E652">
        <v>455</v>
      </c>
      <c r="F652">
        <v>817</v>
      </c>
      <c r="G652" t="s">
        <v>5</v>
      </c>
      <c r="H652" s="1">
        <f t="shared" si="164"/>
        <v>36842.229166668243</v>
      </c>
      <c r="I652">
        <f t="shared" si="165"/>
        <v>3.7570000000000001</v>
      </c>
      <c r="J652">
        <f t="shared" si="166"/>
        <v>6.3680000000000003</v>
      </c>
      <c r="K652">
        <f t="shared" si="167"/>
        <v>77.876599999999996</v>
      </c>
      <c r="L652">
        <f t="shared" si="168"/>
        <v>-5.1381095000000059</v>
      </c>
      <c r="M652">
        <f t="shared" si="169"/>
        <v>286.63299999999998</v>
      </c>
      <c r="O652">
        <v>317</v>
      </c>
      <c r="P652">
        <v>530</v>
      </c>
      <c r="Q652">
        <v>0.74</v>
      </c>
      <c r="R652">
        <f t="shared" si="170"/>
        <v>-0.73300704447367504</v>
      </c>
    </row>
    <row r="653" spans="1:18" x14ac:dyDescent="0.25">
      <c r="A653">
        <v>711</v>
      </c>
      <c r="B653">
        <v>35</v>
      </c>
      <c r="C653">
        <v>164</v>
      </c>
      <c r="D653">
        <v>234</v>
      </c>
      <c r="E653">
        <v>453</v>
      </c>
      <c r="F653">
        <v>793</v>
      </c>
      <c r="G653" t="s">
        <v>5</v>
      </c>
      <c r="H653" s="1">
        <f t="shared" si="164"/>
        <v>36842.250000001579</v>
      </c>
      <c r="I653">
        <f t="shared" si="165"/>
        <v>3.0109999999999997</v>
      </c>
      <c r="J653">
        <f t="shared" si="166"/>
        <v>12.634400000000001</v>
      </c>
      <c r="K653">
        <f t="shared" si="167"/>
        <v>21.768799999999999</v>
      </c>
      <c r="L653">
        <f t="shared" si="168"/>
        <v>-5.3173058199999996</v>
      </c>
      <c r="M653">
        <f t="shared" si="169"/>
        <v>278.25700000000001</v>
      </c>
      <c r="O653">
        <v>317</v>
      </c>
      <c r="P653">
        <v>600</v>
      </c>
      <c r="Q653">
        <v>0.73699999999999999</v>
      </c>
      <c r="R653">
        <f t="shared" si="170"/>
        <v>-0.72979129779053553</v>
      </c>
    </row>
    <row r="654" spans="1:18" x14ac:dyDescent="0.25">
      <c r="A654">
        <v>711</v>
      </c>
      <c r="B654">
        <v>62</v>
      </c>
      <c r="C654">
        <v>144</v>
      </c>
      <c r="D654">
        <v>721</v>
      </c>
      <c r="E654">
        <v>446</v>
      </c>
      <c r="F654">
        <v>789</v>
      </c>
      <c r="G654" t="s">
        <v>5</v>
      </c>
      <c r="H654" s="1">
        <f t="shared" si="164"/>
        <v>36842.270833334915</v>
      </c>
      <c r="I654">
        <f t="shared" si="165"/>
        <v>5.0251999999999999</v>
      </c>
      <c r="J654">
        <f t="shared" si="166"/>
        <v>11.1424</v>
      </c>
      <c r="K654">
        <f t="shared" si="167"/>
        <v>71.540199999999999</v>
      </c>
      <c r="L654">
        <f t="shared" si="168"/>
        <v>-5.9438616800000048</v>
      </c>
      <c r="M654">
        <f t="shared" si="169"/>
        <v>276.86099999999999</v>
      </c>
      <c r="O654">
        <v>317</v>
      </c>
      <c r="P654">
        <v>630</v>
      </c>
      <c r="Q654">
        <v>0.73699999999999999</v>
      </c>
      <c r="R654">
        <f t="shared" si="170"/>
        <v>-0.72893717736778585</v>
      </c>
    </row>
    <row r="655" spans="1:18" x14ac:dyDescent="0.25">
      <c r="A655">
        <v>711</v>
      </c>
      <c r="B655">
        <v>27</v>
      </c>
      <c r="C655">
        <v>68</v>
      </c>
      <c r="D655">
        <v>358</v>
      </c>
      <c r="E655">
        <v>451</v>
      </c>
      <c r="F655">
        <v>761</v>
      </c>
      <c r="G655" t="s">
        <v>5</v>
      </c>
      <c r="H655" s="1">
        <f t="shared" si="164"/>
        <v>36842.29166666825</v>
      </c>
      <c r="I655">
        <f t="shared" si="165"/>
        <v>2.4141999999999997</v>
      </c>
      <c r="J655">
        <f t="shared" si="166"/>
        <v>5.4728000000000003</v>
      </c>
      <c r="K655">
        <f t="shared" si="167"/>
        <v>34.441600000000001</v>
      </c>
      <c r="L655">
        <f t="shared" si="168"/>
        <v>-5.4964219800000009</v>
      </c>
      <c r="M655">
        <f t="shared" si="169"/>
        <v>267.089</v>
      </c>
      <c r="O655">
        <v>317</v>
      </c>
      <c r="P655">
        <v>700</v>
      </c>
      <c r="Q655">
        <v>0.73699999999999999</v>
      </c>
      <c r="R655">
        <f t="shared" si="170"/>
        <v>-0.72954722886298695</v>
      </c>
    </row>
    <row r="656" spans="1:18" x14ac:dyDescent="0.25">
      <c r="A656">
        <v>711</v>
      </c>
      <c r="B656">
        <v>105</v>
      </c>
      <c r="C656">
        <v>256</v>
      </c>
      <c r="D656">
        <v>800</v>
      </c>
      <c r="E656">
        <v>455</v>
      </c>
      <c r="F656">
        <v>753</v>
      </c>
      <c r="G656" t="s">
        <v>5</v>
      </c>
      <c r="H656" s="1">
        <f t="shared" si="164"/>
        <v>36842.312500001586</v>
      </c>
      <c r="I656">
        <f t="shared" si="165"/>
        <v>8.2330000000000005</v>
      </c>
      <c r="J656">
        <f t="shared" si="166"/>
        <v>19.497599999999998</v>
      </c>
      <c r="K656">
        <f t="shared" si="167"/>
        <v>79.614000000000004</v>
      </c>
      <c r="L656">
        <f t="shared" si="168"/>
        <v>-5.1381095000000059</v>
      </c>
      <c r="M656">
        <f t="shared" si="169"/>
        <v>264.29699999999997</v>
      </c>
      <c r="O656">
        <v>317</v>
      </c>
      <c r="P656">
        <v>730</v>
      </c>
      <c r="Q656">
        <v>0.73699999999999999</v>
      </c>
      <c r="R656">
        <f t="shared" si="170"/>
        <v>-0.73003539429337638</v>
      </c>
    </row>
    <row r="657" spans="1:18" x14ac:dyDescent="0.25">
      <c r="A657">
        <v>711</v>
      </c>
      <c r="B657">
        <v>134</v>
      </c>
      <c r="C657">
        <v>324</v>
      </c>
      <c r="D657">
        <v>883</v>
      </c>
      <c r="E657">
        <v>457</v>
      </c>
      <c r="F657">
        <v>709</v>
      </c>
      <c r="G657" t="s">
        <v>5</v>
      </c>
      <c r="H657" s="1">
        <f t="shared" si="164"/>
        <v>36842.333333334922</v>
      </c>
      <c r="I657">
        <f t="shared" si="165"/>
        <v>10.3964</v>
      </c>
      <c r="J657">
        <f t="shared" si="166"/>
        <v>24.570399999999999</v>
      </c>
      <c r="K657">
        <f t="shared" si="167"/>
        <v>88.096599999999995</v>
      </c>
      <c r="L657">
        <f t="shared" si="168"/>
        <v>-4.9588330200000037</v>
      </c>
      <c r="M657">
        <f t="shared" si="169"/>
        <v>248.94099999999997</v>
      </c>
      <c r="O657">
        <v>317</v>
      </c>
      <c r="P657">
        <v>800</v>
      </c>
      <c r="Q657">
        <v>0.73699999999999999</v>
      </c>
      <c r="R657">
        <f t="shared" si="170"/>
        <v>-0.73027951834385818</v>
      </c>
    </row>
    <row r="658" spans="1:18" x14ac:dyDescent="0.25">
      <c r="A658">
        <v>711</v>
      </c>
      <c r="B658">
        <v>61</v>
      </c>
      <c r="C658">
        <v>172</v>
      </c>
      <c r="D658">
        <v>53</v>
      </c>
      <c r="E658">
        <v>471</v>
      </c>
      <c r="F658">
        <v>685</v>
      </c>
      <c r="G658" t="s">
        <v>5</v>
      </c>
      <c r="H658" s="1">
        <f t="shared" si="164"/>
        <v>36842.354166668258</v>
      </c>
      <c r="I658">
        <f t="shared" si="165"/>
        <v>4.9506000000000006</v>
      </c>
      <c r="J658">
        <f t="shared" si="166"/>
        <v>13.231199999999999</v>
      </c>
      <c r="K658">
        <f t="shared" si="167"/>
        <v>3.2706</v>
      </c>
      <c r="L658">
        <f t="shared" si="168"/>
        <v>-3.7016531800000019</v>
      </c>
      <c r="M658">
        <f t="shared" si="169"/>
        <v>240.565</v>
      </c>
      <c r="O658">
        <v>317</v>
      </c>
      <c r="P658">
        <v>830</v>
      </c>
      <c r="Q658">
        <v>0.73199999999999998</v>
      </c>
      <c r="R658">
        <f t="shared" si="170"/>
        <v>-0.72702315058860389</v>
      </c>
    </row>
    <row r="659" spans="1:18" x14ac:dyDescent="0.25">
      <c r="A659">
        <v>711</v>
      </c>
      <c r="B659">
        <v>27</v>
      </c>
      <c r="C659">
        <v>92</v>
      </c>
      <c r="D659">
        <v>956</v>
      </c>
      <c r="E659">
        <v>479</v>
      </c>
      <c r="F659">
        <v>729</v>
      </c>
      <c r="G659" t="s">
        <v>5</v>
      </c>
      <c r="H659" s="1">
        <f t="shared" si="164"/>
        <v>36842.375000001593</v>
      </c>
      <c r="I659">
        <f t="shared" si="165"/>
        <v>2.4141999999999997</v>
      </c>
      <c r="J659">
        <f t="shared" si="166"/>
        <v>7.2632000000000003</v>
      </c>
      <c r="K659">
        <f t="shared" si="167"/>
        <v>95.557199999999995</v>
      </c>
      <c r="L659">
        <f t="shared" si="168"/>
        <v>-2.9815011800000035</v>
      </c>
      <c r="M659">
        <f t="shared" si="169"/>
        <v>255.92099999999999</v>
      </c>
      <c r="O659">
        <v>317</v>
      </c>
      <c r="P659">
        <v>900</v>
      </c>
      <c r="Q659">
        <v>0.72699999999999998</v>
      </c>
      <c r="R659">
        <f t="shared" si="170"/>
        <v>-0.72302141917757223</v>
      </c>
    </row>
    <row r="660" spans="1:18" x14ac:dyDescent="0.25">
      <c r="A660">
        <v>711</v>
      </c>
      <c r="B660">
        <v>44</v>
      </c>
      <c r="C660">
        <v>88</v>
      </c>
      <c r="D660">
        <v>67</v>
      </c>
      <c r="E660">
        <v>487</v>
      </c>
      <c r="F660">
        <v>633</v>
      </c>
      <c r="G660" t="s">
        <v>5</v>
      </c>
      <c r="H660" s="1">
        <f t="shared" si="164"/>
        <v>36842.395833334929</v>
      </c>
      <c r="I660">
        <f t="shared" si="165"/>
        <v>3.6823999999999999</v>
      </c>
      <c r="J660">
        <f t="shared" si="166"/>
        <v>6.9648000000000003</v>
      </c>
      <c r="K660">
        <f t="shared" si="167"/>
        <v>4.7014000000000005</v>
      </c>
      <c r="L660">
        <f t="shared" si="168"/>
        <v>-2.2600666200000052</v>
      </c>
      <c r="M660">
        <f t="shared" si="169"/>
        <v>222.41699999999997</v>
      </c>
      <c r="O660">
        <v>317</v>
      </c>
      <c r="P660">
        <v>930</v>
      </c>
      <c r="Q660">
        <v>0.72699999999999998</v>
      </c>
      <c r="R660">
        <f t="shared" si="170"/>
        <v>-0.72398612248039618</v>
      </c>
    </row>
    <row r="661" spans="1:18" x14ac:dyDescent="0.25">
      <c r="A661">
        <v>711</v>
      </c>
      <c r="B661">
        <v>27</v>
      </c>
      <c r="C661">
        <v>80</v>
      </c>
      <c r="D661">
        <v>33</v>
      </c>
      <c r="E661">
        <v>508</v>
      </c>
      <c r="F661">
        <v>589</v>
      </c>
      <c r="G661" t="s">
        <v>5</v>
      </c>
      <c r="H661" s="1">
        <f t="shared" si="164"/>
        <v>36842.416666668265</v>
      </c>
      <c r="I661">
        <f t="shared" si="165"/>
        <v>2.4141999999999997</v>
      </c>
      <c r="J661">
        <f t="shared" si="166"/>
        <v>6.3680000000000003</v>
      </c>
      <c r="K661">
        <f t="shared" si="167"/>
        <v>1.2265999999999999</v>
      </c>
      <c r="L661">
        <f t="shared" si="168"/>
        <v>-0.36019872000000497</v>
      </c>
      <c r="M661">
        <f t="shared" si="169"/>
        <v>207.06099999999998</v>
      </c>
      <c r="O661">
        <v>317</v>
      </c>
      <c r="P661">
        <v>1000</v>
      </c>
      <c r="Q661">
        <v>0.72499999999999998</v>
      </c>
      <c r="R661">
        <f t="shared" si="170"/>
        <v>-0.72452181910949587</v>
      </c>
    </row>
    <row r="662" spans="1:18" x14ac:dyDescent="0.25">
      <c r="A662">
        <v>711</v>
      </c>
      <c r="B662">
        <v>22</v>
      </c>
      <c r="C662">
        <v>48</v>
      </c>
      <c r="D662">
        <v>203</v>
      </c>
      <c r="E662">
        <v>490</v>
      </c>
      <c r="F662">
        <v>607</v>
      </c>
      <c r="G662" t="s">
        <v>5</v>
      </c>
      <c r="H662" s="1">
        <f t="shared" si="164"/>
        <v>36842.437500001601</v>
      </c>
      <c r="I662">
        <f t="shared" si="165"/>
        <v>2.0411999999999999</v>
      </c>
      <c r="J662">
        <f t="shared" si="166"/>
        <v>3.9807999999999999</v>
      </c>
      <c r="K662">
        <f t="shared" si="167"/>
        <v>18.6006</v>
      </c>
      <c r="L662">
        <f t="shared" si="168"/>
        <v>-1.9891980000000031</v>
      </c>
      <c r="M662">
        <f t="shared" si="169"/>
        <v>213.34299999999999</v>
      </c>
      <c r="O662">
        <v>317</v>
      </c>
      <c r="P662">
        <v>1030</v>
      </c>
      <c r="Q662">
        <v>0.72499999999999998</v>
      </c>
      <c r="R662">
        <f t="shared" si="170"/>
        <v>-0.72235529236672325</v>
      </c>
    </row>
    <row r="663" spans="1:18" x14ac:dyDescent="0.25">
      <c r="A663">
        <v>711</v>
      </c>
      <c r="B663">
        <v>13</v>
      </c>
      <c r="C663">
        <v>32</v>
      </c>
      <c r="D663">
        <v>425</v>
      </c>
      <c r="E663">
        <v>502</v>
      </c>
      <c r="F663">
        <v>565</v>
      </c>
      <c r="G663" t="s">
        <v>5</v>
      </c>
      <c r="H663" s="1">
        <f t="shared" si="164"/>
        <v>36842.458333334936</v>
      </c>
      <c r="I663">
        <f t="shared" si="165"/>
        <v>1.3698000000000001</v>
      </c>
      <c r="J663">
        <f t="shared" si="166"/>
        <v>2.7871999999999999</v>
      </c>
      <c r="K663">
        <f t="shared" si="167"/>
        <v>41.289000000000001</v>
      </c>
      <c r="L663">
        <f t="shared" si="168"/>
        <v>-0.9039199200000021</v>
      </c>
      <c r="M663">
        <f t="shared" si="169"/>
        <v>198.68499999999997</v>
      </c>
      <c r="O663">
        <v>317</v>
      </c>
      <c r="P663">
        <v>1100</v>
      </c>
      <c r="Q663">
        <v>0.72499999999999998</v>
      </c>
      <c r="R663">
        <f t="shared" si="170"/>
        <v>-0.7237994050658999</v>
      </c>
    </row>
    <row r="664" spans="1:18" x14ac:dyDescent="0.25">
      <c r="A664">
        <v>711</v>
      </c>
      <c r="B664">
        <v>15</v>
      </c>
      <c r="C664">
        <v>40</v>
      </c>
      <c r="D664">
        <v>172</v>
      </c>
      <c r="E664">
        <v>496</v>
      </c>
      <c r="F664">
        <v>575</v>
      </c>
      <c r="G664" t="s">
        <v>5</v>
      </c>
      <c r="H664" s="1">
        <f t="shared" si="164"/>
        <v>36842.479166668272</v>
      </c>
      <c r="I664">
        <f t="shared" si="165"/>
        <v>1.5190000000000001</v>
      </c>
      <c r="J664">
        <f t="shared" si="166"/>
        <v>3.3839999999999999</v>
      </c>
      <c r="K664">
        <f t="shared" si="167"/>
        <v>15.432399999999998</v>
      </c>
      <c r="L664">
        <f t="shared" si="168"/>
        <v>-1.4469196799999988</v>
      </c>
      <c r="M664">
        <f t="shared" si="169"/>
        <v>202.17499999999998</v>
      </c>
      <c r="O664">
        <v>317</v>
      </c>
      <c r="P664">
        <v>1130</v>
      </c>
      <c r="Q664">
        <v>0.72499999999999998</v>
      </c>
      <c r="R664">
        <f t="shared" si="170"/>
        <v>-0.72307722924681039</v>
      </c>
    </row>
    <row r="665" spans="1:18" x14ac:dyDescent="0.25">
      <c r="A665">
        <v>711</v>
      </c>
      <c r="B665">
        <v>22</v>
      </c>
      <c r="C665">
        <v>36</v>
      </c>
      <c r="D665">
        <v>319</v>
      </c>
      <c r="E665">
        <v>489</v>
      </c>
      <c r="F665">
        <v>621</v>
      </c>
      <c r="G665" t="s">
        <v>5</v>
      </c>
      <c r="H665" s="1">
        <f t="shared" si="164"/>
        <v>36842.500000001608</v>
      </c>
      <c r="I665">
        <f t="shared" si="165"/>
        <v>2.0411999999999999</v>
      </c>
      <c r="J665">
        <f t="shared" si="166"/>
        <v>3.0855999999999999</v>
      </c>
      <c r="K665">
        <f t="shared" si="167"/>
        <v>30.455799999999996</v>
      </c>
      <c r="L665">
        <f t="shared" si="168"/>
        <v>-2.0795075800000036</v>
      </c>
      <c r="M665">
        <f t="shared" si="169"/>
        <v>218.22899999999998</v>
      </c>
      <c r="O665">
        <v>317</v>
      </c>
      <c r="P665">
        <v>1200</v>
      </c>
      <c r="Q665">
        <v>0.73</v>
      </c>
      <c r="R665">
        <f t="shared" si="170"/>
        <v>-0.72721592381893208</v>
      </c>
    </row>
    <row r="666" spans="1:18" x14ac:dyDescent="0.25">
      <c r="A666">
        <v>711</v>
      </c>
      <c r="B666">
        <v>25</v>
      </c>
      <c r="C666">
        <v>52</v>
      </c>
      <c r="D666">
        <v>569</v>
      </c>
      <c r="E666">
        <v>487</v>
      </c>
      <c r="F666">
        <v>691</v>
      </c>
      <c r="G666" t="s">
        <v>5</v>
      </c>
      <c r="H666" s="1">
        <f t="shared" si="164"/>
        <v>36842.520833334944</v>
      </c>
      <c r="I666">
        <f t="shared" si="165"/>
        <v>2.2650000000000001</v>
      </c>
      <c r="J666">
        <f t="shared" si="166"/>
        <v>4.2792000000000003</v>
      </c>
      <c r="K666">
        <f t="shared" si="167"/>
        <v>56.005800000000001</v>
      </c>
      <c r="L666">
        <f t="shared" si="168"/>
        <v>-2.2600666200000052</v>
      </c>
      <c r="M666">
        <f t="shared" si="169"/>
        <v>242.65899999999999</v>
      </c>
      <c r="O666">
        <v>317</v>
      </c>
      <c r="P666">
        <v>1230</v>
      </c>
      <c r="Q666">
        <v>0.73199999999999998</v>
      </c>
      <c r="R666">
        <f t="shared" si="170"/>
        <v>-0.72896539429938101</v>
      </c>
    </row>
    <row r="667" spans="1:18" x14ac:dyDescent="0.25">
      <c r="A667">
        <v>711</v>
      </c>
      <c r="B667">
        <v>39</v>
      </c>
      <c r="C667">
        <v>56</v>
      </c>
      <c r="D667">
        <v>509</v>
      </c>
      <c r="E667">
        <v>485</v>
      </c>
      <c r="F667">
        <v>701</v>
      </c>
      <c r="G667" t="s">
        <v>5</v>
      </c>
      <c r="H667" s="1">
        <f t="shared" si="164"/>
        <v>36842.54166666828</v>
      </c>
      <c r="I667">
        <f t="shared" si="165"/>
        <v>3.3093999999999997</v>
      </c>
      <c r="J667">
        <f t="shared" si="166"/>
        <v>4.5776000000000003</v>
      </c>
      <c r="K667">
        <f t="shared" si="167"/>
        <v>49.873799999999996</v>
      </c>
      <c r="L667">
        <f t="shared" si="168"/>
        <v>-2.4405454999999994</v>
      </c>
      <c r="M667">
        <f t="shared" si="169"/>
        <v>246.14899999999997</v>
      </c>
      <c r="O667">
        <v>317</v>
      </c>
      <c r="P667">
        <v>1300</v>
      </c>
      <c r="Q667">
        <v>0.73199999999999998</v>
      </c>
      <c r="R667">
        <f t="shared" si="170"/>
        <v>-0.72872251931167908</v>
      </c>
    </row>
    <row r="668" spans="1:18" x14ac:dyDescent="0.25">
      <c r="A668">
        <v>11</v>
      </c>
      <c r="B668">
        <v>28</v>
      </c>
      <c r="C668">
        <v>48</v>
      </c>
      <c r="D668">
        <v>370</v>
      </c>
      <c r="E668">
        <v>490</v>
      </c>
      <c r="F668">
        <v>729</v>
      </c>
      <c r="G668" t="s">
        <v>5</v>
      </c>
      <c r="H668" s="1">
        <f t="shared" si="164"/>
        <v>36842.562500001615</v>
      </c>
      <c r="I668">
        <f t="shared" ref="I668:I693" si="171">0.4+0.0746*B668</f>
        <v>2.4887999999999999</v>
      </c>
      <c r="J668">
        <f t="shared" ref="J668:J693" si="172">0.4+0.0746*C668</f>
        <v>3.9807999999999999</v>
      </c>
      <c r="K668">
        <f t="shared" ref="K668:K693" si="173">-2.146+0.1022*D668</f>
        <v>35.667999999999999</v>
      </c>
      <c r="L668">
        <f t="shared" ref="L668:L693" si="174">-43.84+0.0805*E668+0.00001002*E668^2</f>
        <v>-1.9891980000000031</v>
      </c>
      <c r="M668">
        <f t="shared" ref="M668:M693" si="175">1.5+0.349*F668</f>
        <v>255.92099999999999</v>
      </c>
      <c r="O668">
        <v>317</v>
      </c>
      <c r="P668">
        <v>1330</v>
      </c>
      <c r="Q668">
        <v>0.73199999999999998</v>
      </c>
      <c r="R668">
        <f t="shared" si="170"/>
        <v>-0.72932975725853988</v>
      </c>
    </row>
    <row r="669" spans="1:18" x14ac:dyDescent="0.25">
      <c r="A669">
        <v>11</v>
      </c>
      <c r="B669">
        <v>20</v>
      </c>
      <c r="C669">
        <v>48</v>
      </c>
      <c r="D669">
        <v>538</v>
      </c>
      <c r="E669">
        <v>500</v>
      </c>
      <c r="F669">
        <v>721</v>
      </c>
      <c r="G669" t="s">
        <v>5</v>
      </c>
      <c r="H669" s="1">
        <f t="shared" si="164"/>
        <v>36842.583333334951</v>
      </c>
      <c r="I669">
        <f t="shared" si="171"/>
        <v>1.8919999999999999</v>
      </c>
      <c r="J669">
        <f t="shared" si="172"/>
        <v>3.9807999999999999</v>
      </c>
      <c r="K669">
        <f t="shared" si="173"/>
        <v>52.837600000000002</v>
      </c>
      <c r="L669">
        <f t="shared" si="174"/>
        <v>-1.0850000000000031</v>
      </c>
      <c r="M669">
        <f t="shared" si="175"/>
        <v>253.12899999999999</v>
      </c>
      <c r="O669">
        <v>317</v>
      </c>
      <c r="P669">
        <v>1400</v>
      </c>
      <c r="Q669">
        <v>0.73199999999999998</v>
      </c>
      <c r="R669">
        <f t="shared" si="170"/>
        <v>-0.73054473683724053</v>
      </c>
    </row>
    <row r="670" spans="1:18" x14ac:dyDescent="0.25">
      <c r="A670">
        <v>11</v>
      </c>
      <c r="B670">
        <v>20</v>
      </c>
      <c r="C670">
        <v>40</v>
      </c>
      <c r="D670">
        <v>182</v>
      </c>
      <c r="E670">
        <v>489</v>
      </c>
      <c r="F670">
        <v>777</v>
      </c>
      <c r="G670" t="s">
        <v>5</v>
      </c>
      <c r="H670" s="1">
        <f t="shared" si="164"/>
        <v>36842.604166668287</v>
      </c>
      <c r="I670">
        <f t="shared" si="171"/>
        <v>1.8919999999999999</v>
      </c>
      <c r="J670">
        <f t="shared" si="172"/>
        <v>3.3839999999999999</v>
      </c>
      <c r="K670">
        <f t="shared" si="173"/>
        <v>16.4544</v>
      </c>
      <c r="L670">
        <f t="shared" si="174"/>
        <v>-2.0795075800000036</v>
      </c>
      <c r="M670">
        <f t="shared" si="175"/>
        <v>272.673</v>
      </c>
      <c r="O670">
        <v>317</v>
      </c>
      <c r="P670">
        <v>1430</v>
      </c>
      <c r="Q670">
        <v>0.73199999999999998</v>
      </c>
      <c r="R670">
        <f t="shared" si="170"/>
        <v>-0.72920829621295657</v>
      </c>
    </row>
    <row r="671" spans="1:18" x14ac:dyDescent="0.25">
      <c r="A671">
        <v>11</v>
      </c>
      <c r="B671">
        <v>23</v>
      </c>
      <c r="C671">
        <v>48</v>
      </c>
      <c r="D671">
        <v>354</v>
      </c>
      <c r="E671">
        <v>484</v>
      </c>
      <c r="F671">
        <v>804</v>
      </c>
      <c r="G671" t="s">
        <v>5</v>
      </c>
      <c r="H671" s="1">
        <f t="shared" si="164"/>
        <v>36842.625000001623</v>
      </c>
      <c r="I671">
        <f t="shared" si="171"/>
        <v>2.1158000000000001</v>
      </c>
      <c r="J671">
        <f t="shared" si="172"/>
        <v>3.9807999999999999</v>
      </c>
      <c r="K671">
        <f t="shared" si="173"/>
        <v>34.032800000000002</v>
      </c>
      <c r="L671">
        <f t="shared" si="174"/>
        <v>-2.5307548799999999</v>
      </c>
      <c r="M671">
        <f t="shared" si="175"/>
        <v>282.096</v>
      </c>
      <c r="O671">
        <v>317</v>
      </c>
      <c r="P671">
        <v>1500</v>
      </c>
      <c r="Q671">
        <v>0.73199999999999998</v>
      </c>
      <c r="R671">
        <f t="shared" si="170"/>
        <v>-0.72860109192344524</v>
      </c>
    </row>
    <row r="672" spans="1:18" x14ac:dyDescent="0.25">
      <c r="A672">
        <v>11</v>
      </c>
      <c r="B672">
        <v>15</v>
      </c>
      <c r="C672">
        <v>28</v>
      </c>
      <c r="D672">
        <v>118</v>
      </c>
      <c r="E672">
        <v>489</v>
      </c>
      <c r="F672">
        <v>809</v>
      </c>
      <c r="G672" t="s">
        <v>5</v>
      </c>
      <c r="H672" s="1">
        <f t="shared" si="164"/>
        <v>36842.645833334958</v>
      </c>
      <c r="I672">
        <f t="shared" si="171"/>
        <v>1.5190000000000001</v>
      </c>
      <c r="J672">
        <f t="shared" si="172"/>
        <v>2.4887999999999999</v>
      </c>
      <c r="K672">
        <f t="shared" si="173"/>
        <v>9.9135999999999989</v>
      </c>
      <c r="L672">
        <f t="shared" si="174"/>
        <v>-2.0795075800000036</v>
      </c>
      <c r="M672">
        <f t="shared" si="175"/>
        <v>283.84100000000001</v>
      </c>
      <c r="O672">
        <v>317</v>
      </c>
      <c r="P672">
        <v>1530</v>
      </c>
      <c r="Q672">
        <v>0.73199999999999998</v>
      </c>
      <c r="R672">
        <f t="shared" si="170"/>
        <v>-0.72920829621295657</v>
      </c>
    </row>
    <row r="673" spans="1:18" x14ac:dyDescent="0.25">
      <c r="A673">
        <v>11</v>
      </c>
      <c r="B673">
        <v>29</v>
      </c>
      <c r="C673">
        <v>52</v>
      </c>
      <c r="D673">
        <v>365</v>
      </c>
      <c r="E673">
        <v>483</v>
      </c>
      <c r="F673">
        <v>829</v>
      </c>
      <c r="G673" t="s">
        <v>5</v>
      </c>
      <c r="H673" s="1">
        <f t="shared" si="164"/>
        <v>36842.666666668294</v>
      </c>
      <c r="I673">
        <f t="shared" si="171"/>
        <v>2.5634000000000001</v>
      </c>
      <c r="J673">
        <f t="shared" si="172"/>
        <v>4.2792000000000003</v>
      </c>
      <c r="K673">
        <f t="shared" si="173"/>
        <v>35.156999999999996</v>
      </c>
      <c r="L673">
        <f t="shared" si="174"/>
        <v>-2.6209442200000006</v>
      </c>
      <c r="M673">
        <f t="shared" si="175"/>
        <v>290.82099999999997</v>
      </c>
      <c r="O673">
        <v>317</v>
      </c>
      <c r="P673">
        <v>1600</v>
      </c>
      <c r="Q673">
        <v>0.73199999999999998</v>
      </c>
      <c r="R673">
        <f t="shared" si="170"/>
        <v>-0.72847967127678181</v>
      </c>
    </row>
    <row r="674" spans="1:18" x14ac:dyDescent="0.25">
      <c r="A674">
        <v>11</v>
      </c>
      <c r="B674">
        <v>34</v>
      </c>
      <c r="C674">
        <v>64</v>
      </c>
      <c r="D674">
        <v>367</v>
      </c>
      <c r="E674">
        <v>486</v>
      </c>
      <c r="F674">
        <v>820</v>
      </c>
      <c r="G674" t="s">
        <v>5</v>
      </c>
      <c r="H674" s="1">
        <f t="shared" si="164"/>
        <v>36842.68750000163</v>
      </c>
      <c r="I674">
        <f t="shared" si="171"/>
        <v>2.9363999999999999</v>
      </c>
      <c r="J674">
        <f t="shared" si="172"/>
        <v>5.1744000000000003</v>
      </c>
      <c r="K674">
        <f t="shared" si="173"/>
        <v>35.361399999999996</v>
      </c>
      <c r="L674">
        <f t="shared" si="174"/>
        <v>-2.3503160800000056</v>
      </c>
      <c r="M674">
        <f t="shared" si="175"/>
        <v>287.68</v>
      </c>
      <c r="O674">
        <v>317</v>
      </c>
      <c r="P674">
        <v>1630</v>
      </c>
      <c r="Q674">
        <v>0.73199999999999998</v>
      </c>
      <c r="R674">
        <f t="shared" si="170"/>
        <v>-0.72884395343811337</v>
      </c>
    </row>
    <row r="675" spans="1:18" x14ac:dyDescent="0.25">
      <c r="A675">
        <v>11</v>
      </c>
      <c r="B675">
        <v>15</v>
      </c>
      <c r="C675">
        <v>44</v>
      </c>
      <c r="D675">
        <v>93</v>
      </c>
      <c r="E675">
        <v>491</v>
      </c>
      <c r="F675">
        <v>749</v>
      </c>
      <c r="G675" t="s">
        <v>5</v>
      </c>
      <c r="H675" s="1">
        <f t="shared" si="164"/>
        <v>36842.708333334966</v>
      </c>
      <c r="I675">
        <f t="shared" si="171"/>
        <v>1.5190000000000001</v>
      </c>
      <c r="J675">
        <f t="shared" si="172"/>
        <v>3.6823999999999999</v>
      </c>
      <c r="K675">
        <f t="shared" si="173"/>
        <v>7.3586</v>
      </c>
      <c r="L675">
        <f t="shared" si="174"/>
        <v>-1.8988683800000024</v>
      </c>
      <c r="M675">
        <f t="shared" si="175"/>
        <v>262.90100000000001</v>
      </c>
      <c r="O675">
        <v>317</v>
      </c>
      <c r="P675">
        <v>1700</v>
      </c>
      <c r="Q675">
        <v>0.73199999999999998</v>
      </c>
      <c r="R675">
        <f t="shared" si="170"/>
        <v>-0.72945122502550719</v>
      </c>
    </row>
    <row r="676" spans="1:18" x14ac:dyDescent="0.25">
      <c r="A676">
        <v>1</v>
      </c>
      <c r="B676">
        <v>26</v>
      </c>
      <c r="C676">
        <v>44</v>
      </c>
      <c r="D676">
        <v>386</v>
      </c>
      <c r="E676">
        <v>485</v>
      </c>
      <c r="F676">
        <v>765</v>
      </c>
      <c r="G676" t="s">
        <v>5</v>
      </c>
      <c r="H676" s="1">
        <f t="shared" si="164"/>
        <v>36842.729166668301</v>
      </c>
      <c r="I676">
        <f t="shared" si="171"/>
        <v>2.3395999999999999</v>
      </c>
      <c r="J676">
        <f t="shared" si="172"/>
        <v>3.6823999999999999</v>
      </c>
      <c r="K676">
        <f t="shared" si="173"/>
        <v>37.303199999999997</v>
      </c>
      <c r="L676">
        <f t="shared" si="174"/>
        <v>-2.4405454999999994</v>
      </c>
      <c r="M676">
        <f t="shared" si="175"/>
        <v>268.48499999999996</v>
      </c>
      <c r="O676">
        <v>317</v>
      </c>
      <c r="P676">
        <v>1730</v>
      </c>
      <c r="Q676">
        <v>0.73199999999999998</v>
      </c>
      <c r="R676">
        <f t="shared" si="170"/>
        <v>-0.72872251931167908</v>
      </c>
    </row>
    <row r="677" spans="1:18" x14ac:dyDescent="0.25">
      <c r="A677">
        <v>1</v>
      </c>
      <c r="B677">
        <v>35</v>
      </c>
      <c r="C677">
        <v>64</v>
      </c>
      <c r="D677">
        <v>462</v>
      </c>
      <c r="E677">
        <v>484</v>
      </c>
      <c r="F677">
        <v>797</v>
      </c>
      <c r="G677" t="s">
        <v>5</v>
      </c>
      <c r="H677" s="1">
        <f t="shared" si="164"/>
        <v>36842.750000001637</v>
      </c>
      <c r="I677">
        <f t="shared" si="171"/>
        <v>3.0109999999999997</v>
      </c>
      <c r="J677">
        <f t="shared" si="172"/>
        <v>5.1744000000000003</v>
      </c>
      <c r="K677">
        <f t="shared" si="173"/>
        <v>45.070399999999999</v>
      </c>
      <c r="L677">
        <f t="shared" si="174"/>
        <v>-2.5307548799999999</v>
      </c>
      <c r="M677">
        <f t="shared" si="175"/>
        <v>279.65299999999996</v>
      </c>
      <c r="O677">
        <v>317</v>
      </c>
      <c r="P677">
        <v>1800</v>
      </c>
      <c r="Q677">
        <v>0.73199999999999998</v>
      </c>
      <c r="R677">
        <f t="shared" si="170"/>
        <v>-0.72860109192344524</v>
      </c>
    </row>
    <row r="678" spans="1:18" x14ac:dyDescent="0.25">
      <c r="A678">
        <v>1</v>
      </c>
      <c r="B678">
        <v>12</v>
      </c>
      <c r="C678">
        <v>8</v>
      </c>
      <c r="D678">
        <v>196</v>
      </c>
      <c r="E678">
        <v>482</v>
      </c>
      <c r="F678">
        <v>781</v>
      </c>
      <c r="G678" t="s">
        <v>5</v>
      </c>
      <c r="H678" s="1">
        <f>H677+1/48</f>
        <v>36842.770833334973</v>
      </c>
      <c r="I678">
        <f t="shared" si="171"/>
        <v>1.2951999999999999</v>
      </c>
      <c r="J678">
        <f t="shared" si="172"/>
        <v>0.99680000000000002</v>
      </c>
      <c r="K678">
        <f t="shared" si="173"/>
        <v>17.885199999999998</v>
      </c>
      <c r="L678">
        <f t="shared" si="174"/>
        <v>-2.7111135200000014</v>
      </c>
      <c r="M678">
        <f t="shared" si="175"/>
        <v>274.06899999999996</v>
      </c>
    </row>
    <row r="679" spans="1:18" x14ac:dyDescent="0.25">
      <c r="A679">
        <v>1</v>
      </c>
      <c r="B679">
        <v>15</v>
      </c>
      <c r="C679">
        <v>48</v>
      </c>
      <c r="D679">
        <v>270</v>
      </c>
      <c r="E679">
        <v>477</v>
      </c>
      <c r="F679">
        <v>872</v>
      </c>
      <c r="G679" t="s">
        <v>5</v>
      </c>
      <c r="H679" s="1">
        <f t="shared" si="164"/>
        <v>36842.791666668309</v>
      </c>
      <c r="I679">
        <f t="shared" si="171"/>
        <v>1.5190000000000001</v>
      </c>
      <c r="J679">
        <f t="shared" si="172"/>
        <v>3.9807999999999999</v>
      </c>
      <c r="K679">
        <f t="shared" si="173"/>
        <v>25.448</v>
      </c>
      <c r="L679">
        <f t="shared" si="174"/>
        <v>-3.1616594200000048</v>
      </c>
      <c r="M679">
        <f t="shared" si="175"/>
        <v>305.82799999999997</v>
      </c>
      <c r="O679">
        <v>317</v>
      </c>
      <c r="P679">
        <v>1900</v>
      </c>
    </row>
    <row r="680" spans="1:18" x14ac:dyDescent="0.25">
      <c r="A680">
        <v>1</v>
      </c>
      <c r="B680">
        <v>41</v>
      </c>
      <c r="C680">
        <v>80</v>
      </c>
      <c r="D680">
        <v>431</v>
      </c>
      <c r="E680">
        <v>475</v>
      </c>
      <c r="F680">
        <v>883</v>
      </c>
      <c r="G680" t="s">
        <v>5</v>
      </c>
      <c r="H680" s="1">
        <f>H679+1/48</f>
        <v>36842.812500001644</v>
      </c>
      <c r="I680">
        <f t="shared" si="171"/>
        <v>3.4586000000000001</v>
      </c>
      <c r="J680">
        <f t="shared" si="172"/>
        <v>6.3680000000000003</v>
      </c>
      <c r="K680">
        <f t="shared" si="173"/>
        <v>41.902200000000001</v>
      </c>
      <c r="L680">
        <f t="shared" si="174"/>
        <v>-3.3417374999999989</v>
      </c>
      <c r="M680">
        <f t="shared" si="175"/>
        <v>309.66699999999997</v>
      </c>
      <c r="O680">
        <v>317</v>
      </c>
      <c r="P680">
        <v>1930</v>
      </c>
      <c r="Q680">
        <v>0.73699999999999999</v>
      </c>
      <c r="R680">
        <f t="shared" si="170"/>
        <v>-0.73247786989631047</v>
      </c>
    </row>
    <row r="681" spans="1:18" x14ac:dyDescent="0.25">
      <c r="A681">
        <v>0</v>
      </c>
      <c r="B681">
        <v>36</v>
      </c>
      <c r="C681">
        <v>64</v>
      </c>
      <c r="D681">
        <v>351</v>
      </c>
      <c r="E681">
        <v>475</v>
      </c>
      <c r="F681">
        <v>900</v>
      </c>
      <c r="G681" t="s">
        <v>5</v>
      </c>
      <c r="H681" s="1">
        <f t="shared" si="164"/>
        <v>36842.83333333498</v>
      </c>
      <c r="I681">
        <f t="shared" si="171"/>
        <v>3.0855999999999999</v>
      </c>
      <c r="J681">
        <f t="shared" si="172"/>
        <v>5.1744000000000003</v>
      </c>
      <c r="K681">
        <f t="shared" si="173"/>
        <v>33.726199999999999</v>
      </c>
      <c r="L681">
        <f t="shared" si="174"/>
        <v>-3.3417374999999989</v>
      </c>
      <c r="M681">
        <f t="shared" si="175"/>
        <v>315.59999999999997</v>
      </c>
      <c r="O681">
        <v>317</v>
      </c>
      <c r="P681">
        <v>2000</v>
      </c>
      <c r="Q681">
        <v>0.73199999999999998</v>
      </c>
      <c r="R681">
        <f t="shared" si="170"/>
        <v>-0.72750854920501939</v>
      </c>
    </row>
    <row r="682" spans="1:18" x14ac:dyDescent="0.25">
      <c r="A682">
        <v>7</v>
      </c>
      <c r="B682">
        <v>20</v>
      </c>
      <c r="C682">
        <v>44</v>
      </c>
      <c r="D682">
        <v>70</v>
      </c>
      <c r="E682">
        <v>476</v>
      </c>
      <c r="F682">
        <v>905</v>
      </c>
      <c r="G682" t="s">
        <v>5</v>
      </c>
      <c r="H682" s="1">
        <f t="shared" si="164"/>
        <v>36842.854166668316</v>
      </c>
      <c r="I682">
        <f t="shared" si="171"/>
        <v>1.8919999999999999</v>
      </c>
      <c r="J682">
        <f t="shared" si="172"/>
        <v>3.6823999999999999</v>
      </c>
      <c r="K682">
        <f t="shared" si="173"/>
        <v>5.008</v>
      </c>
      <c r="L682">
        <f t="shared" si="174"/>
        <v>-3.2517084800000053</v>
      </c>
      <c r="M682">
        <f t="shared" si="175"/>
        <v>317.34499999999997</v>
      </c>
      <c r="O682">
        <v>317</v>
      </c>
      <c r="P682">
        <v>2030</v>
      </c>
      <c r="Q682">
        <v>0.73499999999999999</v>
      </c>
      <c r="R682">
        <f t="shared" si="170"/>
        <v>-0.73061200561641482</v>
      </c>
    </row>
    <row r="683" spans="1:18" x14ac:dyDescent="0.25">
      <c r="A683">
        <v>7</v>
      </c>
      <c r="B683">
        <v>19</v>
      </c>
      <c r="C683">
        <v>36</v>
      </c>
      <c r="D683">
        <v>215</v>
      </c>
      <c r="E683">
        <v>476</v>
      </c>
      <c r="F683">
        <v>907</v>
      </c>
      <c r="G683" t="s">
        <v>5</v>
      </c>
      <c r="H683" s="1">
        <f t="shared" si="164"/>
        <v>36842.875000001652</v>
      </c>
      <c r="I683">
        <f t="shared" si="171"/>
        <v>1.8174000000000001</v>
      </c>
      <c r="J683">
        <f t="shared" si="172"/>
        <v>3.0855999999999999</v>
      </c>
      <c r="K683">
        <f t="shared" si="173"/>
        <v>19.826999999999998</v>
      </c>
      <c r="L683">
        <f t="shared" si="174"/>
        <v>-3.2517084800000053</v>
      </c>
      <c r="M683">
        <f t="shared" si="175"/>
        <v>318.04300000000001</v>
      </c>
      <c r="O683">
        <v>317</v>
      </c>
      <c r="P683">
        <v>2100</v>
      </c>
      <c r="Q683">
        <v>0.74</v>
      </c>
      <c r="R683">
        <f t="shared" si="170"/>
        <v>-0.73558215531448568</v>
      </c>
    </row>
    <row r="684" spans="1:18" x14ac:dyDescent="0.25">
      <c r="A684">
        <v>7</v>
      </c>
      <c r="B684">
        <v>16</v>
      </c>
      <c r="C684">
        <v>32</v>
      </c>
      <c r="D684">
        <v>507</v>
      </c>
      <c r="E684">
        <v>475</v>
      </c>
      <c r="F684">
        <v>905</v>
      </c>
      <c r="G684" t="s">
        <v>5</v>
      </c>
      <c r="H684" s="1">
        <f t="shared" si="164"/>
        <v>36842.895833334987</v>
      </c>
      <c r="I684">
        <f t="shared" si="171"/>
        <v>1.5935999999999999</v>
      </c>
      <c r="J684">
        <f t="shared" si="172"/>
        <v>2.7871999999999999</v>
      </c>
      <c r="K684">
        <f t="shared" si="173"/>
        <v>49.669399999999996</v>
      </c>
      <c r="L684">
        <f t="shared" si="174"/>
        <v>-3.3417374999999989</v>
      </c>
      <c r="M684">
        <f t="shared" si="175"/>
        <v>317.34499999999997</v>
      </c>
      <c r="O684">
        <v>317</v>
      </c>
      <c r="P684">
        <v>2130</v>
      </c>
      <c r="Q684">
        <v>0.73499999999999999</v>
      </c>
      <c r="R684">
        <f t="shared" si="170"/>
        <v>-0.73049014161979398</v>
      </c>
    </row>
    <row r="685" spans="1:18" x14ac:dyDescent="0.25">
      <c r="A685">
        <v>7</v>
      </c>
      <c r="B685">
        <v>13</v>
      </c>
      <c r="C685">
        <v>40</v>
      </c>
      <c r="D685">
        <v>961</v>
      </c>
      <c r="E685">
        <v>474</v>
      </c>
      <c r="F685">
        <v>908</v>
      </c>
      <c r="G685" t="s">
        <v>5</v>
      </c>
      <c r="H685" s="1">
        <f t="shared" si="164"/>
        <v>36842.916666668323</v>
      </c>
      <c r="I685">
        <f t="shared" si="171"/>
        <v>1.3698000000000001</v>
      </c>
      <c r="J685">
        <f t="shared" si="172"/>
        <v>3.3839999999999999</v>
      </c>
      <c r="K685">
        <f t="shared" si="173"/>
        <v>96.068200000000004</v>
      </c>
      <c r="L685">
        <f t="shared" si="174"/>
        <v>-3.4317464799999997</v>
      </c>
      <c r="M685">
        <f t="shared" si="175"/>
        <v>318.392</v>
      </c>
      <c r="O685">
        <v>317</v>
      </c>
      <c r="P685">
        <v>2200</v>
      </c>
      <c r="Q685">
        <v>0.73199999999999998</v>
      </c>
      <c r="R685">
        <f t="shared" si="170"/>
        <v>-0.72738718938445479</v>
      </c>
    </row>
    <row r="686" spans="1:18" x14ac:dyDescent="0.25">
      <c r="A686">
        <v>7</v>
      </c>
      <c r="B686">
        <v>14</v>
      </c>
      <c r="C686">
        <v>32</v>
      </c>
      <c r="D686">
        <v>20</v>
      </c>
      <c r="E686">
        <v>474</v>
      </c>
      <c r="F686">
        <v>901</v>
      </c>
      <c r="G686" t="s">
        <v>5</v>
      </c>
      <c r="H686" s="1">
        <f t="shared" si="164"/>
        <v>36842.937500001659</v>
      </c>
      <c r="I686">
        <f t="shared" si="171"/>
        <v>1.4443999999999999</v>
      </c>
      <c r="J686">
        <f t="shared" si="172"/>
        <v>2.7871999999999999</v>
      </c>
      <c r="K686">
        <f t="shared" si="173"/>
        <v>-0.10199999999999987</v>
      </c>
      <c r="L686">
        <f t="shared" si="174"/>
        <v>-3.4317464799999997</v>
      </c>
      <c r="M686">
        <f t="shared" si="175"/>
        <v>315.94899999999996</v>
      </c>
      <c r="O686">
        <v>317</v>
      </c>
      <c r="P686">
        <v>2230</v>
      </c>
      <c r="Q686">
        <v>0.73199999999999998</v>
      </c>
      <c r="R686">
        <f t="shared" si="170"/>
        <v>-0.72738718938445479</v>
      </c>
    </row>
    <row r="687" spans="1:18" x14ac:dyDescent="0.25">
      <c r="A687">
        <v>7</v>
      </c>
      <c r="B687">
        <v>13</v>
      </c>
      <c r="C687">
        <v>32</v>
      </c>
      <c r="D687">
        <v>392</v>
      </c>
      <c r="E687">
        <v>474</v>
      </c>
      <c r="F687">
        <v>901</v>
      </c>
      <c r="G687" t="s">
        <v>5</v>
      </c>
      <c r="H687" s="1">
        <f t="shared" si="164"/>
        <v>36842.958333334995</v>
      </c>
      <c r="I687">
        <f t="shared" si="171"/>
        <v>1.3698000000000001</v>
      </c>
      <c r="J687">
        <f t="shared" si="172"/>
        <v>2.7871999999999999</v>
      </c>
      <c r="K687">
        <f t="shared" si="173"/>
        <v>37.916399999999996</v>
      </c>
      <c r="L687">
        <f t="shared" si="174"/>
        <v>-3.4317464799999997</v>
      </c>
      <c r="M687">
        <f t="shared" si="175"/>
        <v>315.94899999999996</v>
      </c>
      <c r="O687">
        <v>317</v>
      </c>
      <c r="P687">
        <v>2300</v>
      </c>
      <c r="Q687">
        <v>0.73199999999999998</v>
      </c>
      <c r="R687">
        <f t="shared" si="170"/>
        <v>-0.72738718938445479</v>
      </c>
    </row>
    <row r="688" spans="1:18" x14ac:dyDescent="0.25">
      <c r="A688">
        <v>7</v>
      </c>
      <c r="B688">
        <v>11</v>
      </c>
      <c r="C688">
        <v>32</v>
      </c>
      <c r="D688">
        <v>491</v>
      </c>
      <c r="E688">
        <v>473</v>
      </c>
      <c r="F688">
        <v>889</v>
      </c>
      <c r="G688" t="s">
        <v>5</v>
      </c>
      <c r="H688" s="1">
        <f t="shared" si="164"/>
        <v>36842.97916666833</v>
      </c>
      <c r="I688">
        <f t="shared" si="171"/>
        <v>1.2206000000000001</v>
      </c>
      <c r="J688">
        <f t="shared" si="172"/>
        <v>2.7871999999999999</v>
      </c>
      <c r="K688">
        <f t="shared" si="173"/>
        <v>48.034199999999998</v>
      </c>
      <c r="L688">
        <f t="shared" si="174"/>
        <v>-3.5217354200000002</v>
      </c>
      <c r="M688">
        <f t="shared" si="175"/>
        <v>311.76099999999997</v>
      </c>
      <c r="O688">
        <v>317</v>
      </c>
      <c r="P688">
        <v>2330</v>
      </c>
      <c r="Q688">
        <v>0.73199999999999998</v>
      </c>
      <c r="R688">
        <f t="shared" si="170"/>
        <v>-0.72726583633926889</v>
      </c>
    </row>
    <row r="689" spans="1:18" x14ac:dyDescent="0.25">
      <c r="A689">
        <v>7</v>
      </c>
      <c r="B689">
        <v>11</v>
      </c>
      <c r="C689">
        <v>24</v>
      </c>
      <c r="D689">
        <v>96</v>
      </c>
      <c r="E689">
        <v>475</v>
      </c>
      <c r="F689">
        <v>853</v>
      </c>
      <c r="G689" t="s">
        <v>5</v>
      </c>
      <c r="H689" s="1">
        <f t="shared" si="164"/>
        <v>36843.000000001666</v>
      </c>
      <c r="I689">
        <f t="shared" si="171"/>
        <v>1.2206000000000001</v>
      </c>
      <c r="J689">
        <f t="shared" si="172"/>
        <v>2.1903999999999999</v>
      </c>
      <c r="K689">
        <f t="shared" si="173"/>
        <v>7.6651999999999996</v>
      </c>
      <c r="L689">
        <f t="shared" si="174"/>
        <v>-3.3417374999999989</v>
      </c>
      <c r="M689">
        <f t="shared" si="175"/>
        <v>299.197</v>
      </c>
      <c r="O689">
        <v>317</v>
      </c>
      <c r="P689">
        <v>2400</v>
      </c>
      <c r="Q689">
        <v>0.73199999999999998</v>
      </c>
      <c r="R689">
        <f t="shared" si="170"/>
        <v>-0.72750854920501939</v>
      </c>
    </row>
    <row r="690" spans="1:18" x14ac:dyDescent="0.25">
      <c r="A690">
        <v>7</v>
      </c>
      <c r="B690">
        <v>18</v>
      </c>
      <c r="C690">
        <v>36</v>
      </c>
      <c r="D690">
        <v>804</v>
      </c>
      <c r="E690">
        <v>474</v>
      </c>
      <c r="F690">
        <v>873</v>
      </c>
      <c r="G690" t="s">
        <v>5</v>
      </c>
      <c r="H690" s="1">
        <f t="shared" si="164"/>
        <v>36843.020833335002</v>
      </c>
      <c r="I690">
        <f t="shared" si="171"/>
        <v>1.7427999999999999</v>
      </c>
      <c r="J690">
        <f t="shared" si="172"/>
        <v>3.0855999999999999</v>
      </c>
      <c r="K690">
        <f t="shared" si="173"/>
        <v>80.022800000000004</v>
      </c>
      <c r="L690">
        <f t="shared" si="174"/>
        <v>-3.4317464799999997</v>
      </c>
      <c r="M690">
        <f t="shared" si="175"/>
        <v>306.17699999999996</v>
      </c>
      <c r="O690">
        <v>318</v>
      </c>
      <c r="P690">
        <v>30</v>
      </c>
      <c r="Q690">
        <v>0.73199999999999998</v>
      </c>
      <c r="R690">
        <f t="shared" si="170"/>
        <v>-0.72738718938445479</v>
      </c>
    </row>
    <row r="691" spans="1:18" x14ac:dyDescent="0.25">
      <c r="A691">
        <v>71</v>
      </c>
      <c r="B691">
        <v>13</v>
      </c>
      <c r="C691">
        <v>36</v>
      </c>
      <c r="D691">
        <v>324</v>
      </c>
      <c r="E691">
        <v>475</v>
      </c>
      <c r="F691">
        <v>840</v>
      </c>
      <c r="G691" t="s">
        <v>5</v>
      </c>
      <c r="H691" s="1">
        <f t="shared" si="164"/>
        <v>36843.041666668338</v>
      </c>
      <c r="I691">
        <f t="shared" si="171"/>
        <v>1.3698000000000001</v>
      </c>
      <c r="J691">
        <f t="shared" si="172"/>
        <v>3.0855999999999999</v>
      </c>
      <c r="K691">
        <f t="shared" si="173"/>
        <v>30.966799999999999</v>
      </c>
      <c r="L691">
        <f t="shared" si="174"/>
        <v>-3.3417374999999989</v>
      </c>
      <c r="M691">
        <f t="shared" si="175"/>
        <v>294.65999999999997</v>
      </c>
      <c r="O691">
        <v>318</v>
      </c>
      <c r="P691">
        <v>100</v>
      </c>
      <c r="Q691">
        <v>0.73199999999999998</v>
      </c>
      <c r="R691">
        <f t="shared" si="170"/>
        <v>-0.72750854920501939</v>
      </c>
    </row>
    <row r="692" spans="1:18" x14ac:dyDescent="0.25">
      <c r="A692">
        <v>71</v>
      </c>
      <c r="B692">
        <v>19</v>
      </c>
      <c r="C692">
        <v>36</v>
      </c>
      <c r="D692">
        <v>576</v>
      </c>
      <c r="E692">
        <v>475</v>
      </c>
      <c r="F692">
        <v>860</v>
      </c>
      <c r="G692" t="s">
        <v>5</v>
      </c>
      <c r="H692" s="1">
        <f t="shared" si="164"/>
        <v>36843.062500001673</v>
      </c>
      <c r="I692">
        <f t="shared" si="171"/>
        <v>1.8174000000000001</v>
      </c>
      <c r="J692">
        <f t="shared" si="172"/>
        <v>3.0855999999999999</v>
      </c>
      <c r="K692">
        <f t="shared" si="173"/>
        <v>56.721199999999996</v>
      </c>
      <c r="L692">
        <f t="shared" si="174"/>
        <v>-3.3417374999999989</v>
      </c>
      <c r="M692">
        <f t="shared" si="175"/>
        <v>301.64</v>
      </c>
      <c r="O692">
        <v>318</v>
      </c>
      <c r="P692">
        <v>130</v>
      </c>
      <c r="Q692">
        <v>0.73199999999999998</v>
      </c>
      <c r="R692">
        <f t="shared" si="170"/>
        <v>-0.72750854920501939</v>
      </c>
    </row>
    <row r="693" spans="1:18" x14ac:dyDescent="0.25">
      <c r="A693">
        <v>71</v>
      </c>
      <c r="B693">
        <v>8</v>
      </c>
      <c r="C693">
        <v>24</v>
      </c>
      <c r="D693">
        <v>848</v>
      </c>
      <c r="E693">
        <v>470</v>
      </c>
      <c r="F693">
        <v>840</v>
      </c>
      <c r="G693" t="s">
        <v>5</v>
      </c>
      <c r="H693" s="1">
        <f t="shared" ref="H693:H755" si="176">H692+1/48</f>
        <v>36843.083333335009</v>
      </c>
      <c r="I693">
        <f t="shared" si="171"/>
        <v>0.99680000000000002</v>
      </c>
      <c r="J693">
        <f t="shared" si="172"/>
        <v>2.1903999999999999</v>
      </c>
      <c r="K693">
        <f t="shared" si="173"/>
        <v>84.519599999999997</v>
      </c>
      <c r="L693">
        <f t="shared" si="174"/>
        <v>-3.7915820000000022</v>
      </c>
      <c r="M693">
        <f t="shared" si="175"/>
        <v>294.65999999999997</v>
      </c>
      <c r="O693">
        <v>318</v>
      </c>
      <c r="P693">
        <v>200</v>
      </c>
      <c r="Q693">
        <v>0.73199999999999998</v>
      </c>
      <c r="R693">
        <f t="shared" si="170"/>
        <v>-0.72690181788991548</v>
      </c>
    </row>
    <row r="694" spans="1:18" x14ac:dyDescent="0.25">
      <c r="A694">
        <v>71</v>
      </c>
      <c r="B694">
        <v>24</v>
      </c>
      <c r="C694">
        <v>40</v>
      </c>
      <c r="D694">
        <v>823</v>
      </c>
      <c r="E694">
        <v>467</v>
      </c>
      <c r="F694">
        <v>821</v>
      </c>
      <c r="G694" t="s">
        <v>5</v>
      </c>
      <c r="H694" s="1">
        <f t="shared" si="176"/>
        <v>36843.104166668345</v>
      </c>
      <c r="I694">
        <f t="shared" ref="I694:I753" si="177">0.4+0.0746*B694</f>
        <v>2.1903999999999999</v>
      </c>
      <c r="J694">
        <f t="shared" ref="J694:J753" si="178">0.4+0.0746*C694</f>
        <v>3.3839999999999999</v>
      </c>
      <c r="K694">
        <f t="shared" ref="K694:K753" si="179">-2.146+0.1022*D694</f>
        <v>81.964600000000004</v>
      </c>
      <c r="L694">
        <f t="shared" ref="L694:L753" si="180">-43.84+0.0805*E694+0.00001002*E694^2</f>
        <v>-4.0612482200000048</v>
      </c>
      <c r="M694">
        <f t="shared" ref="M694:M753" si="181">1.5+0.349*F694</f>
        <v>288.029</v>
      </c>
      <c r="O694">
        <v>318</v>
      </c>
      <c r="P694">
        <v>230</v>
      </c>
      <c r="Q694">
        <v>0.73499999999999999</v>
      </c>
      <c r="R694">
        <f t="shared" si="170"/>
        <v>-0.72951547472376033</v>
      </c>
    </row>
    <row r="695" spans="1:18" x14ac:dyDescent="0.25">
      <c r="A695">
        <v>711</v>
      </c>
      <c r="B695">
        <v>28</v>
      </c>
      <c r="C695">
        <v>60</v>
      </c>
      <c r="D695">
        <v>801</v>
      </c>
      <c r="E695">
        <v>471</v>
      </c>
      <c r="F695">
        <v>848</v>
      </c>
      <c r="G695" t="s">
        <v>5</v>
      </c>
      <c r="H695" s="1">
        <f t="shared" si="176"/>
        <v>36843.125000001681</v>
      </c>
      <c r="I695">
        <f t="shared" si="177"/>
        <v>2.4887999999999999</v>
      </c>
      <c r="J695">
        <f t="shared" si="178"/>
        <v>4.8760000000000003</v>
      </c>
      <c r="K695">
        <f t="shared" si="179"/>
        <v>79.716200000000001</v>
      </c>
      <c r="L695">
        <f t="shared" si="180"/>
        <v>-3.7016531800000019</v>
      </c>
      <c r="M695">
        <f t="shared" si="181"/>
        <v>297.452</v>
      </c>
      <c r="O695">
        <v>318</v>
      </c>
      <c r="P695">
        <v>300</v>
      </c>
      <c r="Q695">
        <v>0.73499999999999999</v>
      </c>
      <c r="R695">
        <f t="shared" si="170"/>
        <v>-0.73000275366478673</v>
      </c>
    </row>
    <row r="696" spans="1:18" x14ac:dyDescent="0.25">
      <c r="A696">
        <v>711</v>
      </c>
      <c r="B696">
        <v>18</v>
      </c>
      <c r="C696">
        <v>40</v>
      </c>
      <c r="D696">
        <v>190</v>
      </c>
      <c r="E696">
        <v>475</v>
      </c>
      <c r="F696">
        <v>869</v>
      </c>
      <c r="G696" t="s">
        <v>5</v>
      </c>
      <c r="H696" s="1">
        <f t="shared" si="176"/>
        <v>36843.145833335017</v>
      </c>
      <c r="I696">
        <f t="shared" si="177"/>
        <v>1.7427999999999999</v>
      </c>
      <c r="J696">
        <f t="shared" si="178"/>
        <v>3.3839999999999999</v>
      </c>
      <c r="K696">
        <f t="shared" si="179"/>
        <v>17.271999999999998</v>
      </c>
      <c r="L696">
        <f t="shared" si="180"/>
        <v>-3.3417374999999989</v>
      </c>
      <c r="M696">
        <f t="shared" si="181"/>
        <v>304.78100000000001</v>
      </c>
      <c r="O696">
        <v>318</v>
      </c>
      <c r="P696">
        <v>330</v>
      </c>
      <c r="Q696">
        <v>0.73199999999999998</v>
      </c>
      <c r="R696">
        <f t="shared" si="170"/>
        <v>-0.72750854920501939</v>
      </c>
    </row>
    <row r="697" spans="1:18" x14ac:dyDescent="0.25">
      <c r="A697">
        <v>711</v>
      </c>
      <c r="B697">
        <v>13</v>
      </c>
      <c r="C697">
        <v>48</v>
      </c>
      <c r="D697">
        <v>167</v>
      </c>
      <c r="E697">
        <v>473</v>
      </c>
      <c r="F697">
        <v>897</v>
      </c>
      <c r="G697" t="s">
        <v>5</v>
      </c>
      <c r="H697" s="1">
        <f t="shared" si="176"/>
        <v>36843.166666668352</v>
      </c>
      <c r="I697">
        <f t="shared" si="177"/>
        <v>1.3698000000000001</v>
      </c>
      <c r="J697">
        <f t="shared" si="178"/>
        <v>3.9807999999999999</v>
      </c>
      <c r="K697">
        <f t="shared" si="179"/>
        <v>14.921399999999998</v>
      </c>
      <c r="L697">
        <f t="shared" si="180"/>
        <v>-3.5217354200000002</v>
      </c>
      <c r="M697">
        <f t="shared" si="181"/>
        <v>314.553</v>
      </c>
      <c r="O697">
        <v>318</v>
      </c>
      <c r="P697">
        <v>400</v>
      </c>
      <c r="Q697">
        <v>0.73199999999999998</v>
      </c>
      <c r="R697">
        <f t="shared" si="170"/>
        <v>-0.72726583633926889</v>
      </c>
    </row>
    <row r="698" spans="1:18" x14ac:dyDescent="0.25">
      <c r="A698">
        <v>711</v>
      </c>
      <c r="B698">
        <v>23</v>
      </c>
      <c r="C698">
        <v>52</v>
      </c>
      <c r="D698">
        <v>959</v>
      </c>
      <c r="E698">
        <v>474</v>
      </c>
      <c r="F698">
        <v>899</v>
      </c>
      <c r="G698" t="s">
        <v>5</v>
      </c>
      <c r="H698" s="1">
        <f t="shared" si="176"/>
        <v>36843.187500001688</v>
      </c>
      <c r="I698">
        <f t="shared" si="177"/>
        <v>2.1158000000000001</v>
      </c>
      <c r="J698">
        <f t="shared" si="178"/>
        <v>4.2792000000000003</v>
      </c>
      <c r="K698">
        <f t="shared" si="179"/>
        <v>95.863799999999998</v>
      </c>
      <c r="L698">
        <f t="shared" si="180"/>
        <v>-3.4317464799999997</v>
      </c>
      <c r="M698">
        <f t="shared" si="181"/>
        <v>315.25099999999998</v>
      </c>
      <c r="O698">
        <v>318</v>
      </c>
      <c r="P698">
        <v>430</v>
      </c>
      <c r="Q698">
        <v>0.73499999999999999</v>
      </c>
      <c r="R698">
        <f t="shared" si="170"/>
        <v>-0.73036828442291568</v>
      </c>
    </row>
    <row r="699" spans="1:18" x14ac:dyDescent="0.25">
      <c r="A699">
        <v>711</v>
      </c>
      <c r="B699">
        <v>18</v>
      </c>
      <c r="C699">
        <v>40</v>
      </c>
      <c r="D699">
        <v>508</v>
      </c>
      <c r="E699">
        <v>474</v>
      </c>
      <c r="F699">
        <v>865</v>
      </c>
      <c r="G699" t="s">
        <v>5</v>
      </c>
      <c r="H699" s="1">
        <f t="shared" si="176"/>
        <v>36843.208333335024</v>
      </c>
      <c r="I699">
        <f t="shared" si="177"/>
        <v>1.7427999999999999</v>
      </c>
      <c r="J699">
        <f t="shared" si="178"/>
        <v>3.3839999999999999</v>
      </c>
      <c r="K699">
        <f t="shared" si="179"/>
        <v>49.771599999999999</v>
      </c>
      <c r="L699">
        <f t="shared" si="180"/>
        <v>-3.4317464799999997</v>
      </c>
      <c r="M699">
        <f t="shared" si="181"/>
        <v>303.38499999999999</v>
      </c>
      <c r="O699">
        <v>318</v>
      </c>
      <c r="P699">
        <v>500</v>
      </c>
      <c r="Q699">
        <v>0.73</v>
      </c>
      <c r="R699">
        <f t="shared" si="170"/>
        <v>-0.7253997926921476</v>
      </c>
    </row>
    <row r="700" spans="1:18" x14ac:dyDescent="0.25">
      <c r="A700">
        <v>711</v>
      </c>
      <c r="B700">
        <v>57</v>
      </c>
      <c r="C700">
        <v>112</v>
      </c>
      <c r="D700">
        <v>958</v>
      </c>
      <c r="E700">
        <v>472</v>
      </c>
      <c r="F700">
        <v>861</v>
      </c>
      <c r="G700" t="s">
        <v>5</v>
      </c>
      <c r="H700" s="1">
        <f t="shared" si="176"/>
        <v>36843.22916666836</v>
      </c>
      <c r="I700">
        <f t="shared" si="177"/>
        <v>4.6522000000000006</v>
      </c>
      <c r="J700">
        <f t="shared" si="178"/>
        <v>8.7552000000000003</v>
      </c>
      <c r="K700">
        <f t="shared" si="179"/>
        <v>95.761600000000001</v>
      </c>
      <c r="L700">
        <f t="shared" si="180"/>
        <v>-3.6117043200000012</v>
      </c>
      <c r="M700">
        <f t="shared" si="181"/>
        <v>301.98899999999998</v>
      </c>
      <c r="O700">
        <v>318</v>
      </c>
      <c r="P700">
        <v>530</v>
      </c>
      <c r="Q700">
        <v>0.73199999999999998</v>
      </c>
      <c r="R700">
        <f t="shared" si="170"/>
        <v>-0.72714449007285387</v>
      </c>
    </row>
    <row r="701" spans="1:18" x14ac:dyDescent="0.25">
      <c r="A701">
        <v>711</v>
      </c>
      <c r="B701">
        <v>49</v>
      </c>
      <c r="C701">
        <v>104</v>
      </c>
      <c r="D701">
        <v>318</v>
      </c>
      <c r="E701">
        <v>476</v>
      </c>
      <c r="F701">
        <v>737</v>
      </c>
      <c r="G701" t="s">
        <v>5</v>
      </c>
      <c r="H701" s="1">
        <f t="shared" si="176"/>
        <v>36843.250000001695</v>
      </c>
      <c r="I701">
        <f t="shared" si="177"/>
        <v>4.0554000000000006</v>
      </c>
      <c r="J701">
        <f t="shared" si="178"/>
        <v>8.1584000000000003</v>
      </c>
      <c r="K701">
        <f t="shared" si="179"/>
        <v>30.3536</v>
      </c>
      <c r="L701">
        <f t="shared" si="180"/>
        <v>-3.2517084800000053</v>
      </c>
      <c r="M701">
        <f t="shared" si="181"/>
        <v>258.71299999999997</v>
      </c>
      <c r="O701">
        <v>318</v>
      </c>
      <c r="P701">
        <v>600</v>
      </c>
      <c r="Q701">
        <v>0.73</v>
      </c>
      <c r="R701">
        <f t="shared" si="170"/>
        <v>-0.72564185591834396</v>
      </c>
    </row>
    <row r="702" spans="1:18" x14ac:dyDescent="0.25">
      <c r="A702">
        <v>711</v>
      </c>
      <c r="B702">
        <v>95</v>
      </c>
      <c r="C702">
        <v>304</v>
      </c>
      <c r="D702">
        <v>821</v>
      </c>
      <c r="E702">
        <v>474</v>
      </c>
      <c r="F702">
        <v>721</v>
      </c>
      <c r="G702" t="s">
        <v>5</v>
      </c>
      <c r="H702" s="1">
        <f t="shared" si="176"/>
        <v>36843.270833335031</v>
      </c>
      <c r="I702">
        <f t="shared" si="177"/>
        <v>7.4870000000000001</v>
      </c>
      <c r="J702">
        <f t="shared" si="178"/>
        <v>23.078399999999998</v>
      </c>
      <c r="K702">
        <f t="shared" si="179"/>
        <v>81.760199999999998</v>
      </c>
      <c r="L702">
        <f t="shared" si="180"/>
        <v>-3.4317464799999997</v>
      </c>
      <c r="M702">
        <f t="shared" si="181"/>
        <v>253.12899999999999</v>
      </c>
      <c r="O702">
        <v>318</v>
      </c>
      <c r="P702">
        <v>630</v>
      </c>
      <c r="Q702">
        <v>0.73199999999999998</v>
      </c>
      <c r="R702">
        <f t="shared" si="170"/>
        <v>-0.72738718938445479</v>
      </c>
    </row>
    <row r="703" spans="1:18" x14ac:dyDescent="0.25">
      <c r="A703">
        <v>711</v>
      </c>
      <c r="B703">
        <v>70</v>
      </c>
      <c r="C703">
        <v>252</v>
      </c>
      <c r="D703">
        <v>616</v>
      </c>
      <c r="E703">
        <v>467</v>
      </c>
      <c r="F703">
        <v>597</v>
      </c>
      <c r="G703" t="s">
        <v>5</v>
      </c>
      <c r="H703" s="1">
        <f t="shared" si="176"/>
        <v>36843.291666668367</v>
      </c>
      <c r="I703">
        <f t="shared" si="177"/>
        <v>5.6219999999999999</v>
      </c>
      <c r="J703">
        <f t="shared" si="178"/>
        <v>19.199199999999998</v>
      </c>
      <c r="K703">
        <f t="shared" si="179"/>
        <v>60.809199999999997</v>
      </c>
      <c r="L703">
        <f t="shared" si="180"/>
        <v>-4.0612482200000048</v>
      </c>
      <c r="M703">
        <f t="shared" si="181"/>
        <v>209.85299999999998</v>
      </c>
      <c r="O703">
        <v>318</v>
      </c>
      <c r="P703">
        <v>700</v>
      </c>
      <c r="Q703">
        <v>0.73</v>
      </c>
      <c r="R703">
        <f t="shared" si="170"/>
        <v>-0.72455278441951698</v>
      </c>
    </row>
    <row r="704" spans="1:18" x14ac:dyDescent="0.25">
      <c r="A704">
        <v>711</v>
      </c>
      <c r="B704">
        <v>77</v>
      </c>
      <c r="C704">
        <v>180</v>
      </c>
      <c r="D704">
        <v>892</v>
      </c>
      <c r="E704">
        <v>471</v>
      </c>
      <c r="F704">
        <v>633</v>
      </c>
      <c r="G704" t="s">
        <v>5</v>
      </c>
      <c r="H704" s="1">
        <f t="shared" si="176"/>
        <v>36843.312500001703</v>
      </c>
      <c r="I704">
        <f t="shared" si="177"/>
        <v>6.1442000000000005</v>
      </c>
      <c r="J704">
        <f t="shared" si="178"/>
        <v>13.828000000000001</v>
      </c>
      <c r="K704">
        <f t="shared" si="179"/>
        <v>89.016400000000004</v>
      </c>
      <c r="L704">
        <f t="shared" si="180"/>
        <v>-3.7016531800000019</v>
      </c>
      <c r="M704">
        <f t="shared" si="181"/>
        <v>222.41699999999997</v>
      </c>
      <c r="O704">
        <v>318</v>
      </c>
      <c r="P704">
        <v>730</v>
      </c>
      <c r="Q704">
        <v>0.72699999999999998</v>
      </c>
      <c r="R704">
        <f t="shared" si="170"/>
        <v>-0.72205714546163258</v>
      </c>
    </row>
    <row r="705" spans="1:18" x14ac:dyDescent="0.25">
      <c r="A705">
        <v>711</v>
      </c>
      <c r="B705">
        <v>119</v>
      </c>
      <c r="C705">
        <v>252</v>
      </c>
      <c r="D705">
        <v>898</v>
      </c>
      <c r="E705">
        <v>465</v>
      </c>
      <c r="F705">
        <v>585</v>
      </c>
      <c r="G705" t="s">
        <v>5</v>
      </c>
      <c r="H705" s="1">
        <f t="shared" si="176"/>
        <v>36843.333333335038</v>
      </c>
      <c r="I705">
        <f t="shared" si="177"/>
        <v>9.2774000000000001</v>
      </c>
      <c r="J705">
        <f t="shared" si="178"/>
        <v>19.199199999999998</v>
      </c>
      <c r="K705">
        <f t="shared" si="179"/>
        <v>89.629599999999996</v>
      </c>
      <c r="L705">
        <f t="shared" si="180"/>
        <v>-4.2409255000000057</v>
      </c>
      <c r="M705">
        <f t="shared" si="181"/>
        <v>205.66499999999999</v>
      </c>
      <c r="O705">
        <v>318</v>
      </c>
      <c r="P705">
        <v>800</v>
      </c>
      <c r="Q705">
        <v>0.72699999999999998</v>
      </c>
      <c r="R705">
        <f t="shared" si="170"/>
        <v>-0.72133422312747419</v>
      </c>
    </row>
    <row r="706" spans="1:18" x14ac:dyDescent="0.25">
      <c r="A706">
        <v>711</v>
      </c>
      <c r="B706">
        <v>106</v>
      </c>
      <c r="C706">
        <v>308</v>
      </c>
      <c r="D706">
        <v>866</v>
      </c>
      <c r="E706">
        <v>471</v>
      </c>
      <c r="F706">
        <v>617</v>
      </c>
      <c r="G706" t="s">
        <v>5</v>
      </c>
      <c r="H706" s="1">
        <f t="shared" si="176"/>
        <v>36843.354166668374</v>
      </c>
      <c r="I706">
        <f t="shared" si="177"/>
        <v>8.3076000000000008</v>
      </c>
      <c r="J706">
        <f t="shared" si="178"/>
        <v>23.376799999999999</v>
      </c>
      <c r="K706">
        <f t="shared" si="179"/>
        <v>86.359200000000001</v>
      </c>
      <c r="L706">
        <f t="shared" si="180"/>
        <v>-3.7016531800000019</v>
      </c>
      <c r="M706">
        <f t="shared" si="181"/>
        <v>216.833</v>
      </c>
      <c r="O706">
        <v>318</v>
      </c>
      <c r="P706">
        <v>830</v>
      </c>
      <c r="Q706">
        <v>0.73</v>
      </c>
      <c r="R706">
        <f t="shared" si="170"/>
        <v>-0.72503674853781541</v>
      </c>
    </row>
    <row r="707" spans="1:18" x14ac:dyDescent="0.25">
      <c r="A707">
        <v>711</v>
      </c>
      <c r="B707">
        <v>102</v>
      </c>
      <c r="C707">
        <v>272</v>
      </c>
      <c r="D707">
        <v>818</v>
      </c>
      <c r="E707">
        <v>468</v>
      </c>
      <c r="F707">
        <v>629</v>
      </c>
      <c r="G707" t="s">
        <v>5</v>
      </c>
      <c r="H707" s="1">
        <f t="shared" si="176"/>
        <v>36843.37500000171</v>
      </c>
      <c r="I707">
        <f t="shared" si="177"/>
        <v>8.0091999999999999</v>
      </c>
      <c r="J707">
        <f t="shared" si="178"/>
        <v>20.691199999999998</v>
      </c>
      <c r="K707">
        <f t="shared" si="179"/>
        <v>81.453599999999994</v>
      </c>
      <c r="L707">
        <f t="shared" si="180"/>
        <v>-3.9713795200000037</v>
      </c>
      <c r="M707">
        <f t="shared" si="181"/>
        <v>221.02099999999999</v>
      </c>
      <c r="O707">
        <v>318</v>
      </c>
      <c r="P707">
        <v>900</v>
      </c>
      <c r="Q707">
        <v>0.72699999999999998</v>
      </c>
      <c r="R707">
        <f t="shared" si="170"/>
        <v>-0.72169565392249924</v>
      </c>
    </row>
    <row r="708" spans="1:18" x14ac:dyDescent="0.25">
      <c r="A708">
        <v>711</v>
      </c>
      <c r="B708">
        <v>111</v>
      </c>
      <c r="C708">
        <v>268</v>
      </c>
      <c r="D708">
        <v>958</v>
      </c>
      <c r="E708">
        <v>466</v>
      </c>
      <c r="F708">
        <v>625</v>
      </c>
      <c r="G708" t="s">
        <v>5</v>
      </c>
      <c r="H708" s="1">
        <f t="shared" si="176"/>
        <v>36843.395833335046</v>
      </c>
      <c r="I708">
        <f t="shared" si="177"/>
        <v>8.6806000000000001</v>
      </c>
      <c r="J708">
        <f t="shared" si="178"/>
        <v>20.392799999999998</v>
      </c>
      <c r="K708">
        <f t="shared" si="179"/>
        <v>95.761600000000001</v>
      </c>
      <c r="L708">
        <f t="shared" si="180"/>
        <v>-4.1510968800000052</v>
      </c>
      <c r="M708">
        <f t="shared" si="181"/>
        <v>219.62499999999997</v>
      </c>
      <c r="O708">
        <v>318</v>
      </c>
      <c r="P708">
        <v>930</v>
      </c>
      <c r="Q708">
        <v>0.73</v>
      </c>
      <c r="R708">
        <f t="shared" si="170"/>
        <v>-0.72443181033293358</v>
      </c>
    </row>
    <row r="709" spans="1:18" x14ac:dyDescent="0.25">
      <c r="A709">
        <v>711</v>
      </c>
      <c r="B709">
        <v>83</v>
      </c>
      <c r="C709">
        <v>260</v>
      </c>
      <c r="D709">
        <v>993</v>
      </c>
      <c r="E709">
        <v>467</v>
      </c>
      <c r="F709">
        <v>677</v>
      </c>
      <c r="G709" t="s">
        <v>5</v>
      </c>
      <c r="H709" s="1">
        <f t="shared" si="176"/>
        <v>36843.416666668381</v>
      </c>
      <c r="I709">
        <f t="shared" si="177"/>
        <v>6.5918000000000001</v>
      </c>
      <c r="J709">
        <f t="shared" si="178"/>
        <v>19.795999999999999</v>
      </c>
      <c r="K709">
        <f t="shared" si="179"/>
        <v>99.3386</v>
      </c>
      <c r="L709">
        <f t="shared" si="180"/>
        <v>-4.0612482200000048</v>
      </c>
      <c r="M709">
        <f t="shared" si="181"/>
        <v>237.773</v>
      </c>
      <c r="O709">
        <v>318</v>
      </c>
      <c r="P709">
        <v>1000</v>
      </c>
      <c r="Q709">
        <v>0.72699999999999998</v>
      </c>
      <c r="R709">
        <f t="shared" si="170"/>
        <v>-0.72157517023697104</v>
      </c>
    </row>
    <row r="710" spans="1:18" x14ac:dyDescent="0.25">
      <c r="A710">
        <v>711</v>
      </c>
      <c r="B710">
        <v>132</v>
      </c>
      <c r="C710">
        <v>272</v>
      </c>
      <c r="D710">
        <v>774</v>
      </c>
      <c r="E710">
        <v>449</v>
      </c>
      <c r="F710">
        <v>749</v>
      </c>
      <c r="G710" t="s">
        <v>5</v>
      </c>
      <c r="H710" s="1">
        <f t="shared" si="176"/>
        <v>36843.437500001717</v>
      </c>
      <c r="I710">
        <f t="shared" si="177"/>
        <v>10.247200000000001</v>
      </c>
      <c r="J710">
        <f t="shared" si="178"/>
        <v>20.691199999999998</v>
      </c>
      <c r="K710">
        <f t="shared" si="179"/>
        <v>76.956800000000001</v>
      </c>
      <c r="L710">
        <f t="shared" si="180"/>
        <v>-5.6754579800000027</v>
      </c>
      <c r="M710">
        <f t="shared" si="181"/>
        <v>262.90100000000001</v>
      </c>
      <c r="O710">
        <v>318</v>
      </c>
      <c r="P710">
        <v>1030</v>
      </c>
      <c r="Q710">
        <v>0.73</v>
      </c>
      <c r="R710">
        <f t="shared" si="170"/>
        <v>-0.7223762915916464</v>
      </c>
    </row>
    <row r="711" spans="1:18" x14ac:dyDescent="0.25">
      <c r="A711">
        <v>711</v>
      </c>
      <c r="B711">
        <v>173</v>
      </c>
      <c r="C711">
        <v>296</v>
      </c>
      <c r="D711">
        <v>694</v>
      </c>
      <c r="E711">
        <v>451</v>
      </c>
      <c r="F711">
        <v>741</v>
      </c>
      <c r="G711" t="s">
        <v>5</v>
      </c>
      <c r="H711" s="1">
        <f t="shared" si="176"/>
        <v>36843.458333335053</v>
      </c>
      <c r="I711">
        <f t="shared" si="177"/>
        <v>13.3058</v>
      </c>
      <c r="J711">
        <f t="shared" si="178"/>
        <v>22.4816</v>
      </c>
      <c r="K711">
        <f t="shared" si="179"/>
        <v>68.780799999999999</v>
      </c>
      <c r="L711">
        <f t="shared" si="180"/>
        <v>-5.4964219800000009</v>
      </c>
      <c r="M711">
        <f t="shared" si="181"/>
        <v>260.10899999999998</v>
      </c>
      <c r="O711">
        <v>318</v>
      </c>
      <c r="P711">
        <v>1100</v>
      </c>
      <c r="Q711">
        <v>0.70699999999999996</v>
      </c>
      <c r="R711">
        <f t="shared" ref="R711:R774" si="182">-SQRT((L711+273.15)/273.15)*Q711</f>
        <v>-0.69985059810872696</v>
      </c>
    </row>
    <row r="712" spans="1:18" x14ac:dyDescent="0.25">
      <c r="A712">
        <v>71</v>
      </c>
      <c r="B712">
        <v>173</v>
      </c>
      <c r="C712">
        <v>312</v>
      </c>
      <c r="D712">
        <v>683</v>
      </c>
      <c r="E712">
        <v>454</v>
      </c>
      <c r="F712">
        <v>725</v>
      </c>
      <c r="G712" t="s">
        <v>5</v>
      </c>
      <c r="H712" s="1">
        <f t="shared" si="176"/>
        <v>36843.479166668389</v>
      </c>
      <c r="I712">
        <f t="shared" si="177"/>
        <v>13.3058</v>
      </c>
      <c r="J712">
        <f t="shared" si="178"/>
        <v>23.675199999999997</v>
      </c>
      <c r="K712">
        <f t="shared" si="179"/>
        <v>67.656599999999997</v>
      </c>
      <c r="L712">
        <f t="shared" si="180"/>
        <v>-5.2277176799999996</v>
      </c>
      <c r="M712">
        <f t="shared" si="181"/>
        <v>254.52499999999998</v>
      </c>
      <c r="O712">
        <v>318</v>
      </c>
      <c r="P712">
        <v>1130</v>
      </c>
      <c r="Q712">
        <v>0.67</v>
      </c>
      <c r="R712">
        <f t="shared" si="182"/>
        <v>-0.663557584178885</v>
      </c>
    </row>
    <row r="713" spans="1:18" x14ac:dyDescent="0.25">
      <c r="A713">
        <v>711</v>
      </c>
      <c r="B713">
        <v>164</v>
      </c>
      <c r="C713">
        <v>296</v>
      </c>
      <c r="D713">
        <v>643</v>
      </c>
      <c r="E713">
        <v>451</v>
      </c>
      <c r="F713">
        <v>793</v>
      </c>
      <c r="G713" t="s">
        <v>5</v>
      </c>
      <c r="H713" s="1">
        <f t="shared" si="176"/>
        <v>36843.500000001724</v>
      </c>
      <c r="I713">
        <f t="shared" si="177"/>
        <v>12.634400000000001</v>
      </c>
      <c r="J713">
        <f t="shared" si="178"/>
        <v>22.4816</v>
      </c>
      <c r="K713">
        <f t="shared" si="179"/>
        <v>63.568600000000004</v>
      </c>
      <c r="L713">
        <f t="shared" si="180"/>
        <v>-5.4964219800000009</v>
      </c>
      <c r="M713">
        <f t="shared" si="181"/>
        <v>278.25700000000001</v>
      </c>
      <c r="O713">
        <v>318</v>
      </c>
      <c r="P713">
        <v>1200</v>
      </c>
      <c r="Q713">
        <v>0.66200000000000003</v>
      </c>
      <c r="R713">
        <f t="shared" si="182"/>
        <v>-0.65530565197733703</v>
      </c>
    </row>
    <row r="714" spans="1:18" x14ac:dyDescent="0.25">
      <c r="A714">
        <v>711</v>
      </c>
      <c r="B714">
        <v>146</v>
      </c>
      <c r="C714">
        <v>244</v>
      </c>
      <c r="D714">
        <v>658</v>
      </c>
      <c r="E714">
        <v>460</v>
      </c>
      <c r="F714">
        <v>679</v>
      </c>
      <c r="G714" t="s">
        <v>5</v>
      </c>
      <c r="H714" s="1">
        <f t="shared" si="176"/>
        <v>36843.52083333506</v>
      </c>
      <c r="I714">
        <f t="shared" si="177"/>
        <v>11.291600000000001</v>
      </c>
      <c r="J714">
        <f t="shared" si="178"/>
        <v>18.602399999999999</v>
      </c>
      <c r="K714">
        <f t="shared" si="179"/>
        <v>65.101600000000005</v>
      </c>
      <c r="L714">
        <f t="shared" si="180"/>
        <v>-4.6897680000000026</v>
      </c>
      <c r="M714">
        <f t="shared" si="181"/>
        <v>238.47099999999998</v>
      </c>
      <c r="O714">
        <v>318</v>
      </c>
      <c r="P714">
        <v>1230</v>
      </c>
      <c r="Q714">
        <v>0.72499999999999998</v>
      </c>
      <c r="R714">
        <f t="shared" si="182"/>
        <v>-0.71874921724284657</v>
      </c>
    </row>
    <row r="715" spans="1:18" x14ac:dyDescent="0.25">
      <c r="A715">
        <v>711</v>
      </c>
      <c r="B715">
        <v>123</v>
      </c>
      <c r="C715">
        <v>256</v>
      </c>
      <c r="D715">
        <v>824</v>
      </c>
      <c r="E715">
        <v>453</v>
      </c>
      <c r="F715">
        <v>741</v>
      </c>
      <c r="G715" t="s">
        <v>5</v>
      </c>
      <c r="H715" s="1">
        <f t="shared" si="176"/>
        <v>36843.541666668396</v>
      </c>
      <c r="I715">
        <f t="shared" si="177"/>
        <v>9.575800000000001</v>
      </c>
      <c r="J715">
        <f t="shared" si="178"/>
        <v>19.497599999999998</v>
      </c>
      <c r="K715">
        <f t="shared" si="179"/>
        <v>82.066800000000001</v>
      </c>
      <c r="L715">
        <f t="shared" si="180"/>
        <v>-5.3173058199999996</v>
      </c>
      <c r="M715">
        <f t="shared" si="181"/>
        <v>260.10899999999998</v>
      </c>
      <c r="O715">
        <v>318</v>
      </c>
      <c r="P715">
        <v>1300</v>
      </c>
      <c r="Q715">
        <v>0.72199999999999998</v>
      </c>
      <c r="R715">
        <f t="shared" si="182"/>
        <v>-0.71493801493184073</v>
      </c>
    </row>
    <row r="716" spans="1:18" x14ac:dyDescent="0.25">
      <c r="A716">
        <v>711</v>
      </c>
      <c r="B716">
        <v>77</v>
      </c>
      <c r="C716">
        <v>224</v>
      </c>
      <c r="D716">
        <v>610</v>
      </c>
      <c r="E716">
        <v>466</v>
      </c>
      <c r="F716">
        <v>725</v>
      </c>
      <c r="G716" t="s">
        <v>5</v>
      </c>
      <c r="H716" s="1">
        <f t="shared" si="176"/>
        <v>36843.562500001732</v>
      </c>
      <c r="I716">
        <f t="shared" si="177"/>
        <v>6.1442000000000005</v>
      </c>
      <c r="J716">
        <f t="shared" si="178"/>
        <v>17.110399999999998</v>
      </c>
      <c r="K716">
        <f t="shared" si="179"/>
        <v>60.195999999999998</v>
      </c>
      <c r="L716">
        <f t="shared" si="180"/>
        <v>-4.1510968800000052</v>
      </c>
      <c r="M716">
        <f t="shared" si="181"/>
        <v>254.52499999999998</v>
      </c>
      <c r="O716">
        <v>318</v>
      </c>
      <c r="P716">
        <v>1330</v>
      </c>
      <c r="Q716">
        <v>0.72199999999999998</v>
      </c>
      <c r="R716">
        <f t="shared" si="182"/>
        <v>-0.71649283158955901</v>
      </c>
    </row>
    <row r="717" spans="1:18" x14ac:dyDescent="0.25">
      <c r="A717">
        <v>711</v>
      </c>
      <c r="B717">
        <v>60</v>
      </c>
      <c r="C717">
        <v>132</v>
      </c>
      <c r="D717">
        <v>514</v>
      </c>
      <c r="E717">
        <v>468</v>
      </c>
      <c r="F717">
        <v>677</v>
      </c>
      <c r="G717" t="s">
        <v>5</v>
      </c>
      <c r="H717" s="1">
        <f t="shared" si="176"/>
        <v>36843.583333335067</v>
      </c>
      <c r="I717">
        <f t="shared" ref="I717:I723" si="183">0.4+0.0746*B717</f>
        <v>4.8760000000000003</v>
      </c>
      <c r="J717">
        <f t="shared" ref="J717:J723" si="184">0.4+0.0746*C717</f>
        <v>10.247200000000001</v>
      </c>
      <c r="K717">
        <f t="shared" ref="K717:K723" si="185">-2.146+0.1022*D717</f>
        <v>50.384799999999998</v>
      </c>
      <c r="L717">
        <f t="shared" ref="L717:L723" si="186">-43.84+0.0805*E717+0.00001002*E717^2</f>
        <v>-3.9713795200000037</v>
      </c>
      <c r="M717">
        <f t="shared" ref="M717:M723" si="187">1.5+0.349*F717</f>
        <v>237.773</v>
      </c>
      <c r="O717">
        <v>318</v>
      </c>
      <c r="P717">
        <v>1400</v>
      </c>
      <c r="Q717">
        <v>0.72199999999999998</v>
      </c>
      <c r="R717">
        <f t="shared" si="182"/>
        <v>-0.71673213498217947</v>
      </c>
    </row>
    <row r="718" spans="1:18" x14ac:dyDescent="0.25">
      <c r="A718">
        <v>11</v>
      </c>
      <c r="B718">
        <v>78</v>
      </c>
      <c r="C718">
        <v>116</v>
      </c>
      <c r="D718">
        <v>656</v>
      </c>
      <c r="E718">
        <v>457</v>
      </c>
      <c r="F718">
        <v>749</v>
      </c>
      <c r="G718" t="s">
        <v>5</v>
      </c>
      <c r="H718" s="1">
        <f t="shared" si="176"/>
        <v>36843.604166668403</v>
      </c>
      <c r="I718">
        <f t="shared" si="183"/>
        <v>6.2187999999999999</v>
      </c>
      <c r="J718">
        <f t="shared" si="184"/>
        <v>9.0536000000000012</v>
      </c>
      <c r="K718">
        <f t="shared" si="185"/>
        <v>64.897199999999998</v>
      </c>
      <c r="L718">
        <f t="shared" si="186"/>
        <v>-4.9588330200000037</v>
      </c>
      <c r="M718">
        <f t="shared" si="187"/>
        <v>262.90100000000001</v>
      </c>
      <c r="O718">
        <v>318</v>
      </c>
      <c r="P718">
        <v>1430</v>
      </c>
      <c r="Q718">
        <v>0.72199999999999998</v>
      </c>
      <c r="R718">
        <f t="shared" si="182"/>
        <v>-0.71541629883889502</v>
      </c>
    </row>
    <row r="719" spans="1:18" x14ac:dyDescent="0.25">
      <c r="A719">
        <v>11</v>
      </c>
      <c r="B719">
        <v>29</v>
      </c>
      <c r="C719">
        <v>116</v>
      </c>
      <c r="D719">
        <v>842</v>
      </c>
      <c r="E719">
        <v>476</v>
      </c>
      <c r="F719">
        <v>593</v>
      </c>
      <c r="G719" t="s">
        <v>5</v>
      </c>
      <c r="H719" s="1">
        <f t="shared" si="176"/>
        <v>36843.625000001739</v>
      </c>
      <c r="I719">
        <f t="shared" si="183"/>
        <v>2.5634000000000001</v>
      </c>
      <c r="J719">
        <f t="shared" si="184"/>
        <v>9.0536000000000012</v>
      </c>
      <c r="K719">
        <f t="shared" si="185"/>
        <v>83.906400000000005</v>
      </c>
      <c r="L719">
        <f t="shared" si="186"/>
        <v>-3.2517084800000053</v>
      </c>
      <c r="M719">
        <f t="shared" si="187"/>
        <v>208.45699999999999</v>
      </c>
      <c r="O719">
        <v>318</v>
      </c>
      <c r="P719">
        <v>1500</v>
      </c>
      <c r="Q719">
        <v>0.71</v>
      </c>
      <c r="R719">
        <f t="shared" si="182"/>
        <v>-0.70576125712606053</v>
      </c>
    </row>
    <row r="720" spans="1:18" x14ac:dyDescent="0.25">
      <c r="A720">
        <v>11</v>
      </c>
      <c r="B720">
        <v>75</v>
      </c>
      <c r="C720">
        <v>220</v>
      </c>
      <c r="D720">
        <v>797</v>
      </c>
      <c r="E720">
        <v>465</v>
      </c>
      <c r="F720">
        <v>800</v>
      </c>
      <c r="G720" t="s">
        <v>5</v>
      </c>
      <c r="H720" s="1">
        <f t="shared" si="176"/>
        <v>36843.645833335075</v>
      </c>
      <c r="I720">
        <f t="shared" si="183"/>
        <v>5.9950000000000001</v>
      </c>
      <c r="J720">
        <f t="shared" si="184"/>
        <v>16.811999999999998</v>
      </c>
      <c r="K720">
        <f t="shared" si="185"/>
        <v>79.307400000000001</v>
      </c>
      <c r="L720">
        <f t="shared" si="186"/>
        <v>-4.2409255000000057</v>
      </c>
      <c r="M720">
        <f t="shared" si="187"/>
        <v>280.7</v>
      </c>
      <c r="O720">
        <v>318</v>
      </c>
      <c r="P720">
        <v>1530</v>
      </c>
      <c r="Q720">
        <v>0.73699999999999999</v>
      </c>
      <c r="R720">
        <f t="shared" si="182"/>
        <v>-0.73125628947035548</v>
      </c>
    </row>
    <row r="721" spans="1:18" x14ac:dyDescent="0.25">
      <c r="A721">
        <v>11</v>
      </c>
      <c r="B721">
        <v>46</v>
      </c>
      <c r="C721">
        <v>108</v>
      </c>
      <c r="D721">
        <v>407</v>
      </c>
      <c r="E721">
        <v>473</v>
      </c>
      <c r="F721">
        <v>681</v>
      </c>
      <c r="G721" t="s">
        <v>5</v>
      </c>
      <c r="H721" s="1">
        <f t="shared" si="176"/>
        <v>36843.66666666841</v>
      </c>
      <c r="I721">
        <f t="shared" si="183"/>
        <v>3.8315999999999999</v>
      </c>
      <c r="J721">
        <f t="shared" si="184"/>
        <v>8.4567999999999994</v>
      </c>
      <c r="K721">
        <f t="shared" si="185"/>
        <v>39.449399999999997</v>
      </c>
      <c r="L721">
        <f t="shared" si="186"/>
        <v>-3.5217354200000002</v>
      </c>
      <c r="M721">
        <f t="shared" si="187"/>
        <v>239.16899999999998</v>
      </c>
      <c r="O721">
        <v>318</v>
      </c>
      <c r="P721">
        <v>1600</v>
      </c>
      <c r="Q721">
        <v>0.71699999999999997</v>
      </c>
      <c r="R721">
        <f t="shared" si="182"/>
        <v>-0.71236284788969373</v>
      </c>
    </row>
    <row r="722" spans="1:18" x14ac:dyDescent="0.25">
      <c r="A722">
        <v>11</v>
      </c>
      <c r="B722">
        <v>67</v>
      </c>
      <c r="C722">
        <v>172</v>
      </c>
      <c r="D722">
        <v>739</v>
      </c>
      <c r="E722">
        <v>466</v>
      </c>
      <c r="F722">
        <v>721</v>
      </c>
      <c r="G722" t="s">
        <v>5</v>
      </c>
      <c r="H722" s="1">
        <f t="shared" si="176"/>
        <v>36843.687500001746</v>
      </c>
      <c r="I722">
        <f t="shared" si="183"/>
        <v>5.3982000000000001</v>
      </c>
      <c r="J722">
        <f t="shared" si="184"/>
        <v>13.231199999999999</v>
      </c>
      <c r="K722">
        <f t="shared" si="185"/>
        <v>73.379800000000003</v>
      </c>
      <c r="L722">
        <f t="shared" si="186"/>
        <v>-4.1510968800000052</v>
      </c>
      <c r="M722">
        <f t="shared" si="187"/>
        <v>253.12899999999999</v>
      </c>
      <c r="O722">
        <v>318</v>
      </c>
      <c r="P722">
        <v>1630</v>
      </c>
      <c r="Q722">
        <v>0.71199999999999997</v>
      </c>
      <c r="R722">
        <f t="shared" si="182"/>
        <v>-0.70656910816034069</v>
      </c>
    </row>
    <row r="723" spans="1:18" x14ac:dyDescent="0.25">
      <c r="A723">
        <v>11</v>
      </c>
      <c r="B723">
        <v>41</v>
      </c>
      <c r="C723">
        <v>76</v>
      </c>
      <c r="D723">
        <v>209</v>
      </c>
      <c r="E723">
        <v>473</v>
      </c>
      <c r="F723">
        <v>609</v>
      </c>
      <c r="G723" t="s">
        <v>5</v>
      </c>
      <c r="H723" s="1">
        <f t="shared" si="176"/>
        <v>36843.708333335082</v>
      </c>
      <c r="I723">
        <f t="shared" si="183"/>
        <v>3.4586000000000001</v>
      </c>
      <c r="J723">
        <f t="shared" si="184"/>
        <v>6.0696000000000003</v>
      </c>
      <c r="K723">
        <f t="shared" si="185"/>
        <v>19.213799999999999</v>
      </c>
      <c r="L723">
        <f t="shared" si="186"/>
        <v>-3.5217354200000002</v>
      </c>
      <c r="M723">
        <f t="shared" si="187"/>
        <v>214.041</v>
      </c>
      <c r="O723">
        <v>318</v>
      </c>
      <c r="P723">
        <v>1700</v>
      </c>
      <c r="Q723">
        <v>0.72</v>
      </c>
      <c r="R723">
        <f t="shared" si="182"/>
        <v>-0.71534344557960872</v>
      </c>
    </row>
    <row r="724" spans="1:18" x14ac:dyDescent="0.25">
      <c r="A724">
        <v>11</v>
      </c>
      <c r="B724">
        <v>69</v>
      </c>
      <c r="C724">
        <v>64</v>
      </c>
      <c r="D724">
        <v>56</v>
      </c>
      <c r="E724">
        <v>67</v>
      </c>
      <c r="F724">
        <v>43</v>
      </c>
      <c r="H724" s="1">
        <f t="shared" si="176"/>
        <v>36843.729166668418</v>
      </c>
      <c r="O724">
        <v>318</v>
      </c>
      <c r="P724">
        <v>1730</v>
      </c>
      <c r="Q724">
        <v>0.72199999999999998</v>
      </c>
    </row>
    <row r="725" spans="1:18" x14ac:dyDescent="0.25">
      <c r="A725">
        <v>11</v>
      </c>
      <c r="B725">
        <v>95</v>
      </c>
      <c r="C725">
        <v>44</v>
      </c>
      <c r="D725">
        <v>41</v>
      </c>
      <c r="E725">
        <v>63</v>
      </c>
      <c r="F725">
        <v>49</v>
      </c>
      <c r="H725" s="1">
        <f t="shared" si="176"/>
        <v>36843.750000001754</v>
      </c>
      <c r="O725">
        <v>318</v>
      </c>
      <c r="P725">
        <v>1800</v>
      </c>
      <c r="Q725">
        <v>0.72499999999999998</v>
      </c>
    </row>
    <row r="726" spans="1:18" x14ac:dyDescent="0.25">
      <c r="A726">
        <v>11</v>
      </c>
      <c r="B726">
        <v>53</v>
      </c>
      <c r="C726">
        <v>100</v>
      </c>
      <c r="D726">
        <v>836</v>
      </c>
      <c r="E726">
        <v>472</v>
      </c>
      <c r="F726">
        <v>641</v>
      </c>
      <c r="G726" t="s">
        <v>5</v>
      </c>
      <c r="H726" s="1">
        <f t="shared" si="176"/>
        <v>36843.770833335089</v>
      </c>
      <c r="I726">
        <f t="shared" ref="I726:I737" si="188">0.4+0.0746*B726</f>
        <v>4.3538000000000006</v>
      </c>
      <c r="J726">
        <f t="shared" ref="J726:J737" si="189">0.4+0.0746*C726</f>
        <v>7.86</v>
      </c>
      <c r="K726">
        <f t="shared" ref="K726:K737" si="190">-2.146+0.1022*D726</f>
        <v>83.293199999999999</v>
      </c>
      <c r="L726">
        <f t="shared" ref="L726:L737" si="191">-43.84+0.0805*E726+0.00001002*E726^2</f>
        <v>-3.6117043200000012</v>
      </c>
      <c r="M726">
        <f t="shared" ref="M726:M737" si="192">1.5+0.349*F726</f>
        <v>225.20899999999997</v>
      </c>
      <c r="O726">
        <v>318</v>
      </c>
      <c r="P726">
        <v>1830</v>
      </c>
      <c r="Q726">
        <v>0.72</v>
      </c>
      <c r="R726">
        <f t="shared" si="182"/>
        <v>-0.71522408859624975</v>
      </c>
    </row>
    <row r="727" spans="1:18" x14ac:dyDescent="0.25">
      <c r="A727">
        <v>11</v>
      </c>
      <c r="B727">
        <v>26</v>
      </c>
      <c r="C727">
        <v>76</v>
      </c>
      <c r="D727">
        <v>114</v>
      </c>
      <c r="E727">
        <v>465</v>
      </c>
      <c r="F727">
        <v>697</v>
      </c>
      <c r="G727" t="s">
        <v>5</v>
      </c>
      <c r="H727" s="1">
        <f t="shared" si="176"/>
        <v>36843.791666668425</v>
      </c>
      <c r="I727">
        <f t="shared" si="188"/>
        <v>2.3395999999999999</v>
      </c>
      <c r="J727">
        <f t="shared" si="189"/>
        <v>6.0696000000000003</v>
      </c>
      <c r="K727">
        <f t="shared" si="190"/>
        <v>9.5047999999999995</v>
      </c>
      <c r="L727">
        <f t="shared" si="191"/>
        <v>-4.2409255000000057</v>
      </c>
      <c r="M727">
        <f t="shared" si="192"/>
        <v>244.75299999999999</v>
      </c>
      <c r="O727">
        <v>318</v>
      </c>
      <c r="P727">
        <v>1900</v>
      </c>
      <c r="Q727">
        <v>0.72</v>
      </c>
      <c r="R727">
        <f t="shared" si="182"/>
        <v>-0.71438877668745726</v>
      </c>
    </row>
    <row r="728" spans="1:18" x14ac:dyDescent="0.25">
      <c r="A728">
        <v>11</v>
      </c>
      <c r="B728">
        <v>48</v>
      </c>
      <c r="C728">
        <v>88</v>
      </c>
      <c r="D728">
        <v>786</v>
      </c>
      <c r="E728">
        <v>458</v>
      </c>
      <c r="F728">
        <v>653</v>
      </c>
      <c r="G728" t="s">
        <v>5</v>
      </c>
      <c r="H728" s="1">
        <f t="shared" si="176"/>
        <v>36843.812500001761</v>
      </c>
      <c r="I728">
        <f t="shared" si="188"/>
        <v>3.9807999999999999</v>
      </c>
      <c r="J728">
        <f t="shared" si="189"/>
        <v>6.9648000000000003</v>
      </c>
      <c r="K728">
        <f t="shared" si="190"/>
        <v>78.183199999999999</v>
      </c>
      <c r="L728">
        <f t="shared" si="191"/>
        <v>-4.8691647200000041</v>
      </c>
      <c r="M728">
        <f t="shared" si="192"/>
        <v>229.39699999999999</v>
      </c>
      <c r="O728">
        <v>318</v>
      </c>
      <c r="P728">
        <v>1930</v>
      </c>
      <c r="Q728">
        <v>0.72</v>
      </c>
      <c r="R728">
        <f t="shared" si="182"/>
        <v>-0.71355379280515541</v>
      </c>
    </row>
    <row r="729" spans="1:18" x14ac:dyDescent="0.25">
      <c r="A729">
        <v>11</v>
      </c>
      <c r="B729">
        <v>79</v>
      </c>
      <c r="C729">
        <v>112</v>
      </c>
      <c r="D729">
        <v>883</v>
      </c>
      <c r="E729">
        <v>458</v>
      </c>
      <c r="F729">
        <v>677</v>
      </c>
      <c r="G729" t="s">
        <v>5</v>
      </c>
      <c r="H729" s="1">
        <f t="shared" si="176"/>
        <v>36843.833333335097</v>
      </c>
      <c r="I729">
        <f t="shared" si="188"/>
        <v>6.2934000000000001</v>
      </c>
      <c r="J729">
        <f t="shared" si="189"/>
        <v>8.7552000000000003</v>
      </c>
      <c r="K729">
        <f t="shared" si="190"/>
        <v>88.096599999999995</v>
      </c>
      <c r="L729">
        <f t="shared" si="191"/>
        <v>-4.8691647200000041</v>
      </c>
      <c r="M729">
        <f t="shared" si="192"/>
        <v>237.773</v>
      </c>
      <c r="O729">
        <v>318</v>
      </c>
      <c r="P729">
        <v>2000</v>
      </c>
      <c r="Q729">
        <v>0.72199999999999998</v>
      </c>
      <c r="R729">
        <f t="shared" si="182"/>
        <v>-0.71553588667405865</v>
      </c>
    </row>
    <row r="730" spans="1:18" x14ac:dyDescent="0.25">
      <c r="A730">
        <v>11</v>
      </c>
      <c r="B730">
        <v>41</v>
      </c>
      <c r="C730">
        <v>120</v>
      </c>
      <c r="D730">
        <v>930</v>
      </c>
      <c r="E730">
        <v>448</v>
      </c>
      <c r="F730">
        <v>713</v>
      </c>
      <c r="G730" t="s">
        <v>5</v>
      </c>
      <c r="H730" s="1">
        <v>36843.854166666664</v>
      </c>
      <c r="I730">
        <f t="shared" si="188"/>
        <v>3.4586000000000001</v>
      </c>
      <c r="J730">
        <f t="shared" si="189"/>
        <v>9.3520000000000003</v>
      </c>
      <c r="K730">
        <f t="shared" si="190"/>
        <v>92.899999999999991</v>
      </c>
      <c r="L730">
        <f t="shared" si="191"/>
        <v>-5.7649459200000033</v>
      </c>
      <c r="M730">
        <f t="shared" si="192"/>
        <v>250.33699999999999</v>
      </c>
      <c r="O730">
        <v>318</v>
      </c>
      <c r="P730">
        <v>2030</v>
      </c>
      <c r="Q730">
        <v>0.72199999999999998</v>
      </c>
      <c r="R730">
        <f t="shared" si="182"/>
        <v>-0.71434031202757819</v>
      </c>
    </row>
    <row r="731" spans="1:18" x14ac:dyDescent="0.25">
      <c r="A731">
        <v>7</v>
      </c>
      <c r="B731">
        <v>54</v>
      </c>
      <c r="C731">
        <v>76</v>
      </c>
      <c r="D731">
        <v>543</v>
      </c>
      <c r="E731">
        <v>451</v>
      </c>
      <c r="F731">
        <v>725</v>
      </c>
      <c r="G731" t="s">
        <v>5</v>
      </c>
      <c r="H731" s="1">
        <f t="shared" si="176"/>
        <v>36843.875</v>
      </c>
      <c r="I731">
        <f t="shared" si="188"/>
        <v>4.4283999999999999</v>
      </c>
      <c r="J731">
        <f t="shared" si="189"/>
        <v>6.0696000000000003</v>
      </c>
      <c r="K731">
        <f t="shared" si="190"/>
        <v>53.348599999999998</v>
      </c>
      <c r="L731">
        <f t="shared" si="191"/>
        <v>-5.4964219800000009</v>
      </c>
      <c r="M731">
        <f t="shared" si="192"/>
        <v>254.52499999999998</v>
      </c>
      <c r="O731">
        <v>318</v>
      </c>
      <c r="P731">
        <v>2100</v>
      </c>
      <c r="Q731">
        <v>0.72499999999999998</v>
      </c>
      <c r="R731">
        <f t="shared" si="182"/>
        <v>-0.71766857656128302</v>
      </c>
    </row>
    <row r="732" spans="1:18" x14ac:dyDescent="0.25">
      <c r="A732">
        <v>7</v>
      </c>
      <c r="B732">
        <v>40</v>
      </c>
      <c r="C732">
        <v>72</v>
      </c>
      <c r="D732">
        <v>429</v>
      </c>
      <c r="E732">
        <v>457</v>
      </c>
      <c r="F732">
        <v>713</v>
      </c>
      <c r="G732" t="s">
        <v>5</v>
      </c>
      <c r="H732" s="1">
        <f t="shared" si="176"/>
        <v>36843.895833333336</v>
      </c>
      <c r="I732">
        <f t="shared" si="188"/>
        <v>3.3839999999999999</v>
      </c>
      <c r="J732">
        <f t="shared" si="189"/>
        <v>5.7712000000000003</v>
      </c>
      <c r="K732">
        <f t="shared" si="190"/>
        <v>41.697800000000001</v>
      </c>
      <c r="L732">
        <f t="shared" si="191"/>
        <v>-4.9588330200000037</v>
      </c>
      <c r="M732">
        <f t="shared" si="192"/>
        <v>250.33699999999999</v>
      </c>
      <c r="O732">
        <v>318</v>
      </c>
      <c r="P732">
        <v>2130</v>
      </c>
      <c r="Q732">
        <v>0.72499999999999998</v>
      </c>
      <c r="R732">
        <f t="shared" si="182"/>
        <v>-0.71838894273988763</v>
      </c>
    </row>
    <row r="733" spans="1:18" x14ac:dyDescent="0.25">
      <c r="A733">
        <v>7</v>
      </c>
      <c r="B733">
        <v>16</v>
      </c>
      <c r="C733">
        <v>44</v>
      </c>
      <c r="D733">
        <v>1011</v>
      </c>
      <c r="E733">
        <v>455</v>
      </c>
      <c r="F733">
        <v>745</v>
      </c>
      <c r="G733" t="s">
        <v>5</v>
      </c>
      <c r="H733" s="1">
        <f t="shared" si="176"/>
        <v>36843.916666666672</v>
      </c>
      <c r="I733">
        <f t="shared" si="188"/>
        <v>1.5935999999999999</v>
      </c>
      <c r="J733">
        <f t="shared" si="189"/>
        <v>3.6823999999999999</v>
      </c>
      <c r="K733">
        <f t="shared" si="190"/>
        <v>101.1782</v>
      </c>
      <c r="L733">
        <f t="shared" si="191"/>
        <v>-5.1381095000000059</v>
      </c>
      <c r="M733">
        <f t="shared" si="192"/>
        <v>261.505</v>
      </c>
      <c r="O733">
        <v>318</v>
      </c>
      <c r="P733">
        <v>2200</v>
      </c>
      <c r="Q733">
        <v>0.72199999999999998</v>
      </c>
      <c r="R733">
        <f t="shared" si="182"/>
        <v>-0.71517714339188299</v>
      </c>
    </row>
    <row r="734" spans="1:18" x14ac:dyDescent="0.25">
      <c r="A734">
        <v>7</v>
      </c>
      <c r="B734">
        <v>41</v>
      </c>
      <c r="C734">
        <v>60</v>
      </c>
      <c r="D734">
        <v>815</v>
      </c>
      <c r="E734">
        <v>444</v>
      </c>
      <c r="F734">
        <v>725</v>
      </c>
      <c r="G734" t="s">
        <v>5</v>
      </c>
      <c r="H734" s="1">
        <f t="shared" si="176"/>
        <v>36843.937500000007</v>
      </c>
      <c r="I734">
        <f t="shared" si="188"/>
        <v>3.4586000000000001</v>
      </c>
      <c r="J734">
        <f t="shared" si="189"/>
        <v>4.8760000000000003</v>
      </c>
      <c r="K734">
        <f t="shared" si="190"/>
        <v>81.147000000000006</v>
      </c>
      <c r="L734">
        <f t="shared" si="191"/>
        <v>-6.1226972799999988</v>
      </c>
      <c r="M734">
        <f t="shared" si="192"/>
        <v>254.52499999999998</v>
      </c>
      <c r="O734">
        <v>318</v>
      </c>
      <c r="P734">
        <v>2230</v>
      </c>
      <c r="Q734">
        <v>0.72199999999999998</v>
      </c>
      <c r="R734">
        <f t="shared" si="182"/>
        <v>-0.71386227155249116</v>
      </c>
    </row>
    <row r="735" spans="1:18" x14ac:dyDescent="0.25">
      <c r="A735">
        <v>7</v>
      </c>
      <c r="B735">
        <v>45</v>
      </c>
      <c r="C735">
        <v>64</v>
      </c>
      <c r="D735">
        <v>915</v>
      </c>
      <c r="E735">
        <v>456</v>
      </c>
      <c r="F735">
        <v>757</v>
      </c>
      <c r="G735" t="s">
        <v>5</v>
      </c>
      <c r="H735" s="1">
        <f t="shared" si="176"/>
        <v>36843.958333333343</v>
      </c>
      <c r="I735">
        <f t="shared" si="188"/>
        <v>3.7570000000000001</v>
      </c>
      <c r="J735">
        <f t="shared" si="189"/>
        <v>5.1744000000000003</v>
      </c>
      <c r="K735">
        <f t="shared" si="190"/>
        <v>91.367000000000004</v>
      </c>
      <c r="L735">
        <f t="shared" si="191"/>
        <v>-5.0484812800000043</v>
      </c>
      <c r="M735">
        <f t="shared" si="192"/>
        <v>265.69299999999998</v>
      </c>
      <c r="O735">
        <v>318</v>
      </c>
      <c r="P735">
        <v>2300</v>
      </c>
      <c r="Q735">
        <v>0.72499999999999998</v>
      </c>
      <c r="R735">
        <f t="shared" si="182"/>
        <v>-0.71826886477034535</v>
      </c>
    </row>
    <row r="736" spans="1:18" x14ac:dyDescent="0.25">
      <c r="A736">
        <v>7</v>
      </c>
      <c r="B736">
        <v>44</v>
      </c>
      <c r="C736">
        <v>72</v>
      </c>
      <c r="D736">
        <v>978</v>
      </c>
      <c r="E736">
        <v>459</v>
      </c>
      <c r="F736">
        <v>761</v>
      </c>
      <c r="G736" t="s">
        <v>5</v>
      </c>
      <c r="H736" s="1">
        <f t="shared" si="176"/>
        <v>36843.979166666679</v>
      </c>
      <c r="I736">
        <f t="shared" si="188"/>
        <v>3.6823999999999999</v>
      </c>
      <c r="J736">
        <f t="shared" si="189"/>
        <v>5.7712000000000003</v>
      </c>
      <c r="K736">
        <f t="shared" si="190"/>
        <v>97.805599999999998</v>
      </c>
      <c r="L736">
        <f t="shared" si="191"/>
        <v>-4.7794763800000029</v>
      </c>
      <c r="M736">
        <f t="shared" si="192"/>
        <v>267.089</v>
      </c>
      <c r="O736">
        <v>318</v>
      </c>
      <c r="P736">
        <v>2330</v>
      </c>
      <c r="Q736">
        <v>0.72199999999999998</v>
      </c>
      <c r="R736">
        <f t="shared" si="182"/>
        <v>-0.71565548124582168</v>
      </c>
    </row>
    <row r="737" spans="1:18" x14ac:dyDescent="0.25">
      <c r="A737">
        <v>7</v>
      </c>
      <c r="B737">
        <v>33</v>
      </c>
      <c r="C737">
        <v>56</v>
      </c>
      <c r="D737">
        <v>1007</v>
      </c>
      <c r="E737">
        <v>456</v>
      </c>
      <c r="F737">
        <v>769</v>
      </c>
      <c r="G737" t="s">
        <v>5</v>
      </c>
      <c r="H737" s="1">
        <f t="shared" si="176"/>
        <v>36844.000000000015</v>
      </c>
      <c r="I737">
        <f t="shared" si="188"/>
        <v>2.8618000000000001</v>
      </c>
      <c r="J737">
        <f t="shared" si="189"/>
        <v>4.5776000000000003</v>
      </c>
      <c r="K737">
        <f t="shared" si="190"/>
        <v>100.7694</v>
      </c>
      <c r="L737">
        <f t="shared" si="191"/>
        <v>-5.0484812800000043</v>
      </c>
      <c r="M737">
        <f t="shared" si="192"/>
        <v>269.88099999999997</v>
      </c>
      <c r="O737">
        <v>318</v>
      </c>
      <c r="P737">
        <v>2400</v>
      </c>
      <c r="Q737">
        <v>0.72199999999999998</v>
      </c>
      <c r="R737">
        <f t="shared" si="182"/>
        <v>-0.7152967177437094</v>
      </c>
    </row>
    <row r="738" spans="1:18" x14ac:dyDescent="0.25">
      <c r="A738">
        <v>7</v>
      </c>
      <c r="B738">
        <v>32</v>
      </c>
      <c r="C738">
        <v>52</v>
      </c>
      <c r="D738">
        <v>86</v>
      </c>
      <c r="E738">
        <v>457</v>
      </c>
      <c r="F738">
        <v>757</v>
      </c>
      <c r="G738" t="s">
        <v>5</v>
      </c>
      <c r="H738" s="1">
        <f t="shared" si="176"/>
        <v>36844.02083333335</v>
      </c>
      <c r="I738">
        <f t="shared" ref="I738:J744" si="193">0.4+0.0746*B738</f>
        <v>2.7871999999999999</v>
      </c>
      <c r="J738">
        <f t="shared" si="193"/>
        <v>4.2792000000000003</v>
      </c>
      <c r="K738">
        <f t="shared" ref="K738:K744" si="194">-2.146+0.1022*D738</f>
        <v>6.6431999999999993</v>
      </c>
      <c r="L738">
        <f t="shared" ref="L738:L744" si="195">-43.84+0.0805*E738+0.00001002*E738^2</f>
        <v>-4.9588330200000037</v>
      </c>
      <c r="M738">
        <f t="shared" ref="M738:M744" si="196">1.5+0.349*F738</f>
        <v>265.69299999999998</v>
      </c>
      <c r="O738">
        <v>319</v>
      </c>
      <c r="P738">
        <v>30</v>
      </c>
      <c r="Q738">
        <v>0.72199999999999998</v>
      </c>
      <c r="R738">
        <f t="shared" si="182"/>
        <v>-0.71541629883889502</v>
      </c>
    </row>
    <row r="739" spans="1:18" x14ac:dyDescent="0.25">
      <c r="A739">
        <v>71</v>
      </c>
      <c r="B739">
        <v>25</v>
      </c>
      <c r="C739">
        <v>52</v>
      </c>
      <c r="D739">
        <v>14</v>
      </c>
      <c r="E739">
        <v>453</v>
      </c>
      <c r="F739">
        <v>765</v>
      </c>
      <c r="G739" t="s">
        <v>5</v>
      </c>
      <c r="H739" s="1">
        <f t="shared" si="176"/>
        <v>36844.041666666686</v>
      </c>
      <c r="I739">
        <f t="shared" si="193"/>
        <v>2.2650000000000001</v>
      </c>
      <c r="J739">
        <f t="shared" si="193"/>
        <v>4.2792000000000003</v>
      </c>
      <c r="K739">
        <f t="shared" si="194"/>
        <v>-0.71519999999999984</v>
      </c>
      <c r="L739">
        <f t="shared" si="195"/>
        <v>-5.3173058199999996</v>
      </c>
      <c r="M739">
        <f t="shared" si="196"/>
        <v>268.48499999999996</v>
      </c>
      <c r="O739">
        <v>319</v>
      </c>
      <c r="P739">
        <v>100</v>
      </c>
      <c r="Q739">
        <v>0.72199999999999998</v>
      </c>
      <c r="R739">
        <f t="shared" si="182"/>
        <v>-0.71493801493184073</v>
      </c>
    </row>
    <row r="740" spans="1:18" x14ac:dyDescent="0.25">
      <c r="A740">
        <v>71</v>
      </c>
      <c r="B740">
        <v>31</v>
      </c>
      <c r="C740">
        <v>80</v>
      </c>
      <c r="D740">
        <v>947</v>
      </c>
      <c r="E740">
        <v>454</v>
      </c>
      <c r="F740">
        <v>729</v>
      </c>
      <c r="G740" t="s">
        <v>5</v>
      </c>
      <c r="H740" s="1">
        <f t="shared" si="176"/>
        <v>36844.062500000022</v>
      </c>
      <c r="I740">
        <f t="shared" si="193"/>
        <v>2.7125999999999997</v>
      </c>
      <c r="J740">
        <f t="shared" si="193"/>
        <v>6.3680000000000003</v>
      </c>
      <c r="K740">
        <f t="shared" si="194"/>
        <v>94.6374</v>
      </c>
      <c r="L740">
        <f t="shared" si="195"/>
        <v>-5.2277176799999996</v>
      </c>
      <c r="M740">
        <f t="shared" si="196"/>
        <v>255.92099999999999</v>
      </c>
      <c r="O740">
        <v>319</v>
      </c>
      <c r="P740">
        <v>130</v>
      </c>
      <c r="Q740">
        <v>0.72199999999999998</v>
      </c>
      <c r="R740">
        <f t="shared" si="182"/>
        <v>-0.71505757578679841</v>
      </c>
    </row>
    <row r="741" spans="1:18" x14ac:dyDescent="0.25">
      <c r="A741">
        <v>71</v>
      </c>
      <c r="B741">
        <v>74</v>
      </c>
      <c r="C741">
        <v>104</v>
      </c>
      <c r="D741">
        <v>925</v>
      </c>
      <c r="E741">
        <v>456</v>
      </c>
      <c r="F741">
        <v>745</v>
      </c>
      <c r="G741" t="s">
        <v>5</v>
      </c>
      <c r="H741" s="1">
        <f t="shared" si="176"/>
        <v>36844.083333333358</v>
      </c>
      <c r="I741">
        <f t="shared" si="193"/>
        <v>5.9204000000000008</v>
      </c>
      <c r="J741">
        <f t="shared" si="193"/>
        <v>8.1584000000000003</v>
      </c>
      <c r="K741">
        <f t="shared" si="194"/>
        <v>92.388999999999996</v>
      </c>
      <c r="L741">
        <f t="shared" si="195"/>
        <v>-5.0484812800000043</v>
      </c>
      <c r="M741">
        <f t="shared" si="196"/>
        <v>261.505</v>
      </c>
      <c r="O741">
        <v>319</v>
      </c>
      <c r="P741">
        <v>200</v>
      </c>
      <c r="Q741">
        <v>0.72199999999999998</v>
      </c>
      <c r="R741">
        <f t="shared" si="182"/>
        <v>-0.7152967177437094</v>
      </c>
    </row>
    <row r="742" spans="1:18" x14ac:dyDescent="0.25">
      <c r="A742">
        <v>71</v>
      </c>
      <c r="B742">
        <v>86</v>
      </c>
      <c r="C742">
        <v>112</v>
      </c>
      <c r="D742">
        <v>923</v>
      </c>
      <c r="E742">
        <v>456</v>
      </c>
      <c r="F742">
        <v>753</v>
      </c>
      <c r="G742" t="s">
        <v>5</v>
      </c>
      <c r="H742" s="1">
        <f t="shared" si="176"/>
        <v>36844.104166666693</v>
      </c>
      <c r="I742">
        <f t="shared" si="193"/>
        <v>6.8155999999999999</v>
      </c>
      <c r="J742">
        <f t="shared" si="193"/>
        <v>8.7552000000000003</v>
      </c>
      <c r="K742">
        <f t="shared" si="194"/>
        <v>92.184600000000003</v>
      </c>
      <c r="L742">
        <f t="shared" si="195"/>
        <v>-5.0484812800000043</v>
      </c>
      <c r="M742">
        <f t="shared" si="196"/>
        <v>264.29699999999997</v>
      </c>
      <c r="O742">
        <v>319</v>
      </c>
      <c r="P742">
        <v>230</v>
      </c>
      <c r="Q742">
        <v>0.72199999999999998</v>
      </c>
      <c r="R742">
        <f t="shared" si="182"/>
        <v>-0.7152967177437094</v>
      </c>
    </row>
    <row r="743" spans="1:18" x14ac:dyDescent="0.25">
      <c r="A743">
        <v>71</v>
      </c>
      <c r="B743">
        <v>104</v>
      </c>
      <c r="C743">
        <v>140</v>
      </c>
      <c r="D743">
        <v>885</v>
      </c>
      <c r="E743">
        <v>454</v>
      </c>
      <c r="F743">
        <v>765</v>
      </c>
      <c r="G743" t="s">
        <v>5</v>
      </c>
      <c r="H743" s="1">
        <f t="shared" si="176"/>
        <v>36844.125000000029</v>
      </c>
      <c r="I743">
        <f t="shared" si="193"/>
        <v>8.1584000000000003</v>
      </c>
      <c r="J743">
        <f t="shared" si="193"/>
        <v>10.843999999999999</v>
      </c>
      <c r="K743">
        <f t="shared" si="194"/>
        <v>88.301000000000002</v>
      </c>
      <c r="L743">
        <f t="shared" si="195"/>
        <v>-5.2277176799999996</v>
      </c>
      <c r="M743">
        <f t="shared" si="196"/>
        <v>268.48499999999996</v>
      </c>
      <c r="O743">
        <v>319</v>
      </c>
      <c r="P743">
        <v>300</v>
      </c>
      <c r="Q743">
        <v>0.72199999999999998</v>
      </c>
      <c r="R743">
        <f t="shared" si="182"/>
        <v>-0.71505757578679841</v>
      </c>
    </row>
    <row r="744" spans="1:18" x14ac:dyDescent="0.25">
      <c r="A744">
        <v>71</v>
      </c>
      <c r="B744">
        <v>103</v>
      </c>
      <c r="C744">
        <v>156</v>
      </c>
      <c r="D744">
        <v>896</v>
      </c>
      <c r="E744">
        <v>458</v>
      </c>
      <c r="F744">
        <v>776</v>
      </c>
      <c r="G744" t="s">
        <v>5</v>
      </c>
      <c r="H744" s="1">
        <f t="shared" si="176"/>
        <v>36844.145833333365</v>
      </c>
      <c r="I744">
        <f t="shared" si="193"/>
        <v>8.0838000000000001</v>
      </c>
      <c r="J744">
        <f t="shared" si="193"/>
        <v>12.037599999999999</v>
      </c>
      <c r="K744">
        <f t="shared" si="194"/>
        <v>89.425200000000004</v>
      </c>
      <c r="L744">
        <f t="shared" si="195"/>
        <v>-4.8691647200000041</v>
      </c>
      <c r="M744">
        <f t="shared" si="196"/>
        <v>272.32399999999996</v>
      </c>
      <c r="O744">
        <v>319</v>
      </c>
      <c r="P744">
        <v>330</v>
      </c>
      <c r="Q744">
        <v>0.73</v>
      </c>
      <c r="R744">
        <f t="shared" si="182"/>
        <v>-0.72346426214967141</v>
      </c>
    </row>
    <row r="745" spans="1:18" x14ac:dyDescent="0.25">
      <c r="A745">
        <v>711</v>
      </c>
      <c r="B745">
        <v>102</v>
      </c>
      <c r="C745">
        <v>152</v>
      </c>
      <c r="D745">
        <v>924</v>
      </c>
      <c r="E745">
        <v>457</v>
      </c>
      <c r="F745">
        <v>809</v>
      </c>
      <c r="G745" t="s">
        <v>5</v>
      </c>
      <c r="H745" s="1">
        <f t="shared" si="176"/>
        <v>36844.166666666701</v>
      </c>
      <c r="I745">
        <f t="shared" si="177"/>
        <v>8.0091999999999999</v>
      </c>
      <c r="J745">
        <f t="shared" si="178"/>
        <v>11.7392</v>
      </c>
      <c r="K745">
        <f t="shared" si="179"/>
        <v>92.286799999999999</v>
      </c>
      <c r="L745">
        <f t="shared" si="180"/>
        <v>-4.9588330200000037</v>
      </c>
      <c r="M745">
        <f t="shared" si="181"/>
        <v>283.84100000000001</v>
      </c>
      <c r="O745">
        <v>319</v>
      </c>
      <c r="P745">
        <v>400</v>
      </c>
      <c r="Q745">
        <v>0.72499999999999998</v>
      </c>
      <c r="R745">
        <f t="shared" si="182"/>
        <v>-0.71838894273988763</v>
      </c>
    </row>
    <row r="746" spans="1:18" x14ac:dyDescent="0.25">
      <c r="A746">
        <v>711</v>
      </c>
      <c r="B746">
        <v>117</v>
      </c>
      <c r="C746">
        <v>156</v>
      </c>
      <c r="D746">
        <v>935</v>
      </c>
      <c r="E746">
        <v>458</v>
      </c>
      <c r="F746">
        <v>857</v>
      </c>
      <c r="G746" t="s">
        <v>5</v>
      </c>
      <c r="H746" s="1">
        <f t="shared" si="176"/>
        <v>36844.187500000036</v>
      </c>
      <c r="I746">
        <f t="shared" si="177"/>
        <v>9.1281999999999996</v>
      </c>
      <c r="J746">
        <f t="shared" si="178"/>
        <v>12.037599999999999</v>
      </c>
      <c r="K746">
        <f t="shared" si="179"/>
        <v>93.411000000000001</v>
      </c>
      <c r="L746">
        <f t="shared" si="180"/>
        <v>-4.8691647200000041</v>
      </c>
      <c r="M746">
        <f t="shared" si="181"/>
        <v>300.59299999999996</v>
      </c>
      <c r="O746">
        <v>319</v>
      </c>
      <c r="P746">
        <v>430</v>
      </c>
      <c r="Q746">
        <v>0.72499999999999998</v>
      </c>
      <c r="R746">
        <f t="shared" si="182"/>
        <v>-0.71850902747741341</v>
      </c>
    </row>
    <row r="747" spans="1:18" x14ac:dyDescent="0.25">
      <c r="A747">
        <v>711</v>
      </c>
      <c r="B747">
        <v>109</v>
      </c>
      <c r="C747">
        <v>172</v>
      </c>
      <c r="D747">
        <v>1006</v>
      </c>
      <c r="E747">
        <v>459</v>
      </c>
      <c r="F747">
        <v>881</v>
      </c>
      <c r="G747" t="s">
        <v>5</v>
      </c>
      <c r="H747" s="1">
        <f t="shared" si="176"/>
        <v>36844.208333333372</v>
      </c>
      <c r="I747">
        <f t="shared" si="177"/>
        <v>8.5313999999999997</v>
      </c>
      <c r="J747">
        <f t="shared" si="178"/>
        <v>13.231199999999999</v>
      </c>
      <c r="K747">
        <f t="shared" si="179"/>
        <v>100.66719999999999</v>
      </c>
      <c r="L747">
        <f t="shared" si="180"/>
        <v>-4.7794763800000029</v>
      </c>
      <c r="M747">
        <f t="shared" si="181"/>
        <v>308.96899999999999</v>
      </c>
      <c r="O747">
        <v>319</v>
      </c>
      <c r="P747">
        <v>500</v>
      </c>
      <c r="Q747">
        <v>0.72499999999999998</v>
      </c>
      <c r="R747">
        <f t="shared" si="182"/>
        <v>-0.71862911897953008</v>
      </c>
    </row>
    <row r="748" spans="1:18" x14ac:dyDescent="0.25">
      <c r="A748">
        <v>711</v>
      </c>
      <c r="B748">
        <v>114</v>
      </c>
      <c r="C748">
        <v>168</v>
      </c>
      <c r="D748">
        <v>980</v>
      </c>
      <c r="E748">
        <v>460</v>
      </c>
      <c r="F748">
        <v>889</v>
      </c>
      <c r="G748" t="s">
        <v>5</v>
      </c>
      <c r="H748" s="1">
        <f t="shared" si="176"/>
        <v>36844.229166666708</v>
      </c>
      <c r="I748">
        <f t="shared" si="177"/>
        <v>8.9044000000000008</v>
      </c>
      <c r="J748">
        <f t="shared" si="178"/>
        <v>12.9328</v>
      </c>
      <c r="K748">
        <f t="shared" si="179"/>
        <v>98.01</v>
      </c>
      <c r="L748">
        <f t="shared" si="180"/>
        <v>-4.6897680000000026</v>
      </c>
      <c r="M748">
        <f t="shared" si="181"/>
        <v>311.76099999999997</v>
      </c>
      <c r="O748">
        <v>319</v>
      </c>
      <c r="P748">
        <v>530</v>
      </c>
      <c r="Q748">
        <v>0.72199999999999998</v>
      </c>
      <c r="R748">
        <f t="shared" si="182"/>
        <v>-0.71577508255080724</v>
      </c>
    </row>
    <row r="749" spans="1:18" x14ac:dyDescent="0.25">
      <c r="A749">
        <v>711</v>
      </c>
      <c r="B749">
        <v>144</v>
      </c>
      <c r="C749">
        <v>192</v>
      </c>
      <c r="D749">
        <v>934</v>
      </c>
      <c r="E749">
        <v>460</v>
      </c>
      <c r="F749">
        <v>885</v>
      </c>
      <c r="G749" t="s">
        <v>5</v>
      </c>
      <c r="H749" s="1">
        <f t="shared" si="176"/>
        <v>36844.250000000044</v>
      </c>
      <c r="I749">
        <f t="shared" si="177"/>
        <v>11.1424</v>
      </c>
      <c r="J749">
        <f t="shared" si="178"/>
        <v>14.7232</v>
      </c>
      <c r="K749">
        <f t="shared" si="179"/>
        <v>93.308800000000005</v>
      </c>
      <c r="L749">
        <f t="shared" si="180"/>
        <v>-4.6897680000000026</v>
      </c>
      <c r="M749">
        <f t="shared" si="181"/>
        <v>310.36499999999995</v>
      </c>
      <c r="O749">
        <v>319</v>
      </c>
      <c r="P749">
        <v>600</v>
      </c>
      <c r="Q749">
        <v>0.72499999999999998</v>
      </c>
      <c r="R749">
        <f t="shared" si="182"/>
        <v>-0.71874921724284657</v>
      </c>
    </row>
    <row r="750" spans="1:18" x14ac:dyDescent="0.25">
      <c r="A750">
        <v>711</v>
      </c>
      <c r="B750">
        <v>144</v>
      </c>
      <c r="C750">
        <v>200</v>
      </c>
      <c r="D750">
        <v>954</v>
      </c>
      <c r="E750">
        <v>462</v>
      </c>
      <c r="F750">
        <v>901</v>
      </c>
      <c r="G750" t="s">
        <v>5</v>
      </c>
      <c r="H750" s="1">
        <f t="shared" si="176"/>
        <v>36844.270833333379</v>
      </c>
      <c r="I750">
        <f t="shared" si="177"/>
        <v>11.1424</v>
      </c>
      <c r="J750">
        <f t="shared" si="178"/>
        <v>15.32</v>
      </c>
      <c r="K750">
        <f t="shared" si="179"/>
        <v>95.352800000000002</v>
      </c>
      <c r="L750">
        <f t="shared" si="180"/>
        <v>-4.5102911200000007</v>
      </c>
      <c r="M750">
        <f t="shared" si="181"/>
        <v>315.94899999999996</v>
      </c>
      <c r="O750">
        <v>319</v>
      </c>
      <c r="P750">
        <v>630</v>
      </c>
      <c r="Q750">
        <v>0.72199999999999998</v>
      </c>
      <c r="R750">
        <f t="shared" si="182"/>
        <v>-0.71601430534694976</v>
      </c>
    </row>
    <row r="751" spans="1:18" x14ac:dyDescent="0.25">
      <c r="A751">
        <v>711</v>
      </c>
      <c r="B751">
        <v>159</v>
      </c>
      <c r="C751">
        <v>208</v>
      </c>
      <c r="D751">
        <v>930</v>
      </c>
      <c r="E751">
        <v>466</v>
      </c>
      <c r="F751">
        <v>901</v>
      </c>
      <c r="G751" t="s">
        <v>5</v>
      </c>
      <c r="H751" s="1">
        <f t="shared" si="176"/>
        <v>36844.291666666715</v>
      </c>
      <c r="I751">
        <f t="shared" si="177"/>
        <v>12.2614</v>
      </c>
      <c r="J751">
        <f t="shared" si="178"/>
        <v>15.9168</v>
      </c>
      <c r="K751">
        <f t="shared" si="179"/>
        <v>92.899999999999991</v>
      </c>
      <c r="L751">
        <f t="shared" si="180"/>
        <v>-4.1510968800000052</v>
      </c>
      <c r="M751">
        <f t="shared" si="181"/>
        <v>315.94899999999996</v>
      </c>
      <c r="O751">
        <v>319</v>
      </c>
      <c r="P751">
        <v>700</v>
      </c>
      <c r="Q751">
        <v>0.73</v>
      </c>
      <c r="R751">
        <f t="shared" si="182"/>
        <v>-0.72443181033293358</v>
      </c>
    </row>
    <row r="752" spans="1:18" x14ac:dyDescent="0.25">
      <c r="A752">
        <v>711</v>
      </c>
      <c r="B752">
        <v>150</v>
      </c>
      <c r="C752">
        <v>220</v>
      </c>
      <c r="D752">
        <v>974</v>
      </c>
      <c r="E752">
        <v>469</v>
      </c>
      <c r="F752">
        <v>905</v>
      </c>
      <c r="G752" t="s">
        <v>5</v>
      </c>
      <c r="H752" s="1">
        <f t="shared" si="176"/>
        <v>36844.312500000051</v>
      </c>
      <c r="I752">
        <f t="shared" si="177"/>
        <v>11.59</v>
      </c>
      <c r="J752">
        <f t="shared" si="178"/>
        <v>16.811999999999998</v>
      </c>
      <c r="K752">
        <f t="shared" si="179"/>
        <v>97.396799999999999</v>
      </c>
      <c r="L752">
        <f t="shared" si="180"/>
        <v>-3.8814907800000031</v>
      </c>
      <c r="M752">
        <f t="shared" si="181"/>
        <v>317.34499999999997</v>
      </c>
      <c r="O752">
        <v>319</v>
      </c>
      <c r="P752">
        <v>730</v>
      </c>
      <c r="Q752">
        <v>0.73499999999999999</v>
      </c>
      <c r="R752">
        <f t="shared" si="182"/>
        <v>-0.72975910055387638</v>
      </c>
    </row>
    <row r="753" spans="1:18" x14ac:dyDescent="0.25">
      <c r="A753">
        <v>711</v>
      </c>
      <c r="B753">
        <v>142</v>
      </c>
      <c r="C753">
        <v>220</v>
      </c>
      <c r="D753">
        <v>964</v>
      </c>
      <c r="E753">
        <v>469</v>
      </c>
      <c r="F753">
        <v>905</v>
      </c>
      <c r="G753" t="s">
        <v>5</v>
      </c>
      <c r="H753" s="1">
        <f t="shared" si="176"/>
        <v>36844.333333333387</v>
      </c>
      <c r="I753">
        <f t="shared" si="177"/>
        <v>10.9932</v>
      </c>
      <c r="J753">
        <f t="shared" si="178"/>
        <v>16.811999999999998</v>
      </c>
      <c r="K753">
        <f t="shared" si="179"/>
        <v>96.374799999999993</v>
      </c>
      <c r="L753">
        <f t="shared" si="180"/>
        <v>-3.8814907800000031</v>
      </c>
      <c r="M753">
        <f t="shared" si="181"/>
        <v>317.34499999999997</v>
      </c>
      <c r="O753">
        <v>319</v>
      </c>
      <c r="P753">
        <v>800</v>
      </c>
      <c r="Q753">
        <v>0.72699999999999998</v>
      </c>
      <c r="R753">
        <f t="shared" si="182"/>
        <v>-0.72181614435737163</v>
      </c>
    </row>
    <row r="754" spans="1:18" x14ac:dyDescent="0.25">
      <c r="A754">
        <v>711</v>
      </c>
      <c r="B754">
        <v>149</v>
      </c>
      <c r="C754">
        <v>212</v>
      </c>
      <c r="D754">
        <v>948</v>
      </c>
      <c r="E754">
        <v>469</v>
      </c>
      <c r="F754">
        <v>905</v>
      </c>
      <c r="G754" t="s">
        <v>5</v>
      </c>
      <c r="H754" s="1">
        <f t="shared" si="176"/>
        <v>36844.354166666722</v>
      </c>
      <c r="I754">
        <f t="shared" ref="I754:I811" si="197">0.4+0.0746*B754</f>
        <v>11.5154</v>
      </c>
      <c r="J754">
        <f t="shared" ref="J754:J811" si="198">0.4+0.0746*C754</f>
        <v>16.215199999999999</v>
      </c>
      <c r="K754">
        <f t="shared" ref="K754:K811" si="199">-2.146+0.1022*D754</f>
        <v>94.739599999999996</v>
      </c>
      <c r="L754">
        <f t="shared" ref="L754:L811" si="200">-43.84+0.0805*E754+0.00001002*E754^2</f>
        <v>-3.8814907800000031</v>
      </c>
      <c r="M754">
        <f t="shared" ref="M754:M811" si="201">1.5+0.349*F754</f>
        <v>317.34499999999997</v>
      </c>
      <c r="O754">
        <v>319</v>
      </c>
      <c r="P754">
        <v>830</v>
      </c>
      <c r="Q754">
        <v>0.73699999999999999</v>
      </c>
      <c r="R754">
        <f t="shared" si="182"/>
        <v>-0.73174483960300263</v>
      </c>
    </row>
    <row r="755" spans="1:18" x14ac:dyDescent="0.25">
      <c r="A755">
        <v>711</v>
      </c>
      <c r="B755">
        <v>135</v>
      </c>
      <c r="C755">
        <v>204</v>
      </c>
      <c r="D755">
        <v>927</v>
      </c>
      <c r="E755">
        <v>470</v>
      </c>
      <c r="F755">
        <v>905</v>
      </c>
      <c r="G755" t="s">
        <v>5</v>
      </c>
      <c r="H755" s="1">
        <f t="shared" si="176"/>
        <v>36844.375000000058</v>
      </c>
      <c r="I755">
        <f t="shared" si="197"/>
        <v>10.471</v>
      </c>
      <c r="J755">
        <f t="shared" si="198"/>
        <v>15.618399999999999</v>
      </c>
      <c r="K755">
        <f t="shared" si="199"/>
        <v>92.593400000000003</v>
      </c>
      <c r="L755">
        <f t="shared" si="200"/>
        <v>-3.7915820000000022</v>
      </c>
      <c r="M755">
        <f t="shared" si="201"/>
        <v>317.34499999999997</v>
      </c>
      <c r="O755">
        <v>319</v>
      </c>
      <c r="P755">
        <v>900</v>
      </c>
      <c r="Q755">
        <v>0.73</v>
      </c>
      <c r="R755">
        <f t="shared" si="182"/>
        <v>-0.72491574734923259</v>
      </c>
    </row>
    <row r="756" spans="1:18" x14ac:dyDescent="0.25">
      <c r="A756">
        <v>711</v>
      </c>
      <c r="B756">
        <v>129</v>
      </c>
      <c r="C756">
        <v>224</v>
      </c>
      <c r="D756">
        <v>1017</v>
      </c>
      <c r="E756">
        <v>472</v>
      </c>
      <c r="F756">
        <v>908</v>
      </c>
      <c r="G756" t="s">
        <v>5</v>
      </c>
      <c r="H756" s="1">
        <f t="shared" ref="H756:H818" si="202">H755+1/48</f>
        <v>36844.395833333394</v>
      </c>
      <c r="I756">
        <f t="shared" si="197"/>
        <v>10.023400000000001</v>
      </c>
      <c r="J756">
        <f t="shared" si="198"/>
        <v>17.110399999999998</v>
      </c>
      <c r="K756">
        <f t="shared" si="199"/>
        <v>101.7914</v>
      </c>
      <c r="L756">
        <f t="shared" si="200"/>
        <v>-3.6117043200000012</v>
      </c>
      <c r="M756">
        <f t="shared" si="201"/>
        <v>318.392</v>
      </c>
      <c r="O756">
        <v>319</v>
      </c>
      <c r="P756">
        <v>930</v>
      </c>
      <c r="Q756">
        <v>0.72499999999999998</v>
      </c>
      <c r="R756">
        <f t="shared" si="182"/>
        <v>-0.72019092254483474</v>
      </c>
    </row>
    <row r="757" spans="1:18" x14ac:dyDescent="0.25">
      <c r="A757">
        <v>711</v>
      </c>
      <c r="B757">
        <v>132</v>
      </c>
      <c r="C757">
        <v>216</v>
      </c>
      <c r="D757">
        <v>972</v>
      </c>
      <c r="E757">
        <v>474</v>
      </c>
      <c r="F757">
        <v>908</v>
      </c>
      <c r="G757" t="s">
        <v>5</v>
      </c>
      <c r="H757" s="1">
        <f t="shared" si="202"/>
        <v>36844.41666666673</v>
      </c>
      <c r="I757">
        <f t="shared" si="197"/>
        <v>10.247200000000001</v>
      </c>
      <c r="J757">
        <f t="shared" si="198"/>
        <v>16.513599999999997</v>
      </c>
      <c r="K757">
        <f t="shared" si="199"/>
        <v>97.192399999999992</v>
      </c>
      <c r="L757">
        <f t="shared" si="200"/>
        <v>-3.4317464799999997</v>
      </c>
      <c r="M757">
        <f t="shared" si="201"/>
        <v>318.392</v>
      </c>
      <c r="O757">
        <v>319</v>
      </c>
      <c r="P757">
        <v>1000</v>
      </c>
      <c r="Q757">
        <v>0.72499999999999998</v>
      </c>
      <c r="R757">
        <f t="shared" si="182"/>
        <v>-0.72043130096137942</v>
      </c>
    </row>
    <row r="758" spans="1:18" x14ac:dyDescent="0.25">
      <c r="A758">
        <v>711</v>
      </c>
      <c r="B758">
        <v>148</v>
      </c>
      <c r="C758">
        <v>248</v>
      </c>
      <c r="D758">
        <v>948</v>
      </c>
      <c r="E758">
        <v>477</v>
      </c>
      <c r="F758">
        <v>909</v>
      </c>
      <c r="G758" t="s">
        <v>5</v>
      </c>
      <c r="H758" s="1">
        <f t="shared" si="202"/>
        <v>36844.437500000065</v>
      </c>
      <c r="I758">
        <f t="shared" si="197"/>
        <v>11.440800000000001</v>
      </c>
      <c r="J758">
        <f t="shared" si="198"/>
        <v>18.900799999999997</v>
      </c>
      <c r="K758">
        <f t="shared" si="199"/>
        <v>94.739599999999996</v>
      </c>
      <c r="L758">
        <f t="shared" si="200"/>
        <v>-3.1616594200000048</v>
      </c>
      <c r="M758">
        <f t="shared" si="201"/>
        <v>318.74099999999999</v>
      </c>
      <c r="O758">
        <v>319</v>
      </c>
      <c r="P758">
        <v>1030</v>
      </c>
      <c r="Q758">
        <v>0.66700000000000004</v>
      </c>
      <c r="R758">
        <f t="shared" si="182"/>
        <v>-0.66312856539463128</v>
      </c>
    </row>
    <row r="759" spans="1:18" x14ac:dyDescent="0.25">
      <c r="A759">
        <v>711</v>
      </c>
      <c r="B759">
        <v>166</v>
      </c>
      <c r="C759">
        <v>260</v>
      </c>
      <c r="D759">
        <v>987</v>
      </c>
      <c r="E759">
        <v>479</v>
      </c>
      <c r="F759">
        <v>912</v>
      </c>
      <c r="G759" t="s">
        <v>5</v>
      </c>
      <c r="H759" s="1">
        <f t="shared" si="202"/>
        <v>36844.458333333401</v>
      </c>
      <c r="I759">
        <f t="shared" si="197"/>
        <v>12.7836</v>
      </c>
      <c r="J759">
        <f t="shared" si="198"/>
        <v>19.795999999999999</v>
      </c>
      <c r="K759">
        <f t="shared" si="199"/>
        <v>98.725399999999993</v>
      </c>
      <c r="L759">
        <f t="shared" si="200"/>
        <v>-2.9815011800000035</v>
      </c>
      <c r="M759">
        <f t="shared" si="201"/>
        <v>319.78799999999995</v>
      </c>
      <c r="O759">
        <v>319</v>
      </c>
      <c r="P759">
        <v>1100</v>
      </c>
      <c r="Q759">
        <v>0.7</v>
      </c>
      <c r="R759">
        <f t="shared" si="182"/>
        <v>-0.69616917940068856</v>
      </c>
    </row>
    <row r="760" spans="1:18" x14ac:dyDescent="0.25">
      <c r="A760">
        <v>711</v>
      </c>
      <c r="B760">
        <v>173</v>
      </c>
      <c r="C760">
        <v>268</v>
      </c>
      <c r="D760">
        <v>957</v>
      </c>
      <c r="E760">
        <v>481</v>
      </c>
      <c r="F760">
        <v>913</v>
      </c>
      <c r="G760" t="s">
        <v>5</v>
      </c>
      <c r="H760" s="1">
        <f t="shared" si="202"/>
        <v>36844.479166666737</v>
      </c>
      <c r="I760">
        <f t="shared" si="197"/>
        <v>13.3058</v>
      </c>
      <c r="J760">
        <f t="shared" si="198"/>
        <v>20.392799999999998</v>
      </c>
      <c r="K760">
        <f t="shared" si="199"/>
        <v>95.659400000000005</v>
      </c>
      <c r="L760">
        <f t="shared" si="200"/>
        <v>-2.8012627800000018</v>
      </c>
      <c r="M760">
        <f t="shared" si="201"/>
        <v>320.137</v>
      </c>
      <c r="O760">
        <v>319</v>
      </c>
      <c r="P760">
        <v>1130</v>
      </c>
      <c r="Q760">
        <v>0.55200000000000005</v>
      </c>
      <c r="R760">
        <f t="shared" si="182"/>
        <v>-0.54916221492124706</v>
      </c>
    </row>
    <row r="761" spans="1:18" x14ac:dyDescent="0.25">
      <c r="A761">
        <v>711</v>
      </c>
      <c r="B761">
        <v>175</v>
      </c>
      <c r="C761">
        <v>288</v>
      </c>
      <c r="D761">
        <v>921</v>
      </c>
      <c r="E761">
        <v>483</v>
      </c>
      <c r="F761">
        <v>913</v>
      </c>
      <c r="G761" t="s">
        <v>5</v>
      </c>
      <c r="H761" s="1">
        <f t="shared" si="202"/>
        <v>36844.500000000073</v>
      </c>
      <c r="I761">
        <f t="shared" si="197"/>
        <v>13.455</v>
      </c>
      <c r="J761">
        <f t="shared" si="198"/>
        <v>21.884799999999998</v>
      </c>
      <c r="K761">
        <f t="shared" si="199"/>
        <v>91.980199999999996</v>
      </c>
      <c r="L761">
        <f t="shared" si="200"/>
        <v>-2.6209442200000006</v>
      </c>
      <c r="M761">
        <f t="shared" si="201"/>
        <v>320.137</v>
      </c>
      <c r="O761">
        <v>319</v>
      </c>
      <c r="P761">
        <v>1200</v>
      </c>
      <c r="Q761">
        <v>0.54700000000000004</v>
      </c>
      <c r="R761">
        <f t="shared" si="182"/>
        <v>-0.54436937184207612</v>
      </c>
    </row>
    <row r="762" spans="1:18" x14ac:dyDescent="0.25">
      <c r="A762">
        <v>711</v>
      </c>
      <c r="B762">
        <v>155</v>
      </c>
      <c r="C762">
        <v>256</v>
      </c>
      <c r="D762">
        <v>910</v>
      </c>
      <c r="E762">
        <v>484</v>
      </c>
      <c r="F762">
        <v>917</v>
      </c>
      <c r="G762" t="s">
        <v>5</v>
      </c>
      <c r="H762" s="1">
        <f t="shared" si="202"/>
        <v>36844.520833333409</v>
      </c>
      <c r="I762">
        <f t="shared" si="197"/>
        <v>11.963000000000001</v>
      </c>
      <c r="J762">
        <f t="shared" si="198"/>
        <v>19.497599999999998</v>
      </c>
      <c r="K762">
        <f t="shared" si="199"/>
        <v>90.855999999999995</v>
      </c>
      <c r="L762">
        <f t="shared" si="200"/>
        <v>-2.5307548799999999</v>
      </c>
      <c r="M762">
        <f t="shared" si="201"/>
        <v>321.53299999999996</v>
      </c>
      <c r="O762">
        <v>319</v>
      </c>
      <c r="P762">
        <v>1230</v>
      </c>
      <c r="Q762">
        <v>0.53500000000000003</v>
      </c>
      <c r="R762">
        <f t="shared" si="182"/>
        <v>-0.53251582538120668</v>
      </c>
    </row>
    <row r="763" spans="1:18" x14ac:dyDescent="0.25">
      <c r="A763">
        <v>711</v>
      </c>
      <c r="B763">
        <v>151</v>
      </c>
      <c r="C763">
        <v>220</v>
      </c>
      <c r="D763">
        <v>924</v>
      </c>
      <c r="E763">
        <v>485</v>
      </c>
      <c r="F763">
        <v>917</v>
      </c>
      <c r="G763" t="s">
        <v>5</v>
      </c>
      <c r="H763" s="1">
        <f t="shared" si="202"/>
        <v>36844.541666666744</v>
      </c>
      <c r="I763">
        <f t="shared" si="197"/>
        <v>11.6646</v>
      </c>
      <c r="J763">
        <f t="shared" si="198"/>
        <v>16.811999999999998</v>
      </c>
      <c r="K763">
        <f t="shared" si="199"/>
        <v>92.286799999999999</v>
      </c>
      <c r="L763">
        <f t="shared" si="200"/>
        <v>-2.4405454999999994</v>
      </c>
      <c r="M763">
        <f t="shared" si="201"/>
        <v>321.53299999999996</v>
      </c>
      <c r="O763">
        <v>319</v>
      </c>
      <c r="P763">
        <v>1300</v>
      </c>
      <c r="Q763">
        <v>0.48</v>
      </c>
      <c r="R763">
        <f t="shared" si="182"/>
        <v>-0.47785083233552722</v>
      </c>
    </row>
    <row r="764" spans="1:18" x14ac:dyDescent="0.25">
      <c r="A764">
        <v>711</v>
      </c>
      <c r="B764">
        <v>132</v>
      </c>
      <c r="C764">
        <v>192</v>
      </c>
      <c r="D764">
        <v>943</v>
      </c>
      <c r="E764">
        <v>486</v>
      </c>
      <c r="F764">
        <v>917</v>
      </c>
      <c r="G764" t="s">
        <v>5</v>
      </c>
      <c r="H764" s="1">
        <f t="shared" si="202"/>
        <v>36844.56250000008</v>
      </c>
      <c r="I764">
        <f t="shared" si="197"/>
        <v>10.247200000000001</v>
      </c>
      <c r="J764">
        <f t="shared" si="198"/>
        <v>14.7232</v>
      </c>
      <c r="K764">
        <f t="shared" si="199"/>
        <v>94.2286</v>
      </c>
      <c r="L764">
        <f t="shared" si="200"/>
        <v>-2.3503160800000056</v>
      </c>
      <c r="M764">
        <f t="shared" si="201"/>
        <v>321.53299999999996</v>
      </c>
      <c r="O764">
        <v>319</v>
      </c>
      <c r="P764">
        <v>1330</v>
      </c>
      <c r="Q764">
        <v>0.372</v>
      </c>
      <c r="R764">
        <f t="shared" si="182"/>
        <v>-0.37039610748494289</v>
      </c>
    </row>
    <row r="765" spans="1:18" x14ac:dyDescent="0.25">
      <c r="A765">
        <v>711</v>
      </c>
      <c r="B765">
        <v>121</v>
      </c>
      <c r="C765">
        <v>204</v>
      </c>
      <c r="D765">
        <v>939</v>
      </c>
      <c r="E765">
        <v>488</v>
      </c>
      <c r="F765">
        <v>919</v>
      </c>
      <c r="G765" t="s">
        <v>5</v>
      </c>
      <c r="H765" s="1">
        <f t="shared" si="202"/>
        <v>36844.583333333416</v>
      </c>
      <c r="I765">
        <f t="shared" si="197"/>
        <v>9.4266000000000005</v>
      </c>
      <c r="J765">
        <f t="shared" si="198"/>
        <v>15.618399999999999</v>
      </c>
      <c r="K765">
        <f t="shared" si="199"/>
        <v>93.819800000000001</v>
      </c>
      <c r="L765">
        <f t="shared" si="200"/>
        <v>-2.1697971200000041</v>
      </c>
      <c r="M765">
        <f t="shared" si="201"/>
        <v>322.23099999999999</v>
      </c>
      <c r="O765">
        <v>319</v>
      </c>
      <c r="P765">
        <v>1400</v>
      </c>
      <c r="Q765">
        <v>0.44</v>
      </c>
      <c r="R765">
        <f t="shared" si="182"/>
        <v>-0.43824892135591703</v>
      </c>
    </row>
    <row r="766" spans="1:18" x14ac:dyDescent="0.25">
      <c r="A766">
        <v>711</v>
      </c>
      <c r="B766">
        <v>131</v>
      </c>
      <c r="C766">
        <v>220</v>
      </c>
      <c r="D766">
        <v>897</v>
      </c>
      <c r="E766">
        <v>492</v>
      </c>
      <c r="F766">
        <v>921</v>
      </c>
      <c r="G766" t="s">
        <v>5</v>
      </c>
      <c r="H766" s="1">
        <f t="shared" si="202"/>
        <v>36844.604166666752</v>
      </c>
      <c r="I766">
        <f t="shared" si="197"/>
        <v>10.172600000000001</v>
      </c>
      <c r="J766">
        <f t="shared" si="198"/>
        <v>16.811999999999998</v>
      </c>
      <c r="K766">
        <f t="shared" si="199"/>
        <v>89.5274</v>
      </c>
      <c r="L766">
        <f t="shared" si="200"/>
        <v>-1.8085187200000017</v>
      </c>
      <c r="M766">
        <f t="shared" si="201"/>
        <v>322.92899999999997</v>
      </c>
      <c r="O766">
        <v>319</v>
      </c>
      <c r="P766">
        <v>1430</v>
      </c>
      <c r="Q766">
        <v>0.42699999999999999</v>
      </c>
      <c r="R766">
        <f t="shared" si="182"/>
        <v>-0.42558407471445919</v>
      </c>
    </row>
    <row r="767" spans="1:18" x14ac:dyDescent="0.25">
      <c r="A767">
        <v>711</v>
      </c>
      <c r="B767">
        <v>136</v>
      </c>
      <c r="C767">
        <v>212</v>
      </c>
      <c r="D767">
        <v>938</v>
      </c>
      <c r="E767">
        <v>497</v>
      </c>
      <c r="F767">
        <v>921</v>
      </c>
      <c r="G767" t="s">
        <v>5</v>
      </c>
      <c r="H767" s="1">
        <f t="shared" si="202"/>
        <v>36844.625000000087</v>
      </c>
      <c r="I767">
        <f t="shared" si="197"/>
        <v>10.5456</v>
      </c>
      <c r="J767">
        <f t="shared" si="198"/>
        <v>16.215199999999999</v>
      </c>
      <c r="K767">
        <f t="shared" si="199"/>
        <v>93.717600000000004</v>
      </c>
      <c r="L767">
        <f t="shared" si="200"/>
        <v>-1.3564698200000054</v>
      </c>
      <c r="M767">
        <f t="shared" si="201"/>
        <v>322.92899999999997</v>
      </c>
      <c r="O767">
        <v>319</v>
      </c>
      <c r="P767">
        <v>1500</v>
      </c>
      <c r="Q767">
        <v>0.432</v>
      </c>
      <c r="R767">
        <f t="shared" si="182"/>
        <v>-0.43092600349486376</v>
      </c>
    </row>
    <row r="768" spans="1:18" x14ac:dyDescent="0.25">
      <c r="A768">
        <v>711</v>
      </c>
      <c r="B768">
        <v>101</v>
      </c>
      <c r="C768">
        <v>184</v>
      </c>
      <c r="D768">
        <v>853</v>
      </c>
      <c r="E768">
        <v>501</v>
      </c>
      <c r="F768">
        <v>924</v>
      </c>
      <c r="G768" t="s">
        <v>5</v>
      </c>
      <c r="H768" s="1">
        <f t="shared" si="202"/>
        <v>36844.645833333423</v>
      </c>
      <c r="I768">
        <f t="shared" si="197"/>
        <v>7.9346000000000005</v>
      </c>
      <c r="J768">
        <f t="shared" si="198"/>
        <v>14.1264</v>
      </c>
      <c r="K768">
        <f t="shared" si="199"/>
        <v>85.030599999999993</v>
      </c>
      <c r="L768">
        <f t="shared" si="200"/>
        <v>-0.99446998000000253</v>
      </c>
      <c r="M768">
        <f t="shared" si="201"/>
        <v>323.976</v>
      </c>
      <c r="O768">
        <v>319</v>
      </c>
      <c r="P768">
        <v>1530</v>
      </c>
      <c r="Q768">
        <v>0.52200000000000002</v>
      </c>
      <c r="R768">
        <f t="shared" si="182"/>
        <v>-0.52104889862406223</v>
      </c>
    </row>
    <row r="769" spans="1:18" x14ac:dyDescent="0.25">
      <c r="A769">
        <v>711</v>
      </c>
      <c r="B769">
        <v>94</v>
      </c>
      <c r="C769">
        <v>156</v>
      </c>
      <c r="D769">
        <v>915</v>
      </c>
      <c r="E769">
        <v>507</v>
      </c>
      <c r="F769">
        <v>925</v>
      </c>
      <c r="G769" t="s">
        <v>5</v>
      </c>
      <c r="H769" s="1">
        <f t="shared" si="202"/>
        <v>36844.666666666759</v>
      </c>
      <c r="I769">
        <f t="shared" si="197"/>
        <v>7.4123999999999999</v>
      </c>
      <c r="J769">
        <f t="shared" si="198"/>
        <v>12.037599999999999</v>
      </c>
      <c r="K769">
        <f t="shared" si="199"/>
        <v>91.367000000000004</v>
      </c>
      <c r="L769">
        <f t="shared" si="200"/>
        <v>-0.45086902000000562</v>
      </c>
      <c r="M769">
        <f t="shared" si="201"/>
        <v>324.32499999999999</v>
      </c>
      <c r="O769">
        <v>319</v>
      </c>
      <c r="P769">
        <v>1600</v>
      </c>
      <c r="Q769">
        <v>0.502</v>
      </c>
      <c r="R769">
        <f t="shared" si="182"/>
        <v>-0.5015855212805479</v>
      </c>
    </row>
    <row r="770" spans="1:18" x14ac:dyDescent="0.25">
      <c r="A770">
        <v>711</v>
      </c>
      <c r="B770">
        <v>104</v>
      </c>
      <c r="C770">
        <v>180</v>
      </c>
      <c r="D770">
        <v>908</v>
      </c>
      <c r="E770">
        <v>506</v>
      </c>
      <c r="F770">
        <v>925</v>
      </c>
      <c r="G770" t="s">
        <v>5</v>
      </c>
      <c r="H770" s="1">
        <f t="shared" si="202"/>
        <v>36844.687500000095</v>
      </c>
      <c r="I770">
        <f t="shared" si="197"/>
        <v>8.1584000000000003</v>
      </c>
      <c r="J770">
        <f t="shared" si="198"/>
        <v>13.828000000000001</v>
      </c>
      <c r="K770">
        <f t="shared" si="199"/>
        <v>90.651600000000002</v>
      </c>
      <c r="L770">
        <f t="shared" si="200"/>
        <v>-0.54151927999999927</v>
      </c>
      <c r="M770">
        <f t="shared" si="201"/>
        <v>324.32499999999999</v>
      </c>
      <c r="O770">
        <v>319</v>
      </c>
      <c r="P770">
        <v>1630</v>
      </c>
      <c r="Q770">
        <v>0.502</v>
      </c>
      <c r="R770">
        <f t="shared" si="182"/>
        <v>-0.50150214617580435</v>
      </c>
    </row>
    <row r="771" spans="1:18" x14ac:dyDescent="0.25">
      <c r="A771">
        <v>711</v>
      </c>
      <c r="B771">
        <v>117</v>
      </c>
      <c r="C771">
        <v>180</v>
      </c>
      <c r="D771">
        <v>903</v>
      </c>
      <c r="E771">
        <v>501</v>
      </c>
      <c r="F771">
        <v>929</v>
      </c>
      <c r="G771" t="s">
        <v>5</v>
      </c>
      <c r="H771" s="1">
        <f t="shared" si="202"/>
        <v>36844.70833333343</v>
      </c>
      <c r="I771">
        <f t="shared" si="197"/>
        <v>9.1281999999999996</v>
      </c>
      <c r="J771">
        <f t="shared" si="198"/>
        <v>13.828000000000001</v>
      </c>
      <c r="K771">
        <f t="shared" si="199"/>
        <v>90.140599999999992</v>
      </c>
      <c r="L771">
        <f t="shared" si="200"/>
        <v>-0.99446998000000253</v>
      </c>
      <c r="M771">
        <f t="shared" si="201"/>
        <v>325.721</v>
      </c>
      <c r="O771">
        <v>319</v>
      </c>
      <c r="P771">
        <v>1700</v>
      </c>
      <c r="Q771">
        <v>0.48699999999999999</v>
      </c>
      <c r="R771">
        <f t="shared" si="182"/>
        <v>-0.48611266978911549</v>
      </c>
    </row>
    <row r="772" spans="1:18" x14ac:dyDescent="0.25">
      <c r="A772">
        <v>711</v>
      </c>
      <c r="B772">
        <v>105</v>
      </c>
      <c r="C772">
        <v>164</v>
      </c>
      <c r="D772">
        <v>921</v>
      </c>
      <c r="E772">
        <v>500</v>
      </c>
      <c r="F772">
        <v>928</v>
      </c>
      <c r="G772" t="s">
        <v>5</v>
      </c>
      <c r="H772" s="1">
        <f t="shared" si="202"/>
        <v>36844.729166666766</v>
      </c>
      <c r="I772">
        <f t="shared" si="197"/>
        <v>8.2330000000000005</v>
      </c>
      <c r="J772">
        <f t="shared" si="198"/>
        <v>12.634400000000001</v>
      </c>
      <c r="K772">
        <f t="shared" si="199"/>
        <v>91.980199999999996</v>
      </c>
      <c r="L772">
        <f t="shared" si="200"/>
        <v>-1.0850000000000031</v>
      </c>
      <c r="M772">
        <f t="shared" si="201"/>
        <v>325.37199999999996</v>
      </c>
      <c r="O772">
        <v>319</v>
      </c>
      <c r="P772">
        <v>1730</v>
      </c>
      <c r="Q772">
        <v>0.48699999999999999</v>
      </c>
      <c r="R772">
        <f t="shared" si="182"/>
        <v>-0.48603181262259038</v>
      </c>
    </row>
    <row r="773" spans="1:18" x14ac:dyDescent="0.25">
      <c r="A773">
        <v>711</v>
      </c>
      <c r="B773">
        <v>104</v>
      </c>
      <c r="C773">
        <v>184</v>
      </c>
      <c r="D773">
        <v>907</v>
      </c>
      <c r="E773">
        <v>497</v>
      </c>
      <c r="F773">
        <v>929</v>
      </c>
      <c r="G773" t="s">
        <v>5</v>
      </c>
      <c r="H773" s="1">
        <f t="shared" si="202"/>
        <v>36844.750000000102</v>
      </c>
      <c r="I773">
        <f t="shared" si="197"/>
        <v>8.1584000000000003</v>
      </c>
      <c r="J773">
        <f t="shared" si="198"/>
        <v>14.1264</v>
      </c>
      <c r="K773">
        <f t="shared" si="199"/>
        <v>90.549399999999991</v>
      </c>
      <c r="L773">
        <f t="shared" si="200"/>
        <v>-1.3564698200000054</v>
      </c>
      <c r="M773">
        <f t="shared" si="201"/>
        <v>325.721</v>
      </c>
      <c r="O773">
        <v>319</v>
      </c>
      <c r="P773">
        <v>1800</v>
      </c>
      <c r="Q773">
        <v>0.505</v>
      </c>
      <c r="R773">
        <f t="shared" si="182"/>
        <v>-0.50374451797431985</v>
      </c>
    </row>
    <row r="774" spans="1:18" x14ac:dyDescent="0.25">
      <c r="A774">
        <v>711</v>
      </c>
      <c r="B774">
        <v>103</v>
      </c>
      <c r="C774">
        <v>160</v>
      </c>
      <c r="D774">
        <v>914</v>
      </c>
      <c r="E774">
        <v>498</v>
      </c>
      <c r="F774">
        <v>929</v>
      </c>
      <c r="G774" t="s">
        <v>5</v>
      </c>
      <c r="H774" s="1">
        <f t="shared" si="202"/>
        <v>36844.770833333438</v>
      </c>
      <c r="I774">
        <f t="shared" si="197"/>
        <v>8.0838000000000001</v>
      </c>
      <c r="J774">
        <f t="shared" si="198"/>
        <v>12.336</v>
      </c>
      <c r="K774">
        <f t="shared" si="199"/>
        <v>91.264799999999994</v>
      </c>
      <c r="L774">
        <f t="shared" si="200"/>
        <v>-1.2659999200000045</v>
      </c>
      <c r="M774">
        <f t="shared" si="201"/>
        <v>325.721</v>
      </c>
      <c r="O774">
        <v>319</v>
      </c>
      <c r="P774">
        <v>1830</v>
      </c>
      <c r="Q774">
        <v>0.51500000000000001</v>
      </c>
      <c r="R774">
        <f t="shared" si="182"/>
        <v>-0.51380514885971851</v>
      </c>
    </row>
    <row r="775" spans="1:18" x14ac:dyDescent="0.25">
      <c r="A775">
        <v>711</v>
      </c>
      <c r="B775">
        <v>99</v>
      </c>
      <c r="C775">
        <v>156</v>
      </c>
      <c r="D775">
        <v>917</v>
      </c>
      <c r="E775">
        <v>496</v>
      </c>
      <c r="F775">
        <v>929</v>
      </c>
      <c r="G775" t="s">
        <v>5</v>
      </c>
      <c r="H775" s="1">
        <f t="shared" si="202"/>
        <v>36844.791666666773</v>
      </c>
      <c r="I775">
        <f t="shared" si="197"/>
        <v>7.7854000000000001</v>
      </c>
      <c r="J775">
        <f t="shared" si="198"/>
        <v>12.037599999999999</v>
      </c>
      <c r="K775">
        <f t="shared" si="199"/>
        <v>91.571399999999997</v>
      </c>
      <c r="L775">
        <f t="shared" si="200"/>
        <v>-1.4469196799999988</v>
      </c>
      <c r="M775">
        <f t="shared" si="201"/>
        <v>325.721</v>
      </c>
      <c r="O775">
        <v>319</v>
      </c>
      <c r="P775">
        <v>1900</v>
      </c>
      <c r="Q775">
        <v>0.51200000000000001</v>
      </c>
      <c r="R775">
        <f t="shared" ref="R775:R838" si="203">-SQRT((L775+273.15)/273.15)*Q775</f>
        <v>-0.51064212603360959</v>
      </c>
    </row>
    <row r="776" spans="1:18" x14ac:dyDescent="0.25">
      <c r="A776">
        <v>711</v>
      </c>
      <c r="B776">
        <v>83</v>
      </c>
      <c r="C776">
        <v>136</v>
      </c>
      <c r="D776">
        <v>940</v>
      </c>
      <c r="E776">
        <v>495</v>
      </c>
      <c r="F776">
        <v>929</v>
      </c>
      <c r="G776" t="s">
        <v>5</v>
      </c>
      <c r="H776" s="1">
        <f t="shared" si="202"/>
        <v>36844.812500000109</v>
      </c>
      <c r="I776">
        <f t="shared" si="197"/>
        <v>6.5918000000000001</v>
      </c>
      <c r="J776">
        <f t="shared" si="198"/>
        <v>10.5456</v>
      </c>
      <c r="K776">
        <f t="shared" si="199"/>
        <v>93.921999999999997</v>
      </c>
      <c r="L776">
        <f t="shared" si="200"/>
        <v>-1.5373494999999995</v>
      </c>
      <c r="M776">
        <f t="shared" si="201"/>
        <v>325.721</v>
      </c>
      <c r="O776">
        <v>319</v>
      </c>
      <c r="P776">
        <v>1930</v>
      </c>
      <c r="Q776">
        <v>0.51200000000000001</v>
      </c>
      <c r="R776">
        <f t="shared" si="203"/>
        <v>-0.51055714150127562</v>
      </c>
    </row>
    <row r="777" spans="1:18" x14ac:dyDescent="0.25">
      <c r="A777">
        <v>711</v>
      </c>
      <c r="B777">
        <v>77</v>
      </c>
      <c r="C777">
        <v>124</v>
      </c>
      <c r="D777">
        <v>944</v>
      </c>
      <c r="E777">
        <v>493</v>
      </c>
      <c r="F777">
        <v>928</v>
      </c>
      <c r="G777" t="s">
        <v>5</v>
      </c>
      <c r="H777" s="1">
        <f t="shared" si="202"/>
        <v>36844.833333333445</v>
      </c>
      <c r="I777">
        <f t="shared" si="197"/>
        <v>6.1442000000000005</v>
      </c>
      <c r="J777">
        <f t="shared" si="198"/>
        <v>9.6503999999999994</v>
      </c>
      <c r="K777">
        <f t="shared" si="199"/>
        <v>94.330799999999996</v>
      </c>
      <c r="L777">
        <f t="shared" si="200"/>
        <v>-1.7181490200000011</v>
      </c>
      <c r="M777">
        <f t="shared" si="201"/>
        <v>325.37199999999996</v>
      </c>
      <c r="O777">
        <v>319</v>
      </c>
      <c r="P777">
        <v>2000</v>
      </c>
      <c r="Q777">
        <v>0.51200000000000001</v>
      </c>
      <c r="R777">
        <f t="shared" si="203"/>
        <v>-0.51038718650765824</v>
      </c>
    </row>
    <row r="778" spans="1:18" x14ac:dyDescent="0.25">
      <c r="A778">
        <v>711</v>
      </c>
      <c r="B778">
        <v>85</v>
      </c>
      <c r="C778">
        <v>140</v>
      </c>
      <c r="D778">
        <v>925</v>
      </c>
      <c r="E778">
        <v>494</v>
      </c>
      <c r="F778">
        <v>929</v>
      </c>
      <c r="G778" t="s">
        <v>5</v>
      </c>
      <c r="H778" s="1">
        <f>H777+1/48</f>
        <v>36844.854166666781</v>
      </c>
      <c r="I778">
        <f t="shared" si="197"/>
        <v>6.7410000000000005</v>
      </c>
      <c r="J778">
        <f t="shared" si="198"/>
        <v>10.843999999999999</v>
      </c>
      <c r="K778">
        <f t="shared" si="199"/>
        <v>92.388999999999996</v>
      </c>
      <c r="L778">
        <f t="shared" si="200"/>
        <v>-1.6277592800000003</v>
      </c>
      <c r="M778">
        <f t="shared" si="201"/>
        <v>325.721</v>
      </c>
      <c r="O778">
        <v>319</v>
      </c>
      <c r="P778">
        <v>2030</v>
      </c>
      <c r="Q778">
        <v>0.47499999999999998</v>
      </c>
      <c r="R778">
        <f t="shared" si="203"/>
        <v>-0.4735825718511576</v>
      </c>
    </row>
    <row r="779" spans="1:18" x14ac:dyDescent="0.25">
      <c r="A779">
        <v>711</v>
      </c>
      <c r="B779">
        <v>74</v>
      </c>
      <c r="C779">
        <v>124</v>
      </c>
      <c r="D779">
        <v>978</v>
      </c>
      <c r="E779">
        <v>492</v>
      </c>
      <c r="F779">
        <v>929</v>
      </c>
      <c r="G779" t="s">
        <v>5</v>
      </c>
      <c r="H779" s="1">
        <f t="shared" si="202"/>
        <v>36844.875000000116</v>
      </c>
      <c r="I779">
        <f t="shared" si="197"/>
        <v>5.9204000000000008</v>
      </c>
      <c r="J779">
        <f t="shared" si="198"/>
        <v>9.6503999999999994</v>
      </c>
      <c r="K779">
        <f t="shared" si="199"/>
        <v>97.805599999999998</v>
      </c>
      <c r="L779">
        <f t="shared" si="200"/>
        <v>-1.8085187200000017</v>
      </c>
      <c r="M779">
        <f t="shared" si="201"/>
        <v>325.721</v>
      </c>
      <c r="O779">
        <v>319</v>
      </c>
      <c r="P779">
        <v>2100</v>
      </c>
      <c r="Q779">
        <v>0.437</v>
      </c>
      <c r="R779">
        <f t="shared" si="203"/>
        <v>-0.4355509148717065</v>
      </c>
    </row>
    <row r="780" spans="1:18" x14ac:dyDescent="0.25">
      <c r="A780">
        <v>711</v>
      </c>
      <c r="B780">
        <v>59</v>
      </c>
      <c r="C780">
        <v>96</v>
      </c>
      <c r="D780">
        <v>979</v>
      </c>
      <c r="E780">
        <v>489</v>
      </c>
      <c r="F780">
        <v>928</v>
      </c>
      <c r="G780" t="s">
        <v>5</v>
      </c>
      <c r="H780" s="1">
        <f t="shared" si="202"/>
        <v>36844.895833333452</v>
      </c>
      <c r="I780">
        <f t="shared" si="197"/>
        <v>4.8014000000000001</v>
      </c>
      <c r="J780">
        <f t="shared" si="198"/>
        <v>7.5616000000000003</v>
      </c>
      <c r="K780">
        <f t="shared" si="199"/>
        <v>97.907799999999995</v>
      </c>
      <c r="L780">
        <f t="shared" si="200"/>
        <v>-2.0795075800000036</v>
      </c>
      <c r="M780">
        <f t="shared" si="201"/>
        <v>325.37199999999996</v>
      </c>
      <c r="O780">
        <v>319</v>
      </c>
      <c r="P780">
        <v>2130</v>
      </c>
      <c r="Q780">
        <v>0.437</v>
      </c>
      <c r="R780">
        <f t="shared" si="203"/>
        <v>-0.43533336809434703</v>
      </c>
    </row>
    <row r="781" spans="1:18" x14ac:dyDescent="0.25">
      <c r="A781">
        <v>711</v>
      </c>
      <c r="B781">
        <v>53</v>
      </c>
      <c r="C781">
        <v>88</v>
      </c>
      <c r="D781">
        <v>919</v>
      </c>
      <c r="E781">
        <v>486</v>
      </c>
      <c r="F781">
        <v>925</v>
      </c>
      <c r="G781" t="s">
        <v>5</v>
      </c>
      <c r="H781" s="1">
        <f t="shared" si="202"/>
        <v>36844.916666666788</v>
      </c>
      <c r="I781">
        <f t="shared" si="197"/>
        <v>4.3538000000000006</v>
      </c>
      <c r="J781">
        <f t="shared" si="198"/>
        <v>6.9648000000000003</v>
      </c>
      <c r="K781">
        <f t="shared" si="199"/>
        <v>91.775800000000004</v>
      </c>
      <c r="L781">
        <f t="shared" si="200"/>
        <v>-2.3503160800000056</v>
      </c>
      <c r="M781">
        <f t="shared" si="201"/>
        <v>324.32499999999999</v>
      </c>
      <c r="O781">
        <v>319</v>
      </c>
      <c r="P781">
        <v>2200</v>
      </c>
      <c r="Q781">
        <v>0.42</v>
      </c>
      <c r="R781">
        <f t="shared" si="203"/>
        <v>-0.41818915361203229</v>
      </c>
    </row>
    <row r="782" spans="1:18" x14ac:dyDescent="0.25">
      <c r="A782">
        <v>711</v>
      </c>
      <c r="B782">
        <v>46</v>
      </c>
      <c r="C782">
        <v>80</v>
      </c>
      <c r="D782">
        <v>977</v>
      </c>
      <c r="E782">
        <v>486</v>
      </c>
      <c r="F782">
        <v>925</v>
      </c>
      <c r="G782" t="s">
        <v>5</v>
      </c>
      <c r="H782" s="1">
        <f t="shared" si="202"/>
        <v>36844.937500000124</v>
      </c>
      <c r="I782">
        <f t="shared" si="197"/>
        <v>3.8315999999999999</v>
      </c>
      <c r="J782">
        <f t="shared" si="198"/>
        <v>6.3680000000000003</v>
      </c>
      <c r="K782">
        <f t="shared" si="199"/>
        <v>97.703400000000002</v>
      </c>
      <c r="L782">
        <f t="shared" si="200"/>
        <v>-2.3503160800000056</v>
      </c>
      <c r="M782">
        <f t="shared" si="201"/>
        <v>324.32499999999999</v>
      </c>
      <c r="O782">
        <v>319</v>
      </c>
      <c r="P782">
        <v>2230</v>
      </c>
      <c r="Q782">
        <v>0.42199999999999999</v>
      </c>
      <c r="R782">
        <f t="shared" si="203"/>
        <v>-0.42018053053399435</v>
      </c>
    </row>
    <row r="783" spans="1:18" x14ac:dyDescent="0.25">
      <c r="A783">
        <v>711</v>
      </c>
      <c r="B783">
        <v>40</v>
      </c>
      <c r="C783">
        <v>60</v>
      </c>
      <c r="D783">
        <v>957</v>
      </c>
      <c r="E783">
        <v>486</v>
      </c>
      <c r="F783">
        <v>925</v>
      </c>
      <c r="G783" t="s">
        <v>5</v>
      </c>
      <c r="H783" s="1">
        <f t="shared" si="202"/>
        <v>36844.958333333459</v>
      </c>
      <c r="I783">
        <f t="shared" si="197"/>
        <v>3.3839999999999999</v>
      </c>
      <c r="J783">
        <f t="shared" si="198"/>
        <v>4.8760000000000003</v>
      </c>
      <c r="K783">
        <f t="shared" si="199"/>
        <v>95.659400000000005</v>
      </c>
      <c r="L783">
        <f t="shared" si="200"/>
        <v>-2.3503160800000056</v>
      </c>
      <c r="M783">
        <f t="shared" si="201"/>
        <v>324.32499999999999</v>
      </c>
      <c r="O783">
        <v>319</v>
      </c>
      <c r="P783">
        <v>2300</v>
      </c>
      <c r="Q783">
        <v>0.40200000000000002</v>
      </c>
      <c r="R783">
        <f t="shared" si="203"/>
        <v>-0.40026676131437378</v>
      </c>
    </row>
    <row r="784" spans="1:18" x14ac:dyDescent="0.25">
      <c r="A784">
        <v>711</v>
      </c>
      <c r="B784">
        <v>37</v>
      </c>
      <c r="C784">
        <v>48</v>
      </c>
      <c r="D784">
        <v>964</v>
      </c>
      <c r="E784">
        <v>486</v>
      </c>
      <c r="F784">
        <v>925</v>
      </c>
      <c r="H784" s="1">
        <f t="shared" si="202"/>
        <v>36844.979166666795</v>
      </c>
      <c r="I784">
        <f t="shared" si="197"/>
        <v>3.1602000000000001</v>
      </c>
      <c r="J784">
        <f t="shared" si="198"/>
        <v>3.9807999999999999</v>
      </c>
      <c r="K784">
        <f t="shared" si="199"/>
        <v>96.374799999999993</v>
      </c>
      <c r="L784">
        <f t="shared" si="200"/>
        <v>-2.3503160800000056</v>
      </c>
      <c r="M784">
        <f t="shared" si="201"/>
        <v>324.32499999999999</v>
      </c>
      <c r="O784">
        <v>319</v>
      </c>
      <c r="P784">
        <v>2330</v>
      </c>
      <c r="Q784">
        <v>0.39500000000000002</v>
      </c>
      <c r="R784">
        <f t="shared" si="203"/>
        <v>-0.3932969420875066</v>
      </c>
    </row>
    <row r="785" spans="1:18" x14ac:dyDescent="0.25">
      <c r="A785">
        <v>11</v>
      </c>
      <c r="B785">
        <v>32</v>
      </c>
      <c r="C785">
        <v>48</v>
      </c>
      <c r="D785">
        <v>940</v>
      </c>
      <c r="E785">
        <v>486</v>
      </c>
      <c r="F785">
        <v>925</v>
      </c>
      <c r="H785" s="1">
        <f t="shared" si="202"/>
        <v>36845.000000000131</v>
      </c>
      <c r="I785">
        <f>0.4+0.0746*B785</f>
        <v>2.7871999999999999</v>
      </c>
      <c r="J785">
        <f>0.4+0.0746*C785</f>
        <v>3.9807999999999999</v>
      </c>
      <c r="K785">
        <f>-2.146+0.1022*D785</f>
        <v>93.921999999999997</v>
      </c>
      <c r="L785">
        <f>-43.84+0.0805*E785+0.00001002*E785^2</f>
        <v>-2.3503160800000056</v>
      </c>
      <c r="M785">
        <f>1.5+0.349*F785</f>
        <v>324.32499999999999</v>
      </c>
      <c r="O785">
        <v>319</v>
      </c>
      <c r="P785">
        <v>2400</v>
      </c>
      <c r="Q785">
        <v>0.39200000000000002</v>
      </c>
      <c r="R785">
        <f t="shared" si="203"/>
        <v>-0.39030987670456346</v>
      </c>
    </row>
    <row r="786" spans="1:18" x14ac:dyDescent="0.25">
      <c r="A786">
        <v>11</v>
      </c>
      <c r="B786">
        <v>26</v>
      </c>
      <c r="C786">
        <v>36</v>
      </c>
      <c r="D786">
        <v>54</v>
      </c>
      <c r="E786">
        <v>86</v>
      </c>
      <c r="F786">
        <v>25</v>
      </c>
      <c r="H786" s="1">
        <f t="shared" si="202"/>
        <v>36845.020833333467</v>
      </c>
      <c r="O786">
        <v>320</v>
      </c>
      <c r="P786">
        <v>30</v>
      </c>
      <c r="Q786">
        <v>0.39200000000000002</v>
      </c>
      <c r="R786">
        <f t="shared" si="203"/>
        <v>-0.39200000000000002</v>
      </c>
    </row>
    <row r="787" spans="1:18" x14ac:dyDescent="0.25">
      <c r="A787">
        <v>11</v>
      </c>
      <c r="B787">
        <v>19</v>
      </c>
      <c r="C787">
        <v>32</v>
      </c>
      <c r="D787">
        <v>954</v>
      </c>
      <c r="E787">
        <v>480</v>
      </c>
      <c r="F787">
        <v>924</v>
      </c>
      <c r="G787" t="s">
        <v>5</v>
      </c>
      <c r="H787" s="1">
        <f t="shared" si="202"/>
        <v>36845.041666666802</v>
      </c>
      <c r="I787">
        <f t="shared" ref="I787:I801" si="204">0.4+0.0746*B787</f>
        <v>1.8174000000000001</v>
      </c>
      <c r="J787">
        <f t="shared" ref="J787:J801" si="205">0.4+0.0746*C787</f>
        <v>2.7871999999999999</v>
      </c>
      <c r="K787">
        <f t="shared" ref="K787:K801" si="206">-2.146+0.1022*D787</f>
        <v>95.352800000000002</v>
      </c>
      <c r="L787">
        <f t="shared" ref="L787:L801" si="207">-43.84+0.0805*E787+0.00001002*E787^2</f>
        <v>-2.8913920000000028</v>
      </c>
      <c r="M787">
        <f t="shared" ref="M787:M801" si="208">1.5+0.349*F787</f>
        <v>323.976</v>
      </c>
      <c r="O787">
        <v>320</v>
      </c>
      <c r="P787">
        <v>100</v>
      </c>
      <c r="Q787">
        <v>0.39500000000000002</v>
      </c>
      <c r="R787">
        <f t="shared" si="203"/>
        <v>-0.39290382879627811</v>
      </c>
    </row>
    <row r="788" spans="1:18" x14ac:dyDescent="0.25">
      <c r="A788">
        <v>11</v>
      </c>
      <c r="B788">
        <v>13</v>
      </c>
      <c r="C788">
        <v>28</v>
      </c>
      <c r="D788">
        <v>953</v>
      </c>
      <c r="E788">
        <v>462</v>
      </c>
      <c r="F788">
        <v>917</v>
      </c>
      <c r="G788" t="s">
        <v>5</v>
      </c>
      <c r="H788" s="1">
        <f t="shared" si="202"/>
        <v>36845.062500000138</v>
      </c>
      <c r="I788">
        <f t="shared" si="204"/>
        <v>1.3698000000000001</v>
      </c>
      <c r="J788">
        <f t="shared" si="205"/>
        <v>2.4887999999999999</v>
      </c>
      <c r="K788">
        <f t="shared" si="206"/>
        <v>95.250599999999991</v>
      </c>
      <c r="L788">
        <f t="shared" si="207"/>
        <v>-4.5102911200000007</v>
      </c>
      <c r="M788">
        <f t="shared" si="208"/>
        <v>321.53299999999996</v>
      </c>
      <c r="O788">
        <v>320</v>
      </c>
      <c r="P788">
        <v>130</v>
      </c>
      <c r="Q788">
        <v>0.40500000000000003</v>
      </c>
      <c r="R788">
        <f t="shared" si="203"/>
        <v>-0.4016423734979428</v>
      </c>
    </row>
    <row r="789" spans="1:18" x14ac:dyDescent="0.25">
      <c r="A789">
        <v>11</v>
      </c>
      <c r="B789">
        <v>38</v>
      </c>
      <c r="C789">
        <v>52</v>
      </c>
      <c r="D789">
        <v>946</v>
      </c>
      <c r="E789">
        <v>459</v>
      </c>
      <c r="F789">
        <v>913</v>
      </c>
      <c r="G789" t="s">
        <v>5</v>
      </c>
      <c r="H789" s="1">
        <f t="shared" si="202"/>
        <v>36845.083333333474</v>
      </c>
      <c r="I789">
        <f t="shared" si="204"/>
        <v>3.2347999999999999</v>
      </c>
      <c r="J789">
        <f t="shared" si="205"/>
        <v>4.2792000000000003</v>
      </c>
      <c r="K789">
        <f t="shared" si="206"/>
        <v>94.535200000000003</v>
      </c>
      <c r="L789">
        <f t="shared" si="207"/>
        <v>-4.7794763800000029</v>
      </c>
      <c r="M789">
        <f t="shared" si="208"/>
        <v>320.137</v>
      </c>
      <c r="O789">
        <v>320</v>
      </c>
      <c r="P789">
        <v>200</v>
      </c>
      <c r="Q789">
        <v>0.40500000000000003</v>
      </c>
      <c r="R789">
        <f t="shared" si="203"/>
        <v>-0.40144109405063411</v>
      </c>
    </row>
    <row r="790" spans="1:18" x14ac:dyDescent="0.25">
      <c r="A790">
        <v>11</v>
      </c>
      <c r="B790">
        <v>48</v>
      </c>
      <c r="C790">
        <v>64</v>
      </c>
      <c r="D790">
        <v>941</v>
      </c>
      <c r="E790">
        <v>467</v>
      </c>
      <c r="F790">
        <v>916</v>
      </c>
      <c r="G790" t="s">
        <v>5</v>
      </c>
      <c r="H790" s="1">
        <f t="shared" si="202"/>
        <v>36845.10416666681</v>
      </c>
      <c r="I790">
        <f t="shared" si="204"/>
        <v>3.9807999999999999</v>
      </c>
      <c r="J790">
        <f t="shared" si="205"/>
        <v>5.1744000000000003</v>
      </c>
      <c r="K790">
        <f t="shared" si="206"/>
        <v>94.024199999999993</v>
      </c>
      <c r="L790">
        <f t="shared" si="207"/>
        <v>-4.0612482200000048</v>
      </c>
      <c r="M790">
        <f t="shared" si="208"/>
        <v>321.18399999999997</v>
      </c>
      <c r="O790">
        <v>320</v>
      </c>
      <c r="P790">
        <v>230</v>
      </c>
      <c r="Q790">
        <v>0.40500000000000003</v>
      </c>
      <c r="R790">
        <f t="shared" si="203"/>
        <v>-0.40197791464370469</v>
      </c>
    </row>
    <row r="791" spans="1:18" x14ac:dyDescent="0.25">
      <c r="A791">
        <v>1</v>
      </c>
      <c r="B791">
        <v>59</v>
      </c>
      <c r="C791">
        <v>84</v>
      </c>
      <c r="D791">
        <v>554</v>
      </c>
      <c r="E791">
        <v>477</v>
      </c>
      <c r="F791">
        <v>920</v>
      </c>
      <c r="G791" t="s">
        <v>5</v>
      </c>
      <c r="H791" s="1">
        <f t="shared" si="202"/>
        <v>36845.125000000146</v>
      </c>
      <c r="I791">
        <f t="shared" si="204"/>
        <v>4.8014000000000001</v>
      </c>
      <c r="J791">
        <f t="shared" si="205"/>
        <v>6.6664000000000003</v>
      </c>
      <c r="K791">
        <f t="shared" si="206"/>
        <v>54.472799999999999</v>
      </c>
      <c r="L791">
        <f t="shared" si="207"/>
        <v>-3.1616594200000048</v>
      </c>
      <c r="M791">
        <f t="shared" si="208"/>
        <v>322.58</v>
      </c>
      <c r="O791">
        <v>320</v>
      </c>
      <c r="P791">
        <v>300</v>
      </c>
      <c r="Q791">
        <v>0.40500000000000003</v>
      </c>
      <c r="R791">
        <f t="shared" si="203"/>
        <v>-0.40264927883781959</v>
      </c>
    </row>
    <row r="792" spans="1:18" x14ac:dyDescent="0.25">
      <c r="A792">
        <v>1</v>
      </c>
      <c r="B792">
        <v>65</v>
      </c>
      <c r="C792">
        <v>88</v>
      </c>
      <c r="D792">
        <v>527</v>
      </c>
      <c r="E792">
        <v>478</v>
      </c>
      <c r="F792">
        <v>920</v>
      </c>
      <c r="G792" t="s">
        <v>5</v>
      </c>
      <c r="H792" s="1">
        <f t="shared" si="202"/>
        <v>36845.145833333481</v>
      </c>
      <c r="I792">
        <f t="shared" si="204"/>
        <v>5.2490000000000006</v>
      </c>
      <c r="J792">
        <f t="shared" si="205"/>
        <v>6.9648000000000003</v>
      </c>
      <c r="K792">
        <f t="shared" si="206"/>
        <v>51.7134</v>
      </c>
      <c r="L792">
        <f t="shared" si="207"/>
        <v>-3.0715903200000039</v>
      </c>
      <c r="M792">
        <f t="shared" si="208"/>
        <v>322.58</v>
      </c>
      <c r="O792">
        <v>320</v>
      </c>
      <c r="P792">
        <v>330</v>
      </c>
      <c r="Q792">
        <v>0.40200000000000002</v>
      </c>
      <c r="R792">
        <f t="shared" si="203"/>
        <v>-0.39973335116476444</v>
      </c>
    </row>
    <row r="793" spans="1:18" x14ac:dyDescent="0.25">
      <c r="A793">
        <v>1</v>
      </c>
      <c r="B793">
        <v>67</v>
      </c>
      <c r="C793">
        <v>92</v>
      </c>
      <c r="D793">
        <v>567</v>
      </c>
      <c r="E793">
        <v>481</v>
      </c>
      <c r="F793">
        <v>920</v>
      </c>
      <c r="G793" t="s">
        <v>5</v>
      </c>
      <c r="H793" s="1">
        <f t="shared" si="202"/>
        <v>36845.166666666817</v>
      </c>
      <c r="I793">
        <f t="shared" si="204"/>
        <v>5.3982000000000001</v>
      </c>
      <c r="J793">
        <f t="shared" si="205"/>
        <v>7.2632000000000003</v>
      </c>
      <c r="K793">
        <f t="shared" si="206"/>
        <v>55.801400000000001</v>
      </c>
      <c r="L793">
        <f t="shared" si="207"/>
        <v>-2.8012627800000018</v>
      </c>
      <c r="M793">
        <f t="shared" si="208"/>
        <v>322.58</v>
      </c>
      <c r="O793">
        <v>320</v>
      </c>
      <c r="P793">
        <v>400</v>
      </c>
      <c r="Q793">
        <v>0.40500000000000003</v>
      </c>
      <c r="R793">
        <f t="shared" si="203"/>
        <v>-0.40291792942591492</v>
      </c>
    </row>
    <row r="794" spans="1:18" x14ac:dyDescent="0.25">
      <c r="A794">
        <v>1</v>
      </c>
      <c r="B794">
        <v>75</v>
      </c>
      <c r="C794">
        <v>100</v>
      </c>
      <c r="D794">
        <v>538</v>
      </c>
      <c r="E794">
        <v>482</v>
      </c>
      <c r="F794">
        <v>921</v>
      </c>
      <c r="G794" t="s">
        <v>5</v>
      </c>
      <c r="H794" s="1">
        <f t="shared" si="202"/>
        <v>36845.187500000153</v>
      </c>
      <c r="I794">
        <f t="shared" si="204"/>
        <v>5.9950000000000001</v>
      </c>
      <c r="J794">
        <f t="shared" si="205"/>
        <v>7.86</v>
      </c>
      <c r="K794">
        <f t="shared" si="206"/>
        <v>52.837600000000002</v>
      </c>
      <c r="L794">
        <f t="shared" si="207"/>
        <v>-2.7111135200000014</v>
      </c>
      <c r="M794">
        <f t="shared" si="208"/>
        <v>322.92899999999997</v>
      </c>
      <c r="O794">
        <v>320</v>
      </c>
      <c r="P794">
        <v>430</v>
      </c>
      <c r="Q794">
        <v>0.42199999999999999</v>
      </c>
      <c r="R794">
        <f t="shared" si="203"/>
        <v>-0.41990052542660566</v>
      </c>
    </row>
    <row r="795" spans="1:18" x14ac:dyDescent="0.25">
      <c r="A795">
        <v>1</v>
      </c>
      <c r="B795">
        <v>71</v>
      </c>
      <c r="C795">
        <v>100</v>
      </c>
      <c r="D795">
        <v>548</v>
      </c>
      <c r="E795">
        <v>476</v>
      </c>
      <c r="F795">
        <v>916</v>
      </c>
      <c r="G795" t="s">
        <v>5</v>
      </c>
      <c r="H795" s="1">
        <f t="shared" si="202"/>
        <v>36845.208333333489</v>
      </c>
      <c r="I795">
        <f t="shared" si="204"/>
        <v>5.6966000000000001</v>
      </c>
      <c r="J795">
        <f t="shared" si="205"/>
        <v>7.86</v>
      </c>
      <c r="K795">
        <f t="shared" si="206"/>
        <v>53.8596</v>
      </c>
      <c r="L795">
        <f t="shared" si="207"/>
        <v>-3.2517084800000053</v>
      </c>
      <c r="M795">
        <f t="shared" si="208"/>
        <v>321.18399999999997</v>
      </c>
      <c r="O795">
        <v>320</v>
      </c>
      <c r="P795">
        <v>500</v>
      </c>
      <c r="Q795">
        <v>0.4</v>
      </c>
      <c r="R795">
        <f t="shared" si="203"/>
        <v>-0.39761197584566799</v>
      </c>
    </row>
    <row r="796" spans="1:18" x14ac:dyDescent="0.25">
      <c r="A796">
        <v>1</v>
      </c>
      <c r="B796">
        <v>75</v>
      </c>
      <c r="C796">
        <v>104</v>
      </c>
      <c r="D796">
        <v>513</v>
      </c>
      <c r="E796">
        <v>483</v>
      </c>
      <c r="F796">
        <v>917</v>
      </c>
      <c r="G796" t="s">
        <v>5</v>
      </c>
      <c r="H796" s="1">
        <f t="shared" si="202"/>
        <v>36845.229166666824</v>
      </c>
      <c r="I796">
        <f t="shared" si="204"/>
        <v>5.9950000000000001</v>
      </c>
      <c r="J796">
        <f t="shared" si="205"/>
        <v>8.1584000000000003</v>
      </c>
      <c r="K796">
        <f t="shared" si="206"/>
        <v>50.282600000000002</v>
      </c>
      <c r="L796">
        <f t="shared" si="207"/>
        <v>-2.6209442200000006</v>
      </c>
      <c r="M796">
        <f t="shared" si="208"/>
        <v>321.53299999999996</v>
      </c>
      <c r="O796">
        <v>320</v>
      </c>
      <c r="P796">
        <v>530</v>
      </c>
      <c r="Q796">
        <v>0.44</v>
      </c>
      <c r="R796">
        <f t="shared" si="203"/>
        <v>-0.43788395541227326</v>
      </c>
    </row>
    <row r="797" spans="1:18" x14ac:dyDescent="0.25">
      <c r="A797">
        <v>7</v>
      </c>
      <c r="B797">
        <v>74</v>
      </c>
      <c r="C797">
        <v>104</v>
      </c>
      <c r="D797">
        <v>466</v>
      </c>
      <c r="E797">
        <v>482</v>
      </c>
      <c r="F797">
        <v>921</v>
      </c>
      <c r="G797" t="s">
        <v>5</v>
      </c>
      <c r="H797" s="1">
        <f t="shared" si="202"/>
        <v>36845.25000000016</v>
      </c>
      <c r="I797">
        <f t="shared" si="204"/>
        <v>5.9204000000000008</v>
      </c>
      <c r="J797">
        <f t="shared" si="205"/>
        <v>8.1584000000000003</v>
      </c>
      <c r="K797">
        <f t="shared" si="206"/>
        <v>45.479199999999999</v>
      </c>
      <c r="L797">
        <f t="shared" si="207"/>
        <v>-2.7111135200000014</v>
      </c>
      <c r="M797">
        <f t="shared" si="208"/>
        <v>322.92899999999997</v>
      </c>
      <c r="O797">
        <v>320</v>
      </c>
      <c r="P797">
        <v>600</v>
      </c>
      <c r="Q797">
        <v>0.44500000000000001</v>
      </c>
      <c r="R797">
        <f t="shared" si="203"/>
        <v>-0.44278609908729744</v>
      </c>
    </row>
    <row r="798" spans="1:18" x14ac:dyDescent="0.25">
      <c r="A798">
        <v>7</v>
      </c>
      <c r="B798">
        <v>83</v>
      </c>
      <c r="C798">
        <v>124</v>
      </c>
      <c r="D798">
        <v>524</v>
      </c>
      <c r="E798">
        <v>484</v>
      </c>
      <c r="F798">
        <v>920</v>
      </c>
      <c r="G798" t="s">
        <v>5</v>
      </c>
      <c r="H798" s="1">
        <f t="shared" si="202"/>
        <v>36845.270833333496</v>
      </c>
      <c r="I798">
        <f t="shared" si="204"/>
        <v>6.5918000000000001</v>
      </c>
      <c r="J798">
        <f t="shared" si="205"/>
        <v>9.6503999999999994</v>
      </c>
      <c r="K798">
        <f t="shared" si="206"/>
        <v>51.406799999999997</v>
      </c>
      <c r="L798">
        <f t="shared" si="207"/>
        <v>-2.5307548799999999</v>
      </c>
      <c r="M798">
        <f t="shared" si="208"/>
        <v>322.58</v>
      </c>
      <c r="O798">
        <v>320</v>
      </c>
      <c r="P798">
        <v>630</v>
      </c>
      <c r="Q798">
        <v>0.442</v>
      </c>
      <c r="R798">
        <f t="shared" si="203"/>
        <v>-0.43994765386634266</v>
      </c>
    </row>
    <row r="799" spans="1:18" x14ac:dyDescent="0.25">
      <c r="A799">
        <v>71</v>
      </c>
      <c r="B799">
        <v>71</v>
      </c>
      <c r="C799">
        <v>108</v>
      </c>
      <c r="D799">
        <v>564</v>
      </c>
      <c r="E799">
        <v>485</v>
      </c>
      <c r="F799">
        <v>921</v>
      </c>
      <c r="G799" t="s">
        <v>5</v>
      </c>
      <c r="H799" s="1">
        <f t="shared" si="202"/>
        <v>36845.291666666832</v>
      </c>
      <c r="I799">
        <f t="shared" si="204"/>
        <v>5.6966000000000001</v>
      </c>
      <c r="J799">
        <f t="shared" si="205"/>
        <v>8.4567999999999994</v>
      </c>
      <c r="K799">
        <f t="shared" si="206"/>
        <v>55.494799999999998</v>
      </c>
      <c r="L799">
        <f t="shared" si="207"/>
        <v>-2.4405454999999994</v>
      </c>
      <c r="M799">
        <f t="shared" si="208"/>
        <v>322.92899999999997</v>
      </c>
      <c r="O799">
        <v>320</v>
      </c>
      <c r="P799">
        <v>700</v>
      </c>
      <c r="Q799">
        <v>0.442</v>
      </c>
      <c r="R799">
        <f t="shared" si="203"/>
        <v>-0.44002097477563135</v>
      </c>
    </row>
    <row r="800" spans="1:18" x14ac:dyDescent="0.25">
      <c r="A800">
        <v>71</v>
      </c>
      <c r="B800">
        <v>65</v>
      </c>
      <c r="C800">
        <v>96</v>
      </c>
      <c r="D800">
        <v>525</v>
      </c>
      <c r="E800">
        <v>487</v>
      </c>
      <c r="F800">
        <v>917</v>
      </c>
      <c r="G800" t="s">
        <v>5</v>
      </c>
      <c r="H800" s="1">
        <f t="shared" si="202"/>
        <v>36845.312500000167</v>
      </c>
      <c r="I800">
        <f t="shared" si="204"/>
        <v>5.2490000000000006</v>
      </c>
      <c r="J800">
        <f t="shared" si="205"/>
        <v>7.5616000000000003</v>
      </c>
      <c r="K800">
        <f t="shared" si="206"/>
        <v>51.509</v>
      </c>
      <c r="L800">
        <f t="shared" si="207"/>
        <v>-2.2600666200000052</v>
      </c>
      <c r="M800">
        <f t="shared" si="208"/>
        <v>321.53299999999996</v>
      </c>
      <c r="O800">
        <v>320</v>
      </c>
      <c r="P800">
        <v>730</v>
      </c>
      <c r="Q800">
        <v>0.442</v>
      </c>
      <c r="R800">
        <f t="shared" si="203"/>
        <v>-0.4401676287982601</v>
      </c>
    </row>
    <row r="801" spans="1:18" x14ac:dyDescent="0.25">
      <c r="A801">
        <v>71</v>
      </c>
      <c r="B801">
        <v>81</v>
      </c>
      <c r="C801">
        <v>116</v>
      </c>
      <c r="D801">
        <v>562</v>
      </c>
      <c r="E801">
        <v>488</v>
      </c>
      <c r="F801">
        <v>913</v>
      </c>
      <c r="G801" t="s">
        <v>5</v>
      </c>
      <c r="H801" s="1">
        <f t="shared" si="202"/>
        <v>36845.333333333503</v>
      </c>
      <c r="I801">
        <f t="shared" si="204"/>
        <v>6.4426000000000005</v>
      </c>
      <c r="J801">
        <f t="shared" si="205"/>
        <v>9.0536000000000012</v>
      </c>
      <c r="K801">
        <f t="shared" si="206"/>
        <v>55.290399999999998</v>
      </c>
      <c r="L801">
        <f t="shared" si="207"/>
        <v>-2.1697971200000041</v>
      </c>
      <c r="M801">
        <f t="shared" si="208"/>
        <v>320.137</v>
      </c>
      <c r="O801">
        <v>320</v>
      </c>
      <c r="P801">
        <v>800</v>
      </c>
      <c r="Q801">
        <v>0.442</v>
      </c>
      <c r="R801">
        <f t="shared" si="203"/>
        <v>-0.44024096190753487</v>
      </c>
    </row>
    <row r="802" spans="1:18" x14ac:dyDescent="0.25">
      <c r="A802">
        <v>71</v>
      </c>
      <c r="B802">
        <v>74</v>
      </c>
      <c r="C802">
        <v>136</v>
      </c>
      <c r="D802">
        <v>557</v>
      </c>
      <c r="E802">
        <v>490</v>
      </c>
      <c r="F802">
        <v>905</v>
      </c>
      <c r="G802" t="s">
        <v>5</v>
      </c>
      <c r="H802" s="1">
        <f t="shared" si="202"/>
        <v>36845.354166666839</v>
      </c>
      <c r="I802">
        <f t="shared" si="197"/>
        <v>5.9204000000000008</v>
      </c>
      <c r="J802">
        <f t="shared" si="198"/>
        <v>10.5456</v>
      </c>
      <c r="K802">
        <f t="shared" si="199"/>
        <v>54.779399999999995</v>
      </c>
      <c r="L802">
        <f t="shared" si="200"/>
        <v>-1.9891980000000031</v>
      </c>
      <c r="M802">
        <f t="shared" si="201"/>
        <v>317.34499999999997</v>
      </c>
      <c r="O802">
        <v>320</v>
      </c>
      <c r="P802">
        <v>830</v>
      </c>
      <c r="Q802">
        <v>0.44</v>
      </c>
      <c r="R802">
        <f t="shared" si="203"/>
        <v>-0.43839493605704583</v>
      </c>
    </row>
    <row r="803" spans="1:18" x14ac:dyDescent="0.25">
      <c r="A803">
        <v>711</v>
      </c>
      <c r="B803">
        <v>41</v>
      </c>
      <c r="C803">
        <v>144</v>
      </c>
      <c r="D803">
        <v>727</v>
      </c>
      <c r="E803">
        <v>502</v>
      </c>
      <c r="F803">
        <v>917</v>
      </c>
      <c r="G803" t="s">
        <v>5</v>
      </c>
      <c r="H803" s="1">
        <f t="shared" si="202"/>
        <v>36845.375000000175</v>
      </c>
      <c r="I803">
        <f t="shared" si="197"/>
        <v>3.4586000000000001</v>
      </c>
      <c r="J803">
        <f t="shared" si="198"/>
        <v>11.1424</v>
      </c>
      <c r="K803">
        <f t="shared" si="199"/>
        <v>72.153400000000005</v>
      </c>
      <c r="L803">
        <f t="shared" si="200"/>
        <v>-0.9039199200000021</v>
      </c>
      <c r="M803">
        <f t="shared" si="201"/>
        <v>321.53299999999996</v>
      </c>
      <c r="O803">
        <v>320</v>
      </c>
      <c r="P803">
        <v>900</v>
      </c>
      <c r="Q803">
        <v>0.442</v>
      </c>
      <c r="R803">
        <f t="shared" si="203"/>
        <v>-0.44126805108845213</v>
      </c>
    </row>
    <row r="804" spans="1:18" x14ac:dyDescent="0.25">
      <c r="A804">
        <v>711</v>
      </c>
      <c r="B804">
        <v>27</v>
      </c>
      <c r="C804">
        <v>52</v>
      </c>
      <c r="D804">
        <v>837</v>
      </c>
      <c r="E804">
        <v>508</v>
      </c>
      <c r="F804">
        <v>917</v>
      </c>
      <c r="G804" t="s">
        <v>5</v>
      </c>
      <c r="H804" s="1">
        <f t="shared" si="202"/>
        <v>36845.39583333351</v>
      </c>
      <c r="I804">
        <f t="shared" si="197"/>
        <v>2.4141999999999997</v>
      </c>
      <c r="J804">
        <f t="shared" si="198"/>
        <v>4.2792000000000003</v>
      </c>
      <c r="K804">
        <f t="shared" si="199"/>
        <v>83.395399999999995</v>
      </c>
      <c r="L804">
        <f t="shared" si="200"/>
        <v>-0.36019872000000497</v>
      </c>
      <c r="M804">
        <f t="shared" si="201"/>
        <v>321.53299999999996</v>
      </c>
      <c r="O804">
        <v>320</v>
      </c>
      <c r="P804">
        <v>930</v>
      </c>
      <c r="Q804">
        <v>0.437</v>
      </c>
      <c r="R804">
        <f t="shared" si="203"/>
        <v>-0.43671177234599956</v>
      </c>
    </row>
    <row r="805" spans="1:18" x14ac:dyDescent="0.25">
      <c r="A805">
        <v>711</v>
      </c>
      <c r="B805">
        <v>31</v>
      </c>
      <c r="C805">
        <v>92</v>
      </c>
      <c r="D805">
        <v>836</v>
      </c>
      <c r="E805">
        <v>508</v>
      </c>
      <c r="F805">
        <v>912</v>
      </c>
      <c r="G805" t="s">
        <v>5</v>
      </c>
      <c r="H805" s="1">
        <f t="shared" si="202"/>
        <v>36845.416666666846</v>
      </c>
      <c r="I805">
        <f t="shared" si="197"/>
        <v>2.7125999999999997</v>
      </c>
      <c r="J805">
        <f t="shared" si="198"/>
        <v>7.2632000000000003</v>
      </c>
      <c r="K805">
        <f t="shared" si="199"/>
        <v>83.293199999999999</v>
      </c>
      <c r="L805">
        <f t="shared" si="200"/>
        <v>-0.36019872000000497</v>
      </c>
      <c r="M805">
        <f t="shared" si="201"/>
        <v>319.78799999999995</v>
      </c>
      <c r="O805">
        <v>320</v>
      </c>
      <c r="P805">
        <v>1000</v>
      </c>
      <c r="Q805">
        <v>0.44</v>
      </c>
      <c r="R805">
        <f t="shared" si="203"/>
        <v>-0.43970979366645263</v>
      </c>
    </row>
    <row r="806" spans="1:18" x14ac:dyDescent="0.25">
      <c r="A806">
        <v>711</v>
      </c>
      <c r="B806">
        <v>42</v>
      </c>
      <c r="C806">
        <v>132</v>
      </c>
      <c r="D806">
        <v>823</v>
      </c>
      <c r="E806">
        <v>506</v>
      </c>
      <c r="F806">
        <v>904</v>
      </c>
      <c r="G806" t="s">
        <v>5</v>
      </c>
      <c r="H806" s="1">
        <f t="shared" si="202"/>
        <v>36845.437500000182</v>
      </c>
      <c r="I806">
        <f t="shared" si="197"/>
        <v>3.5331999999999999</v>
      </c>
      <c r="J806">
        <f t="shared" si="198"/>
        <v>10.247200000000001</v>
      </c>
      <c r="K806">
        <f t="shared" si="199"/>
        <v>81.964600000000004</v>
      </c>
      <c r="L806">
        <f t="shared" si="200"/>
        <v>-0.54151927999999927</v>
      </c>
      <c r="M806">
        <f t="shared" si="201"/>
        <v>316.99599999999998</v>
      </c>
      <c r="O806">
        <v>320</v>
      </c>
      <c r="P806">
        <v>1030</v>
      </c>
      <c r="Q806">
        <v>0.44</v>
      </c>
      <c r="R806">
        <f t="shared" si="203"/>
        <v>-0.43956363409831462</v>
      </c>
    </row>
    <row r="807" spans="1:18" x14ac:dyDescent="0.25">
      <c r="A807">
        <v>711</v>
      </c>
      <c r="B807">
        <v>73</v>
      </c>
      <c r="C807">
        <v>180</v>
      </c>
      <c r="D807">
        <v>583</v>
      </c>
      <c r="E807">
        <v>497</v>
      </c>
      <c r="F807">
        <v>892</v>
      </c>
      <c r="G807" t="s">
        <v>5</v>
      </c>
      <c r="H807" s="1">
        <f t="shared" si="202"/>
        <v>36845.458333333518</v>
      </c>
      <c r="I807">
        <f t="shared" si="197"/>
        <v>5.8458000000000006</v>
      </c>
      <c r="J807">
        <f t="shared" si="198"/>
        <v>13.828000000000001</v>
      </c>
      <c r="K807">
        <f t="shared" si="199"/>
        <v>57.436599999999999</v>
      </c>
      <c r="L807">
        <f t="shared" si="200"/>
        <v>-1.3564698200000054</v>
      </c>
      <c r="M807">
        <f t="shared" si="201"/>
        <v>312.80799999999999</v>
      </c>
      <c r="O807">
        <v>320</v>
      </c>
      <c r="P807">
        <v>1100</v>
      </c>
      <c r="Q807">
        <v>0.432</v>
      </c>
      <c r="R807">
        <f t="shared" si="203"/>
        <v>-0.43092600349486376</v>
      </c>
    </row>
    <row r="808" spans="1:18" x14ac:dyDescent="0.25">
      <c r="A808">
        <v>711</v>
      </c>
      <c r="B808">
        <v>129</v>
      </c>
      <c r="C808">
        <v>228</v>
      </c>
      <c r="D808">
        <v>537</v>
      </c>
      <c r="E808">
        <v>495</v>
      </c>
      <c r="F808">
        <v>909</v>
      </c>
      <c r="G808" t="s">
        <v>5</v>
      </c>
      <c r="H808" s="1">
        <f t="shared" si="202"/>
        <v>36845.479166666853</v>
      </c>
      <c r="I808">
        <f t="shared" si="197"/>
        <v>10.023400000000001</v>
      </c>
      <c r="J808">
        <f t="shared" si="198"/>
        <v>17.408799999999999</v>
      </c>
      <c r="K808">
        <f t="shared" si="199"/>
        <v>52.735399999999998</v>
      </c>
      <c r="L808">
        <f t="shared" si="200"/>
        <v>-1.5373494999999995</v>
      </c>
      <c r="M808">
        <f t="shared" si="201"/>
        <v>318.74099999999999</v>
      </c>
      <c r="O808">
        <v>320</v>
      </c>
      <c r="P808">
        <v>1130</v>
      </c>
      <c r="Q808">
        <v>0.435</v>
      </c>
      <c r="R808">
        <f t="shared" si="203"/>
        <v>-0.43377413389268532</v>
      </c>
    </row>
    <row r="809" spans="1:18" x14ac:dyDescent="0.25">
      <c r="A809">
        <v>711</v>
      </c>
      <c r="B809">
        <v>131</v>
      </c>
      <c r="C809">
        <v>208</v>
      </c>
      <c r="D809">
        <v>514</v>
      </c>
      <c r="E809">
        <v>494</v>
      </c>
      <c r="F809">
        <v>920</v>
      </c>
      <c r="G809" t="s">
        <v>5</v>
      </c>
      <c r="H809" s="1">
        <f t="shared" si="202"/>
        <v>36845.500000000189</v>
      </c>
      <c r="I809">
        <f t="shared" si="197"/>
        <v>10.172600000000001</v>
      </c>
      <c r="J809">
        <f t="shared" si="198"/>
        <v>15.9168</v>
      </c>
      <c r="K809">
        <f t="shared" si="199"/>
        <v>50.384799999999998</v>
      </c>
      <c r="L809">
        <f t="shared" si="200"/>
        <v>-1.6277592800000003</v>
      </c>
      <c r="M809">
        <f t="shared" si="201"/>
        <v>322.58</v>
      </c>
      <c r="O809">
        <v>320</v>
      </c>
      <c r="P809">
        <v>1200</v>
      </c>
      <c r="Q809">
        <v>0.44</v>
      </c>
      <c r="R809">
        <f t="shared" si="203"/>
        <v>-0.43868701392528286</v>
      </c>
    </row>
    <row r="810" spans="1:18" x14ac:dyDescent="0.25">
      <c r="A810">
        <v>711</v>
      </c>
      <c r="B810">
        <v>119</v>
      </c>
      <c r="C810">
        <v>192</v>
      </c>
      <c r="D810">
        <v>533</v>
      </c>
      <c r="E810">
        <v>494</v>
      </c>
      <c r="F810">
        <v>921</v>
      </c>
      <c r="G810" t="s">
        <v>5</v>
      </c>
      <c r="H810" s="1">
        <f t="shared" si="202"/>
        <v>36845.520833333525</v>
      </c>
      <c r="I810">
        <f t="shared" si="197"/>
        <v>9.2774000000000001</v>
      </c>
      <c r="J810">
        <f t="shared" si="198"/>
        <v>14.7232</v>
      </c>
      <c r="K810">
        <f t="shared" si="199"/>
        <v>52.326599999999999</v>
      </c>
      <c r="L810">
        <f t="shared" si="200"/>
        <v>-1.6277592800000003</v>
      </c>
      <c r="M810">
        <f t="shared" si="201"/>
        <v>322.92899999999997</v>
      </c>
      <c r="O810">
        <v>320</v>
      </c>
      <c r="P810">
        <v>1230</v>
      </c>
      <c r="Q810">
        <v>0.44</v>
      </c>
      <c r="R810">
        <f t="shared" si="203"/>
        <v>-0.43868701392528286</v>
      </c>
    </row>
    <row r="811" spans="1:18" x14ac:dyDescent="0.25">
      <c r="A811">
        <v>711</v>
      </c>
      <c r="B811">
        <v>104</v>
      </c>
      <c r="C811">
        <v>144</v>
      </c>
      <c r="D811">
        <v>507</v>
      </c>
      <c r="E811">
        <v>492</v>
      </c>
      <c r="F811">
        <v>925</v>
      </c>
      <c r="G811" t="s">
        <v>5</v>
      </c>
      <c r="H811" s="1">
        <f t="shared" si="202"/>
        <v>36845.541666666861</v>
      </c>
      <c r="I811">
        <f t="shared" si="197"/>
        <v>8.1584000000000003</v>
      </c>
      <c r="J811">
        <f t="shared" si="198"/>
        <v>11.1424</v>
      </c>
      <c r="K811">
        <f t="shared" si="199"/>
        <v>49.669399999999996</v>
      </c>
      <c r="L811">
        <f t="shared" si="200"/>
        <v>-1.8085187200000017</v>
      </c>
      <c r="M811">
        <f t="shared" si="201"/>
        <v>324.32499999999999</v>
      </c>
      <c r="O811">
        <v>320</v>
      </c>
      <c r="P811">
        <v>1300</v>
      </c>
      <c r="Q811">
        <v>0.442</v>
      </c>
      <c r="R811">
        <f t="shared" si="203"/>
        <v>-0.44053433495033018</v>
      </c>
    </row>
    <row r="812" spans="1:18" x14ac:dyDescent="0.25">
      <c r="A812">
        <v>11</v>
      </c>
      <c r="B812">
        <v>109</v>
      </c>
      <c r="C812">
        <v>148</v>
      </c>
      <c r="D812">
        <v>529</v>
      </c>
      <c r="E812">
        <v>490</v>
      </c>
      <c r="F812">
        <v>925</v>
      </c>
      <c r="G812" t="s">
        <v>5</v>
      </c>
      <c r="H812" s="1">
        <f t="shared" si="202"/>
        <v>36845.562500000196</v>
      </c>
      <c r="I812">
        <f t="shared" ref="I812:I820" si="209">0.4+0.0746*B812</f>
        <v>8.5313999999999997</v>
      </c>
      <c r="J812">
        <f t="shared" ref="J812:J820" si="210">0.4+0.0746*C812</f>
        <v>11.440800000000001</v>
      </c>
      <c r="K812">
        <f t="shared" ref="K812:K820" si="211">-2.146+0.1022*D812</f>
        <v>51.9178</v>
      </c>
      <c r="L812">
        <f t="shared" ref="L812:L820" si="212">-43.84+0.0805*E812+0.00001002*E812^2</f>
        <v>-1.9891980000000031</v>
      </c>
      <c r="M812">
        <f t="shared" ref="M812:M820" si="213">1.5+0.349*F812</f>
        <v>324.32499999999999</v>
      </c>
      <c r="O812">
        <v>320</v>
      </c>
      <c r="P812">
        <v>1330</v>
      </c>
      <c r="Q812">
        <v>0.442</v>
      </c>
      <c r="R812">
        <f t="shared" si="203"/>
        <v>-0.44038764031185057</v>
      </c>
    </row>
    <row r="813" spans="1:18" x14ac:dyDescent="0.25">
      <c r="A813">
        <v>1</v>
      </c>
      <c r="B813">
        <v>107</v>
      </c>
      <c r="C813">
        <v>144</v>
      </c>
      <c r="D813">
        <v>499</v>
      </c>
      <c r="E813">
        <v>492</v>
      </c>
      <c r="F813">
        <v>925</v>
      </c>
      <c r="G813" t="s">
        <v>5</v>
      </c>
      <c r="H813" s="1">
        <f t="shared" si="202"/>
        <v>36845.583333333532</v>
      </c>
      <c r="I813">
        <f t="shared" si="209"/>
        <v>8.3821999999999992</v>
      </c>
      <c r="J813">
        <f t="shared" si="210"/>
        <v>11.1424</v>
      </c>
      <c r="K813">
        <f t="shared" si="211"/>
        <v>48.851799999999997</v>
      </c>
      <c r="L813">
        <f t="shared" si="212"/>
        <v>-1.8085187200000017</v>
      </c>
      <c r="M813">
        <f t="shared" si="213"/>
        <v>324.32499999999999</v>
      </c>
      <c r="O813">
        <v>320</v>
      </c>
      <c r="P813">
        <v>1400</v>
      </c>
      <c r="Q813">
        <v>0.442</v>
      </c>
      <c r="R813">
        <f t="shared" si="203"/>
        <v>-0.44053433495033018</v>
      </c>
    </row>
    <row r="814" spans="1:18" x14ac:dyDescent="0.25">
      <c r="A814">
        <v>1</v>
      </c>
      <c r="B814">
        <v>105</v>
      </c>
      <c r="C814">
        <v>144</v>
      </c>
      <c r="D814">
        <v>525</v>
      </c>
      <c r="E814">
        <v>493</v>
      </c>
      <c r="F814">
        <v>925</v>
      </c>
      <c r="G814" t="s">
        <v>5</v>
      </c>
      <c r="H814" s="1">
        <f t="shared" si="202"/>
        <v>36845.604166666868</v>
      </c>
      <c r="I814">
        <f t="shared" si="209"/>
        <v>8.2330000000000005</v>
      </c>
      <c r="J814">
        <f t="shared" si="210"/>
        <v>11.1424</v>
      </c>
      <c r="K814">
        <f t="shared" si="211"/>
        <v>51.509</v>
      </c>
      <c r="L814">
        <f t="shared" si="212"/>
        <v>-1.7181490200000011</v>
      </c>
      <c r="M814">
        <f t="shared" si="213"/>
        <v>324.32499999999999</v>
      </c>
      <c r="O814">
        <v>320</v>
      </c>
      <c r="P814">
        <v>1430</v>
      </c>
      <c r="Q814">
        <v>0.442</v>
      </c>
      <c r="R814">
        <f t="shared" si="203"/>
        <v>-0.44060768835231434</v>
      </c>
    </row>
    <row r="815" spans="1:18" x14ac:dyDescent="0.25">
      <c r="A815">
        <v>7</v>
      </c>
      <c r="B815">
        <v>103</v>
      </c>
      <c r="C815">
        <v>136</v>
      </c>
      <c r="D815">
        <v>533</v>
      </c>
      <c r="E815">
        <v>492</v>
      </c>
      <c r="F815">
        <v>925</v>
      </c>
      <c r="G815" t="s">
        <v>5</v>
      </c>
      <c r="H815" s="1">
        <f t="shared" si="202"/>
        <v>36845.625000000204</v>
      </c>
      <c r="I815">
        <f t="shared" si="209"/>
        <v>8.0838000000000001</v>
      </c>
      <c r="J815">
        <f t="shared" si="210"/>
        <v>10.5456</v>
      </c>
      <c r="K815">
        <f t="shared" si="211"/>
        <v>52.326599999999999</v>
      </c>
      <c r="L815">
        <f t="shared" si="212"/>
        <v>-1.8085187200000017</v>
      </c>
      <c r="M815">
        <f t="shared" si="213"/>
        <v>324.32499999999999</v>
      </c>
      <c r="O815">
        <v>320</v>
      </c>
      <c r="P815">
        <v>1500</v>
      </c>
      <c r="Q815">
        <v>0.442</v>
      </c>
      <c r="R815">
        <f t="shared" si="203"/>
        <v>-0.44053433495033018</v>
      </c>
    </row>
    <row r="816" spans="1:18" x14ac:dyDescent="0.25">
      <c r="A816">
        <v>7</v>
      </c>
      <c r="B816">
        <v>106</v>
      </c>
      <c r="C816">
        <v>152</v>
      </c>
      <c r="D816">
        <v>524</v>
      </c>
      <c r="E816">
        <v>491</v>
      </c>
      <c r="F816">
        <v>925</v>
      </c>
      <c r="G816" t="s">
        <v>5</v>
      </c>
      <c r="H816" s="1">
        <f t="shared" si="202"/>
        <v>36845.645833333539</v>
      </c>
      <c r="I816">
        <f t="shared" si="209"/>
        <v>8.3076000000000008</v>
      </c>
      <c r="J816">
        <f t="shared" si="210"/>
        <v>11.7392</v>
      </c>
      <c r="K816">
        <f t="shared" si="211"/>
        <v>51.406799999999997</v>
      </c>
      <c r="L816">
        <f t="shared" si="212"/>
        <v>-1.8988683800000024</v>
      </c>
      <c r="M816">
        <f t="shared" si="213"/>
        <v>324.32499999999999</v>
      </c>
      <c r="O816">
        <v>320</v>
      </c>
      <c r="P816">
        <v>1530</v>
      </c>
      <c r="Q816">
        <v>0.442</v>
      </c>
      <c r="R816">
        <f t="shared" si="203"/>
        <v>-0.44046098560283353</v>
      </c>
    </row>
    <row r="817" spans="1:18" x14ac:dyDescent="0.25">
      <c r="A817">
        <v>7</v>
      </c>
      <c r="B817">
        <v>112</v>
      </c>
      <c r="C817">
        <v>152</v>
      </c>
      <c r="D817">
        <v>544</v>
      </c>
      <c r="E817">
        <v>490</v>
      </c>
      <c r="F817">
        <v>925</v>
      </c>
      <c r="G817" t="s">
        <v>5</v>
      </c>
      <c r="H817" s="1">
        <f t="shared" si="202"/>
        <v>36845.666666666875</v>
      </c>
      <c r="I817">
        <f t="shared" si="209"/>
        <v>8.7552000000000003</v>
      </c>
      <c r="J817">
        <f t="shared" si="210"/>
        <v>11.7392</v>
      </c>
      <c r="K817">
        <f t="shared" si="211"/>
        <v>53.450800000000001</v>
      </c>
      <c r="L817">
        <f t="shared" si="212"/>
        <v>-1.9891980000000031</v>
      </c>
      <c r="M817">
        <f t="shared" si="213"/>
        <v>324.32499999999999</v>
      </c>
      <c r="O817">
        <v>320</v>
      </c>
      <c r="P817">
        <v>1600</v>
      </c>
      <c r="Q817">
        <v>0.442</v>
      </c>
      <c r="R817">
        <f t="shared" si="203"/>
        <v>-0.44038764031185057</v>
      </c>
    </row>
    <row r="818" spans="1:18" x14ac:dyDescent="0.25">
      <c r="A818">
        <v>71</v>
      </c>
      <c r="B818">
        <v>110</v>
      </c>
      <c r="C818">
        <v>152</v>
      </c>
      <c r="D818">
        <v>544</v>
      </c>
      <c r="E818">
        <v>490</v>
      </c>
      <c r="F818">
        <v>925</v>
      </c>
      <c r="G818" t="s">
        <v>5</v>
      </c>
      <c r="H818" s="1">
        <f t="shared" si="202"/>
        <v>36845.687500000211</v>
      </c>
      <c r="I818">
        <f t="shared" si="209"/>
        <v>8.6059999999999999</v>
      </c>
      <c r="J818">
        <f t="shared" si="210"/>
        <v>11.7392</v>
      </c>
      <c r="K818">
        <f t="shared" si="211"/>
        <v>53.450800000000001</v>
      </c>
      <c r="L818">
        <f t="shared" si="212"/>
        <v>-1.9891980000000031</v>
      </c>
      <c r="M818">
        <f t="shared" si="213"/>
        <v>324.32499999999999</v>
      </c>
      <c r="O818">
        <v>320</v>
      </c>
      <c r="P818">
        <v>1630</v>
      </c>
      <c r="Q818">
        <v>0.442</v>
      </c>
      <c r="R818">
        <f t="shared" si="203"/>
        <v>-0.44038764031185057</v>
      </c>
    </row>
    <row r="819" spans="1:18" x14ac:dyDescent="0.25">
      <c r="A819">
        <v>71</v>
      </c>
      <c r="B819">
        <v>105</v>
      </c>
      <c r="C819">
        <v>144</v>
      </c>
      <c r="D819">
        <v>548</v>
      </c>
      <c r="E819">
        <v>488</v>
      </c>
      <c r="F819">
        <v>925</v>
      </c>
      <c r="G819" t="s">
        <v>5</v>
      </c>
      <c r="H819" s="1">
        <f t="shared" ref="H819:H880" si="214">H818+1/48</f>
        <v>36845.708333333547</v>
      </c>
      <c r="I819">
        <f t="shared" si="209"/>
        <v>8.2330000000000005</v>
      </c>
      <c r="J819">
        <f t="shared" si="210"/>
        <v>11.1424</v>
      </c>
      <c r="K819">
        <f t="shared" si="211"/>
        <v>53.8596</v>
      </c>
      <c r="L819">
        <f t="shared" si="212"/>
        <v>-2.1697971200000041</v>
      </c>
      <c r="M819">
        <f t="shared" si="213"/>
        <v>324.32499999999999</v>
      </c>
      <c r="O819">
        <v>320</v>
      </c>
      <c r="P819">
        <v>1700</v>
      </c>
      <c r="Q819">
        <v>0.442</v>
      </c>
      <c r="R819">
        <f t="shared" si="203"/>
        <v>-0.44024096190753487</v>
      </c>
    </row>
    <row r="820" spans="1:18" x14ac:dyDescent="0.25">
      <c r="A820">
        <v>71</v>
      </c>
      <c r="B820">
        <v>99</v>
      </c>
      <c r="C820">
        <v>132</v>
      </c>
      <c r="D820">
        <v>548</v>
      </c>
      <c r="E820">
        <v>486</v>
      </c>
      <c r="F820">
        <v>924</v>
      </c>
      <c r="G820" t="s">
        <v>5</v>
      </c>
      <c r="H820" s="1">
        <f t="shared" si="214"/>
        <v>36845.729166666883</v>
      </c>
      <c r="I820">
        <f t="shared" si="209"/>
        <v>7.7854000000000001</v>
      </c>
      <c r="J820">
        <f t="shared" si="210"/>
        <v>10.247200000000001</v>
      </c>
      <c r="K820">
        <f t="shared" si="211"/>
        <v>53.8596</v>
      </c>
      <c r="L820">
        <f t="shared" si="212"/>
        <v>-2.3503160800000056</v>
      </c>
      <c r="M820">
        <f t="shared" si="213"/>
        <v>323.976</v>
      </c>
      <c r="O820">
        <v>320</v>
      </c>
      <c r="P820">
        <v>1730</v>
      </c>
      <c r="Q820">
        <v>0.442</v>
      </c>
      <c r="R820">
        <f t="shared" si="203"/>
        <v>-0.44009429975361491</v>
      </c>
    </row>
    <row r="821" spans="1:18" x14ac:dyDescent="0.25">
      <c r="A821">
        <v>711</v>
      </c>
      <c r="B821">
        <v>101</v>
      </c>
      <c r="C821">
        <v>140</v>
      </c>
      <c r="D821">
        <v>549</v>
      </c>
      <c r="E821">
        <v>485</v>
      </c>
      <c r="F821">
        <v>924</v>
      </c>
      <c r="G821" t="s">
        <v>5</v>
      </c>
      <c r="H821" s="1">
        <f t="shared" si="214"/>
        <v>36845.750000000218</v>
      </c>
      <c r="I821">
        <f t="shared" ref="I821:I878" si="215">0.4+0.0746*B821</f>
        <v>7.9346000000000005</v>
      </c>
      <c r="J821">
        <f t="shared" ref="J821:J878" si="216">0.4+0.0746*C821</f>
        <v>10.843999999999999</v>
      </c>
      <c r="K821">
        <f t="shared" ref="K821:K878" si="217">-2.146+0.1022*D821</f>
        <v>53.961799999999997</v>
      </c>
      <c r="L821">
        <f t="shared" ref="L821:L878" si="218">-43.84+0.0805*E821+0.00001002*E821^2</f>
        <v>-2.4405454999999994</v>
      </c>
      <c r="M821">
        <f t="shared" ref="M821:M878" si="219">1.5+0.349*F821</f>
        <v>323.976</v>
      </c>
      <c r="O821">
        <v>320</v>
      </c>
      <c r="P821">
        <v>1800</v>
      </c>
      <c r="Q821">
        <v>0.442</v>
      </c>
      <c r="R821">
        <f t="shared" si="203"/>
        <v>-0.44002097477563135</v>
      </c>
    </row>
    <row r="822" spans="1:18" x14ac:dyDescent="0.25">
      <c r="A822">
        <v>711</v>
      </c>
      <c r="B822">
        <v>104</v>
      </c>
      <c r="C822">
        <v>140</v>
      </c>
      <c r="D822">
        <v>528</v>
      </c>
      <c r="E822">
        <v>485</v>
      </c>
      <c r="F822">
        <v>921</v>
      </c>
      <c r="G822" t="s">
        <v>5</v>
      </c>
      <c r="H822" s="1">
        <f t="shared" si="214"/>
        <v>36845.770833333554</v>
      </c>
      <c r="I822">
        <f t="shared" si="215"/>
        <v>8.1584000000000003</v>
      </c>
      <c r="J822">
        <f t="shared" si="216"/>
        <v>10.843999999999999</v>
      </c>
      <c r="K822">
        <f t="shared" si="217"/>
        <v>51.815599999999996</v>
      </c>
      <c r="L822">
        <f t="shared" si="218"/>
        <v>-2.4405454999999994</v>
      </c>
      <c r="M822">
        <f t="shared" si="219"/>
        <v>322.92899999999997</v>
      </c>
      <c r="O822">
        <v>320</v>
      </c>
      <c r="P822">
        <v>1830</v>
      </c>
      <c r="Q822">
        <v>0.44500000000000001</v>
      </c>
      <c r="R822">
        <f t="shared" si="203"/>
        <v>-0.44300754247772839</v>
      </c>
    </row>
    <row r="823" spans="1:18" x14ac:dyDescent="0.25">
      <c r="A823">
        <v>711</v>
      </c>
      <c r="B823">
        <v>106</v>
      </c>
      <c r="C823">
        <v>148</v>
      </c>
      <c r="D823">
        <v>543</v>
      </c>
      <c r="E823">
        <v>485</v>
      </c>
      <c r="F823">
        <v>921</v>
      </c>
      <c r="G823" t="s">
        <v>5</v>
      </c>
      <c r="H823" s="1">
        <f t="shared" si="214"/>
        <v>36845.79166666689</v>
      </c>
      <c r="I823">
        <f t="shared" si="215"/>
        <v>8.3076000000000008</v>
      </c>
      <c r="J823">
        <f t="shared" si="216"/>
        <v>11.440800000000001</v>
      </c>
      <c r="K823">
        <f t="shared" si="217"/>
        <v>53.348599999999998</v>
      </c>
      <c r="L823">
        <f t="shared" si="218"/>
        <v>-2.4405454999999994</v>
      </c>
      <c r="M823">
        <f t="shared" si="219"/>
        <v>322.92899999999997</v>
      </c>
      <c r="O823">
        <v>320</v>
      </c>
      <c r="P823">
        <v>1900</v>
      </c>
      <c r="Q823">
        <v>0.44500000000000001</v>
      </c>
      <c r="R823">
        <f t="shared" si="203"/>
        <v>-0.44300754247772839</v>
      </c>
    </row>
    <row r="824" spans="1:18" x14ac:dyDescent="0.25">
      <c r="A824">
        <v>711</v>
      </c>
      <c r="B824">
        <v>89</v>
      </c>
      <c r="C824">
        <v>140</v>
      </c>
      <c r="D824">
        <v>519</v>
      </c>
      <c r="E824">
        <v>481</v>
      </c>
      <c r="F824">
        <v>921</v>
      </c>
      <c r="G824" t="s">
        <v>5</v>
      </c>
      <c r="H824" s="1">
        <f t="shared" si="214"/>
        <v>36845.812500000226</v>
      </c>
      <c r="I824">
        <f t="shared" si="215"/>
        <v>7.0394000000000005</v>
      </c>
      <c r="J824">
        <f t="shared" si="216"/>
        <v>10.843999999999999</v>
      </c>
      <c r="K824">
        <f t="shared" si="217"/>
        <v>50.895800000000001</v>
      </c>
      <c r="L824">
        <f t="shared" si="218"/>
        <v>-2.8012627800000018</v>
      </c>
      <c r="M824">
        <f t="shared" si="219"/>
        <v>322.92899999999997</v>
      </c>
      <c r="O824">
        <v>320</v>
      </c>
      <c r="P824">
        <v>1930</v>
      </c>
      <c r="Q824">
        <v>0.442</v>
      </c>
      <c r="R824">
        <f t="shared" si="203"/>
        <v>-0.43972771557099849</v>
      </c>
    </row>
    <row r="825" spans="1:18" x14ac:dyDescent="0.25">
      <c r="A825">
        <v>711</v>
      </c>
      <c r="B825">
        <v>91</v>
      </c>
      <c r="C825">
        <v>132</v>
      </c>
      <c r="D825">
        <v>515</v>
      </c>
      <c r="E825">
        <v>477</v>
      </c>
      <c r="F825">
        <v>921</v>
      </c>
      <c r="G825" t="s">
        <v>5</v>
      </c>
      <c r="H825" s="1">
        <f t="shared" si="214"/>
        <v>36845.833333333561</v>
      </c>
      <c r="I825">
        <f t="shared" si="215"/>
        <v>7.1886000000000001</v>
      </c>
      <c r="J825">
        <f t="shared" si="216"/>
        <v>10.247200000000001</v>
      </c>
      <c r="K825">
        <f t="shared" si="217"/>
        <v>50.487000000000002</v>
      </c>
      <c r="L825">
        <f t="shared" si="218"/>
        <v>-3.1616594200000048</v>
      </c>
      <c r="M825">
        <f t="shared" si="219"/>
        <v>322.92899999999997</v>
      </c>
      <c r="O825">
        <v>320</v>
      </c>
      <c r="P825">
        <v>2000</v>
      </c>
      <c r="Q825">
        <v>0.44500000000000001</v>
      </c>
      <c r="R825">
        <f t="shared" si="203"/>
        <v>-0.4424171088464931</v>
      </c>
    </row>
    <row r="826" spans="1:18" x14ac:dyDescent="0.25">
      <c r="A826">
        <v>711</v>
      </c>
      <c r="B826">
        <v>84</v>
      </c>
      <c r="C826">
        <v>116</v>
      </c>
      <c r="D826">
        <v>499</v>
      </c>
      <c r="E826">
        <v>471</v>
      </c>
      <c r="F826">
        <v>923</v>
      </c>
      <c r="G826" t="s">
        <v>5</v>
      </c>
      <c r="H826" s="1">
        <f>H825+1/48</f>
        <v>36845.854166666897</v>
      </c>
      <c r="I826">
        <f t="shared" si="215"/>
        <v>6.6664000000000003</v>
      </c>
      <c r="J826">
        <f t="shared" si="216"/>
        <v>9.0536000000000012</v>
      </c>
      <c r="K826">
        <f t="shared" si="217"/>
        <v>48.851799999999997</v>
      </c>
      <c r="L826">
        <f t="shared" si="218"/>
        <v>-3.7016531800000019</v>
      </c>
      <c r="M826">
        <f t="shared" si="219"/>
        <v>323.62699999999995</v>
      </c>
      <c r="O826">
        <v>320</v>
      </c>
      <c r="P826">
        <v>2030</v>
      </c>
      <c r="Q826">
        <v>0.44500000000000001</v>
      </c>
      <c r="R826">
        <f t="shared" si="203"/>
        <v>-0.44197445630044913</v>
      </c>
    </row>
    <row r="827" spans="1:18" x14ac:dyDescent="0.25">
      <c r="A827">
        <v>711</v>
      </c>
      <c r="B827">
        <v>78</v>
      </c>
      <c r="C827">
        <v>116</v>
      </c>
      <c r="D827">
        <v>496</v>
      </c>
      <c r="E827">
        <v>469</v>
      </c>
      <c r="F827">
        <v>920</v>
      </c>
      <c r="G827" t="s">
        <v>5</v>
      </c>
      <c r="H827" s="1">
        <f t="shared" si="214"/>
        <v>36845.875000000233</v>
      </c>
      <c r="I827">
        <f t="shared" si="215"/>
        <v>6.2187999999999999</v>
      </c>
      <c r="J827">
        <f t="shared" si="216"/>
        <v>9.0536000000000012</v>
      </c>
      <c r="K827">
        <f t="shared" si="217"/>
        <v>48.545200000000001</v>
      </c>
      <c r="L827">
        <f t="shared" si="218"/>
        <v>-3.8814907800000031</v>
      </c>
      <c r="M827">
        <f t="shared" si="219"/>
        <v>322.58</v>
      </c>
      <c r="O827">
        <v>320</v>
      </c>
      <c r="P827">
        <v>2100</v>
      </c>
      <c r="Q827">
        <v>0.44500000000000001</v>
      </c>
      <c r="R827">
        <f t="shared" si="203"/>
        <v>-0.44182693843057824</v>
      </c>
    </row>
    <row r="828" spans="1:18" x14ac:dyDescent="0.25">
      <c r="A828">
        <v>711</v>
      </c>
      <c r="B828">
        <v>78</v>
      </c>
      <c r="C828">
        <v>116</v>
      </c>
      <c r="D828">
        <v>542</v>
      </c>
      <c r="E828">
        <v>465</v>
      </c>
      <c r="F828">
        <v>916</v>
      </c>
      <c r="G828" t="s">
        <v>5</v>
      </c>
      <c r="H828" s="1">
        <f t="shared" si="214"/>
        <v>36845.895833333569</v>
      </c>
      <c r="I828">
        <f t="shared" si="215"/>
        <v>6.2187999999999999</v>
      </c>
      <c r="J828">
        <f t="shared" si="216"/>
        <v>9.0536000000000012</v>
      </c>
      <c r="K828">
        <f t="shared" si="217"/>
        <v>53.246400000000001</v>
      </c>
      <c r="L828">
        <f t="shared" si="218"/>
        <v>-4.2409255000000057</v>
      </c>
      <c r="M828">
        <f t="shared" si="219"/>
        <v>321.18399999999997</v>
      </c>
      <c r="O828">
        <v>320</v>
      </c>
      <c r="P828">
        <v>2130</v>
      </c>
      <c r="Q828">
        <v>0.44500000000000001</v>
      </c>
      <c r="R828">
        <f t="shared" si="203"/>
        <v>-0.44153195225822012</v>
      </c>
    </row>
    <row r="829" spans="1:18" x14ac:dyDescent="0.25">
      <c r="A829">
        <v>711</v>
      </c>
      <c r="B829">
        <v>72</v>
      </c>
      <c r="C829">
        <v>104</v>
      </c>
      <c r="D829">
        <v>521</v>
      </c>
      <c r="E829">
        <v>459</v>
      </c>
      <c r="F829">
        <v>913</v>
      </c>
      <c r="G829" t="s">
        <v>5</v>
      </c>
      <c r="H829" s="1">
        <f t="shared" si="214"/>
        <v>36845.916666666904</v>
      </c>
      <c r="I829">
        <f t="shared" si="215"/>
        <v>5.7712000000000003</v>
      </c>
      <c r="J829">
        <f t="shared" si="216"/>
        <v>8.1584000000000003</v>
      </c>
      <c r="K829">
        <f t="shared" si="217"/>
        <v>51.100200000000001</v>
      </c>
      <c r="L829">
        <f t="shared" si="218"/>
        <v>-4.7794763800000029</v>
      </c>
      <c r="M829">
        <f t="shared" si="219"/>
        <v>320.137</v>
      </c>
      <c r="O829">
        <v>320</v>
      </c>
      <c r="P829">
        <v>2200</v>
      </c>
      <c r="Q829">
        <v>0.44500000000000001</v>
      </c>
      <c r="R829">
        <f t="shared" si="203"/>
        <v>-0.44108959716674606</v>
      </c>
    </row>
    <row r="830" spans="1:18" x14ac:dyDescent="0.25">
      <c r="A830">
        <v>711</v>
      </c>
      <c r="B830">
        <v>62</v>
      </c>
      <c r="C830">
        <v>88</v>
      </c>
      <c r="D830">
        <v>546</v>
      </c>
      <c r="E830">
        <v>455</v>
      </c>
      <c r="F830">
        <v>913</v>
      </c>
      <c r="G830" t="s">
        <v>5</v>
      </c>
      <c r="H830" s="1">
        <f t="shared" si="214"/>
        <v>36845.93750000024</v>
      </c>
      <c r="I830">
        <f t="shared" si="215"/>
        <v>5.0251999999999999</v>
      </c>
      <c r="J830">
        <f t="shared" si="216"/>
        <v>6.9648000000000003</v>
      </c>
      <c r="K830">
        <f t="shared" si="217"/>
        <v>53.655200000000001</v>
      </c>
      <c r="L830">
        <f t="shared" si="218"/>
        <v>-5.1381095000000059</v>
      </c>
      <c r="M830">
        <f t="shared" si="219"/>
        <v>320.137</v>
      </c>
      <c r="O830">
        <v>320</v>
      </c>
      <c r="P830">
        <v>2230</v>
      </c>
      <c r="Q830">
        <v>0.44500000000000001</v>
      </c>
      <c r="R830">
        <f t="shared" si="203"/>
        <v>-0.44079477674430462</v>
      </c>
    </row>
    <row r="831" spans="1:18" x14ac:dyDescent="0.25">
      <c r="A831">
        <v>711</v>
      </c>
      <c r="B831">
        <v>49</v>
      </c>
      <c r="C831">
        <v>68</v>
      </c>
      <c r="D831">
        <v>539</v>
      </c>
      <c r="E831">
        <v>453</v>
      </c>
      <c r="F831">
        <v>912</v>
      </c>
      <c r="G831" t="s">
        <v>5</v>
      </c>
      <c r="H831" s="1">
        <f t="shared" si="214"/>
        <v>36845.958333333576</v>
      </c>
      <c r="I831">
        <f t="shared" si="215"/>
        <v>4.0554000000000006</v>
      </c>
      <c r="J831">
        <f t="shared" si="216"/>
        <v>5.4728000000000003</v>
      </c>
      <c r="K831">
        <f t="shared" si="217"/>
        <v>52.939799999999998</v>
      </c>
      <c r="L831">
        <f t="shared" si="218"/>
        <v>-5.3173058199999996</v>
      </c>
      <c r="M831">
        <f t="shared" si="219"/>
        <v>319.78799999999995</v>
      </c>
      <c r="O831">
        <v>320</v>
      </c>
      <c r="P831">
        <v>2300</v>
      </c>
      <c r="Q831">
        <v>0.44500000000000001</v>
      </c>
      <c r="R831">
        <f t="shared" si="203"/>
        <v>-0.44064739147461102</v>
      </c>
    </row>
    <row r="832" spans="1:18" x14ac:dyDescent="0.25">
      <c r="A832">
        <v>711</v>
      </c>
      <c r="B832">
        <v>44</v>
      </c>
      <c r="C832">
        <v>64</v>
      </c>
      <c r="D832">
        <v>565</v>
      </c>
      <c r="E832">
        <v>448</v>
      </c>
      <c r="F832">
        <v>909</v>
      </c>
      <c r="G832" t="s">
        <v>5</v>
      </c>
      <c r="H832" s="1">
        <f t="shared" si="214"/>
        <v>36845.979166666912</v>
      </c>
      <c r="I832">
        <f t="shared" si="215"/>
        <v>3.6823999999999999</v>
      </c>
      <c r="J832">
        <f t="shared" si="216"/>
        <v>5.1744000000000003</v>
      </c>
      <c r="K832">
        <f t="shared" si="217"/>
        <v>55.597000000000001</v>
      </c>
      <c r="L832">
        <f t="shared" si="218"/>
        <v>-5.7649459200000033</v>
      </c>
      <c r="M832">
        <f t="shared" si="219"/>
        <v>318.74099999999999</v>
      </c>
      <c r="O832">
        <v>320</v>
      </c>
      <c r="P832">
        <v>2330</v>
      </c>
      <c r="Q832">
        <v>0.44700000000000001</v>
      </c>
      <c r="R832">
        <f t="shared" si="203"/>
        <v>-0.4422577832082098</v>
      </c>
    </row>
    <row r="833" spans="1:18" x14ac:dyDescent="0.25">
      <c r="A833">
        <v>711</v>
      </c>
      <c r="B833">
        <v>22</v>
      </c>
      <c r="C833">
        <v>48</v>
      </c>
      <c r="D833">
        <v>767</v>
      </c>
      <c r="E833">
        <v>443</v>
      </c>
      <c r="F833">
        <v>905</v>
      </c>
      <c r="G833" t="s">
        <v>5</v>
      </c>
      <c r="H833" s="1">
        <f t="shared" si="214"/>
        <v>36846.000000000247</v>
      </c>
      <c r="I833">
        <f t="shared" si="215"/>
        <v>2.0411999999999999</v>
      </c>
      <c r="J833">
        <f t="shared" si="216"/>
        <v>3.9807999999999999</v>
      </c>
      <c r="K833">
        <f t="shared" si="217"/>
        <v>76.241399999999999</v>
      </c>
      <c r="L833">
        <f t="shared" si="218"/>
        <v>-6.21208502</v>
      </c>
      <c r="M833">
        <f t="shared" si="219"/>
        <v>317.34499999999997</v>
      </c>
      <c r="O833">
        <v>320</v>
      </c>
      <c r="P833">
        <v>2400</v>
      </c>
      <c r="Q833">
        <v>0.44500000000000001</v>
      </c>
      <c r="R833">
        <f t="shared" si="203"/>
        <v>-0.43991071520986014</v>
      </c>
    </row>
    <row r="834" spans="1:18" x14ac:dyDescent="0.25">
      <c r="A834">
        <v>711</v>
      </c>
      <c r="B834">
        <v>23</v>
      </c>
      <c r="C834">
        <v>36</v>
      </c>
      <c r="D834">
        <v>767</v>
      </c>
      <c r="E834">
        <v>440</v>
      </c>
      <c r="F834">
        <v>905</v>
      </c>
      <c r="G834" t="s">
        <v>5</v>
      </c>
      <c r="H834" s="1">
        <f t="shared" si="214"/>
        <v>36846.020833333583</v>
      </c>
      <c r="I834">
        <f t="shared" si="215"/>
        <v>2.1158000000000001</v>
      </c>
      <c r="J834">
        <f t="shared" si="216"/>
        <v>3.0855999999999999</v>
      </c>
      <c r="K834">
        <f t="shared" si="217"/>
        <v>76.241399999999999</v>
      </c>
      <c r="L834">
        <f t="shared" si="218"/>
        <v>-6.4801280000000014</v>
      </c>
      <c r="M834">
        <f t="shared" si="219"/>
        <v>317.34499999999997</v>
      </c>
      <c r="O834">
        <v>321</v>
      </c>
      <c r="P834">
        <v>30</v>
      </c>
      <c r="Q834">
        <v>0.44700000000000001</v>
      </c>
      <c r="R834">
        <f t="shared" si="203"/>
        <v>-0.44166592771667595</v>
      </c>
    </row>
    <row r="835" spans="1:18" x14ac:dyDescent="0.25">
      <c r="A835">
        <v>711</v>
      </c>
      <c r="B835">
        <v>23</v>
      </c>
      <c r="C835">
        <v>36</v>
      </c>
      <c r="D835">
        <v>767</v>
      </c>
      <c r="E835">
        <v>426</v>
      </c>
      <c r="F835">
        <v>897</v>
      </c>
      <c r="G835" t="s">
        <v>5</v>
      </c>
      <c r="H835" s="1">
        <f t="shared" si="214"/>
        <v>36846.041666666919</v>
      </c>
      <c r="I835">
        <f t="shared" si="215"/>
        <v>2.1158000000000001</v>
      </c>
      <c r="J835">
        <f t="shared" si="216"/>
        <v>3.0855999999999999</v>
      </c>
      <c r="K835">
        <f t="shared" si="217"/>
        <v>76.241399999999999</v>
      </c>
      <c r="L835">
        <f t="shared" si="218"/>
        <v>-7.7286104800000039</v>
      </c>
      <c r="M835">
        <f t="shared" si="219"/>
        <v>314.553</v>
      </c>
      <c r="O835">
        <v>321</v>
      </c>
      <c r="P835">
        <v>100</v>
      </c>
      <c r="Q835">
        <v>0.44700000000000001</v>
      </c>
      <c r="R835">
        <f t="shared" si="203"/>
        <v>-0.44063082938001058</v>
      </c>
    </row>
    <row r="836" spans="1:18" x14ac:dyDescent="0.25">
      <c r="A836">
        <v>711</v>
      </c>
      <c r="B836">
        <v>22</v>
      </c>
      <c r="C836">
        <v>32</v>
      </c>
      <c r="D836">
        <v>768</v>
      </c>
      <c r="E836">
        <v>431</v>
      </c>
      <c r="F836">
        <v>901</v>
      </c>
      <c r="G836" t="s">
        <v>5</v>
      </c>
      <c r="H836" s="1">
        <f t="shared" si="214"/>
        <v>36846.062500000255</v>
      </c>
      <c r="I836">
        <f t="shared" si="215"/>
        <v>2.0411999999999999</v>
      </c>
      <c r="J836">
        <f t="shared" si="216"/>
        <v>2.7871999999999999</v>
      </c>
      <c r="K836">
        <f t="shared" si="217"/>
        <v>76.343599999999995</v>
      </c>
      <c r="L836">
        <f t="shared" si="218"/>
        <v>-7.2831747800000004</v>
      </c>
      <c r="M836">
        <f t="shared" si="219"/>
        <v>315.94899999999996</v>
      </c>
      <c r="O836">
        <v>321</v>
      </c>
      <c r="P836">
        <v>130</v>
      </c>
      <c r="Q836">
        <v>0.44700000000000001</v>
      </c>
      <c r="R836">
        <f t="shared" si="203"/>
        <v>-0.44100041229884385</v>
      </c>
    </row>
    <row r="837" spans="1:18" x14ac:dyDescent="0.25">
      <c r="A837">
        <v>711</v>
      </c>
      <c r="B837">
        <v>30</v>
      </c>
      <c r="C837">
        <v>40</v>
      </c>
      <c r="D837">
        <v>768</v>
      </c>
      <c r="E837">
        <v>435</v>
      </c>
      <c r="F837">
        <v>901</v>
      </c>
      <c r="G837" t="s">
        <v>5</v>
      </c>
      <c r="H837" s="1">
        <f t="shared" si="214"/>
        <v>36846.08333333359</v>
      </c>
      <c r="I837">
        <f t="shared" si="215"/>
        <v>2.6379999999999999</v>
      </c>
      <c r="J837">
        <f t="shared" si="216"/>
        <v>3.3839999999999999</v>
      </c>
      <c r="K837">
        <f t="shared" si="217"/>
        <v>76.343599999999995</v>
      </c>
      <c r="L837">
        <f t="shared" si="218"/>
        <v>-6.9264655000000053</v>
      </c>
      <c r="M837">
        <f t="shared" si="219"/>
        <v>315.94899999999996</v>
      </c>
      <c r="O837">
        <v>321</v>
      </c>
      <c r="P837">
        <v>200</v>
      </c>
      <c r="Q837">
        <v>0.44700000000000001</v>
      </c>
      <c r="R837">
        <f t="shared" si="203"/>
        <v>-0.44129615474445338</v>
      </c>
    </row>
    <row r="838" spans="1:18" x14ac:dyDescent="0.25">
      <c r="A838">
        <v>711</v>
      </c>
      <c r="B838">
        <v>23</v>
      </c>
      <c r="C838">
        <v>36</v>
      </c>
      <c r="D838">
        <v>769</v>
      </c>
      <c r="E838">
        <v>437</v>
      </c>
      <c r="F838">
        <v>903</v>
      </c>
      <c r="G838" t="s">
        <v>5</v>
      </c>
      <c r="H838" s="1">
        <f t="shared" si="214"/>
        <v>36846.104166666926</v>
      </c>
      <c r="I838">
        <f t="shared" si="215"/>
        <v>2.1158000000000001</v>
      </c>
      <c r="J838">
        <f t="shared" si="216"/>
        <v>3.0855999999999999</v>
      </c>
      <c r="K838">
        <f t="shared" si="217"/>
        <v>76.445800000000006</v>
      </c>
      <c r="L838">
        <f t="shared" si="218"/>
        <v>-6.7479906200000039</v>
      </c>
      <c r="M838">
        <f t="shared" si="219"/>
        <v>316.64699999999999</v>
      </c>
      <c r="O838">
        <v>321</v>
      </c>
      <c r="P838">
        <v>230</v>
      </c>
      <c r="Q838">
        <v>0.44700000000000001</v>
      </c>
      <c r="R838">
        <f t="shared" si="203"/>
        <v>-0.44144405129070047</v>
      </c>
    </row>
    <row r="839" spans="1:18" x14ac:dyDescent="0.25">
      <c r="A839">
        <v>711</v>
      </c>
      <c r="B839">
        <v>21</v>
      </c>
      <c r="C839">
        <v>40</v>
      </c>
      <c r="D839">
        <v>769</v>
      </c>
      <c r="E839">
        <v>453</v>
      </c>
      <c r="F839">
        <v>909</v>
      </c>
      <c r="G839" t="s">
        <v>5</v>
      </c>
      <c r="H839" s="1">
        <f t="shared" si="214"/>
        <v>36846.125000000262</v>
      </c>
      <c r="I839">
        <f t="shared" si="215"/>
        <v>1.9666000000000001</v>
      </c>
      <c r="J839">
        <f t="shared" si="216"/>
        <v>3.3839999999999999</v>
      </c>
      <c r="K839">
        <f t="shared" si="217"/>
        <v>76.445800000000006</v>
      </c>
      <c r="L839">
        <f t="shared" si="218"/>
        <v>-5.3173058199999996</v>
      </c>
      <c r="M839">
        <f t="shared" si="219"/>
        <v>318.74099999999999</v>
      </c>
      <c r="O839">
        <v>321</v>
      </c>
      <c r="P839">
        <v>300</v>
      </c>
      <c r="Q839">
        <v>0.44700000000000001</v>
      </c>
      <c r="R839">
        <f t="shared" ref="R839:R902" si="220">-SQRT((L839+273.15)/273.15)*Q839</f>
        <v>-0.44262782918910365</v>
      </c>
    </row>
    <row r="840" spans="1:18" x14ac:dyDescent="0.25">
      <c r="A840">
        <v>711</v>
      </c>
      <c r="B840">
        <v>11</v>
      </c>
      <c r="C840">
        <v>20</v>
      </c>
      <c r="D840">
        <v>769</v>
      </c>
      <c r="E840">
        <v>457</v>
      </c>
      <c r="F840">
        <v>909</v>
      </c>
      <c r="G840" t="s">
        <v>5</v>
      </c>
      <c r="H840" s="1">
        <f t="shared" si="214"/>
        <v>36846.145833333598</v>
      </c>
      <c r="I840">
        <f t="shared" si="215"/>
        <v>1.2206000000000001</v>
      </c>
      <c r="J840">
        <f t="shared" si="216"/>
        <v>1.8919999999999999</v>
      </c>
      <c r="K840">
        <f t="shared" si="217"/>
        <v>76.445800000000006</v>
      </c>
      <c r="L840">
        <f t="shared" si="218"/>
        <v>-4.9588330200000037</v>
      </c>
      <c r="M840">
        <f t="shared" si="219"/>
        <v>318.74099999999999</v>
      </c>
      <c r="O840">
        <v>321</v>
      </c>
      <c r="P840">
        <v>330</v>
      </c>
      <c r="Q840">
        <v>0.44500000000000001</v>
      </c>
      <c r="R840">
        <f t="shared" si="220"/>
        <v>-0.44094217864724139</v>
      </c>
    </row>
    <row r="841" spans="1:18" x14ac:dyDescent="0.25">
      <c r="A841">
        <v>711</v>
      </c>
      <c r="B841">
        <v>1</v>
      </c>
      <c r="C841">
        <v>16</v>
      </c>
      <c r="D841">
        <v>770</v>
      </c>
      <c r="E841">
        <v>457</v>
      </c>
      <c r="F841">
        <v>912</v>
      </c>
      <c r="G841" t="s">
        <v>5</v>
      </c>
      <c r="H841" s="1">
        <f t="shared" si="214"/>
        <v>36846.166666666933</v>
      </c>
      <c r="I841">
        <f t="shared" si="215"/>
        <v>0.47460000000000002</v>
      </c>
      <c r="J841">
        <f t="shared" si="216"/>
        <v>1.5935999999999999</v>
      </c>
      <c r="K841">
        <f t="shared" si="217"/>
        <v>76.548000000000002</v>
      </c>
      <c r="L841">
        <f t="shared" si="218"/>
        <v>-4.9588330200000037</v>
      </c>
      <c r="M841">
        <f t="shared" si="219"/>
        <v>319.78799999999995</v>
      </c>
      <c r="O841">
        <v>321</v>
      </c>
      <c r="P841">
        <v>400</v>
      </c>
      <c r="Q841">
        <v>0.44500000000000001</v>
      </c>
      <c r="R841">
        <f t="shared" si="220"/>
        <v>-0.44094217864724139</v>
      </c>
    </row>
    <row r="842" spans="1:18" x14ac:dyDescent="0.25">
      <c r="A842">
        <v>711</v>
      </c>
      <c r="B842">
        <v>8</v>
      </c>
      <c r="C842">
        <v>24</v>
      </c>
      <c r="D842">
        <v>770</v>
      </c>
      <c r="E842">
        <v>457</v>
      </c>
      <c r="F842">
        <v>909</v>
      </c>
      <c r="G842" t="s">
        <v>5</v>
      </c>
      <c r="H842" s="1">
        <f t="shared" si="214"/>
        <v>36846.187500000269</v>
      </c>
      <c r="I842">
        <f t="shared" si="215"/>
        <v>0.99680000000000002</v>
      </c>
      <c r="J842">
        <f t="shared" si="216"/>
        <v>2.1903999999999999</v>
      </c>
      <c r="K842">
        <f t="shared" si="217"/>
        <v>76.548000000000002</v>
      </c>
      <c r="L842">
        <f t="shared" si="218"/>
        <v>-4.9588330200000037</v>
      </c>
      <c r="M842">
        <f t="shared" si="219"/>
        <v>318.74099999999999</v>
      </c>
      <c r="O842">
        <v>321</v>
      </c>
      <c r="P842">
        <v>430</v>
      </c>
      <c r="Q842">
        <v>0.44500000000000001</v>
      </c>
      <c r="R842">
        <f t="shared" si="220"/>
        <v>-0.44094217864724139</v>
      </c>
    </row>
    <row r="843" spans="1:18" x14ac:dyDescent="0.25">
      <c r="A843">
        <v>711</v>
      </c>
      <c r="B843">
        <v>14</v>
      </c>
      <c r="C843">
        <v>24</v>
      </c>
      <c r="D843">
        <v>770</v>
      </c>
      <c r="E843">
        <v>459</v>
      </c>
      <c r="F843">
        <v>912</v>
      </c>
      <c r="G843" t="s">
        <v>5</v>
      </c>
      <c r="H843" s="1">
        <f t="shared" si="214"/>
        <v>36846.208333333605</v>
      </c>
      <c r="I843">
        <f t="shared" si="215"/>
        <v>1.4443999999999999</v>
      </c>
      <c r="J843">
        <f t="shared" si="216"/>
        <v>2.1903999999999999</v>
      </c>
      <c r="K843">
        <f t="shared" si="217"/>
        <v>76.548000000000002</v>
      </c>
      <c r="L843">
        <f t="shared" si="218"/>
        <v>-4.7794763800000029</v>
      </c>
      <c r="M843">
        <f t="shared" si="219"/>
        <v>319.78799999999995</v>
      </c>
      <c r="O843">
        <v>321</v>
      </c>
      <c r="P843">
        <v>500</v>
      </c>
      <c r="Q843">
        <v>0.44500000000000001</v>
      </c>
      <c r="R843">
        <f t="shared" si="220"/>
        <v>-0.44108959716674606</v>
      </c>
    </row>
    <row r="844" spans="1:18" x14ac:dyDescent="0.25">
      <c r="A844">
        <v>711</v>
      </c>
      <c r="B844">
        <v>31</v>
      </c>
      <c r="C844">
        <v>48</v>
      </c>
      <c r="D844">
        <v>941</v>
      </c>
      <c r="E844">
        <v>459</v>
      </c>
      <c r="F844">
        <v>913</v>
      </c>
      <c r="G844" t="s">
        <v>5</v>
      </c>
      <c r="H844" s="1">
        <f t="shared" si="214"/>
        <v>36846.229166666941</v>
      </c>
      <c r="I844">
        <f t="shared" si="215"/>
        <v>2.7125999999999997</v>
      </c>
      <c r="J844">
        <f t="shared" si="216"/>
        <v>3.9807999999999999</v>
      </c>
      <c r="K844">
        <f t="shared" si="217"/>
        <v>94.024199999999993</v>
      </c>
      <c r="L844">
        <f t="shared" si="218"/>
        <v>-4.7794763800000029</v>
      </c>
      <c r="M844">
        <f t="shared" si="219"/>
        <v>320.137</v>
      </c>
      <c r="O844">
        <v>321</v>
      </c>
      <c r="P844">
        <v>530</v>
      </c>
      <c r="Q844">
        <v>0.44500000000000001</v>
      </c>
      <c r="R844">
        <f t="shared" si="220"/>
        <v>-0.44108959716674606</v>
      </c>
    </row>
    <row r="845" spans="1:18" x14ac:dyDescent="0.25">
      <c r="A845">
        <v>711</v>
      </c>
      <c r="B845">
        <v>44</v>
      </c>
      <c r="C845">
        <v>64</v>
      </c>
      <c r="D845">
        <v>904</v>
      </c>
      <c r="E845">
        <v>459</v>
      </c>
      <c r="F845">
        <v>913</v>
      </c>
      <c r="G845" t="s">
        <v>5</v>
      </c>
      <c r="H845" s="1">
        <f t="shared" si="214"/>
        <v>36846.250000000276</v>
      </c>
      <c r="I845">
        <f t="shared" si="215"/>
        <v>3.6823999999999999</v>
      </c>
      <c r="J845">
        <f t="shared" si="216"/>
        <v>5.1744000000000003</v>
      </c>
      <c r="K845">
        <f t="shared" si="217"/>
        <v>90.242800000000003</v>
      </c>
      <c r="L845">
        <f t="shared" si="218"/>
        <v>-4.7794763800000029</v>
      </c>
      <c r="M845">
        <f t="shared" si="219"/>
        <v>320.137</v>
      </c>
      <c r="O845">
        <v>321</v>
      </c>
      <c r="P845">
        <v>600</v>
      </c>
      <c r="Q845">
        <v>0.44500000000000001</v>
      </c>
      <c r="R845">
        <f t="shared" si="220"/>
        <v>-0.44108959716674606</v>
      </c>
    </row>
    <row r="846" spans="1:18" x14ac:dyDescent="0.25">
      <c r="A846">
        <v>711</v>
      </c>
      <c r="B846">
        <v>45</v>
      </c>
      <c r="C846">
        <v>76</v>
      </c>
      <c r="D846">
        <v>956</v>
      </c>
      <c r="E846">
        <v>459</v>
      </c>
      <c r="F846">
        <v>913</v>
      </c>
      <c r="G846" t="s">
        <v>5</v>
      </c>
      <c r="H846" s="1">
        <f t="shared" si="214"/>
        <v>36846.270833333612</v>
      </c>
      <c r="I846">
        <f t="shared" si="215"/>
        <v>3.7570000000000001</v>
      </c>
      <c r="J846">
        <f t="shared" si="216"/>
        <v>6.0696000000000003</v>
      </c>
      <c r="K846">
        <f t="shared" si="217"/>
        <v>95.557199999999995</v>
      </c>
      <c r="L846">
        <f t="shared" si="218"/>
        <v>-4.7794763800000029</v>
      </c>
      <c r="M846">
        <f t="shared" si="219"/>
        <v>320.137</v>
      </c>
      <c r="O846">
        <v>321</v>
      </c>
      <c r="P846">
        <v>630</v>
      </c>
      <c r="Q846">
        <v>0.44500000000000001</v>
      </c>
      <c r="R846">
        <f t="shared" si="220"/>
        <v>-0.44108959716674606</v>
      </c>
    </row>
    <row r="847" spans="1:18" x14ac:dyDescent="0.25">
      <c r="A847">
        <v>711</v>
      </c>
      <c r="B847">
        <v>49</v>
      </c>
      <c r="C847">
        <v>80</v>
      </c>
      <c r="D847">
        <v>894</v>
      </c>
      <c r="E847">
        <v>463</v>
      </c>
      <c r="F847">
        <v>913</v>
      </c>
      <c r="G847" t="s">
        <v>5</v>
      </c>
      <c r="H847" s="1">
        <f t="shared" si="214"/>
        <v>36846.291666666948</v>
      </c>
      <c r="I847">
        <f t="shared" si="215"/>
        <v>4.0554000000000006</v>
      </c>
      <c r="J847">
        <f t="shared" si="216"/>
        <v>6.3680000000000003</v>
      </c>
      <c r="K847">
        <f t="shared" si="217"/>
        <v>89.220799999999997</v>
      </c>
      <c r="L847">
        <f t="shared" si="218"/>
        <v>-4.4205226199999998</v>
      </c>
      <c r="M847">
        <f t="shared" si="219"/>
        <v>320.137</v>
      </c>
      <c r="O847">
        <v>321</v>
      </c>
      <c r="P847">
        <v>700</v>
      </c>
      <c r="Q847">
        <v>0.44500000000000001</v>
      </c>
      <c r="R847">
        <f t="shared" si="220"/>
        <v>-0.44138448398885982</v>
      </c>
    </row>
    <row r="848" spans="1:18" x14ac:dyDescent="0.25">
      <c r="A848">
        <v>711</v>
      </c>
      <c r="B848">
        <v>49</v>
      </c>
      <c r="C848">
        <v>88</v>
      </c>
      <c r="D848">
        <v>908</v>
      </c>
      <c r="E848">
        <v>466</v>
      </c>
      <c r="F848">
        <v>917</v>
      </c>
      <c r="G848" t="s">
        <v>5</v>
      </c>
      <c r="H848" s="1">
        <f t="shared" si="214"/>
        <v>36846.312500000284</v>
      </c>
      <c r="I848">
        <f t="shared" si="215"/>
        <v>4.0554000000000006</v>
      </c>
      <c r="J848">
        <f t="shared" si="216"/>
        <v>6.9648000000000003</v>
      </c>
      <c r="K848">
        <f t="shared" si="217"/>
        <v>90.651600000000002</v>
      </c>
      <c r="L848">
        <f t="shared" si="218"/>
        <v>-4.1510968800000052</v>
      </c>
      <c r="M848">
        <f t="shared" si="219"/>
        <v>321.53299999999996</v>
      </c>
      <c r="O848">
        <v>321</v>
      </c>
      <c r="P848">
        <v>730</v>
      </c>
      <c r="Q848">
        <v>0.44500000000000001</v>
      </c>
      <c r="R848">
        <f t="shared" si="220"/>
        <v>-0.44160569260021298</v>
      </c>
    </row>
    <row r="849" spans="1:18" x14ac:dyDescent="0.25">
      <c r="A849">
        <v>711</v>
      </c>
      <c r="B849">
        <v>47</v>
      </c>
      <c r="C849">
        <v>84</v>
      </c>
      <c r="D849">
        <v>975</v>
      </c>
      <c r="E849">
        <v>470</v>
      </c>
      <c r="F849">
        <v>917</v>
      </c>
      <c r="G849" t="s">
        <v>5</v>
      </c>
      <c r="H849" s="1">
        <f t="shared" si="214"/>
        <v>36846.33333333362</v>
      </c>
      <c r="I849">
        <f t="shared" si="215"/>
        <v>3.9061999999999997</v>
      </c>
      <c r="J849">
        <f t="shared" si="216"/>
        <v>6.6664000000000003</v>
      </c>
      <c r="K849">
        <f t="shared" si="217"/>
        <v>97.498999999999995</v>
      </c>
      <c r="L849">
        <f t="shared" si="218"/>
        <v>-3.7915820000000022</v>
      </c>
      <c r="M849">
        <f t="shared" si="219"/>
        <v>321.53299999999996</v>
      </c>
      <c r="O849">
        <v>321</v>
      </c>
      <c r="P849">
        <v>800</v>
      </c>
      <c r="Q849">
        <v>0.44500000000000001</v>
      </c>
      <c r="R849">
        <f t="shared" si="220"/>
        <v>-0.44190069530192949</v>
      </c>
    </row>
    <row r="850" spans="1:18" x14ac:dyDescent="0.25">
      <c r="A850">
        <v>711</v>
      </c>
      <c r="B850">
        <v>51</v>
      </c>
      <c r="C850">
        <v>84</v>
      </c>
      <c r="D850">
        <v>943</v>
      </c>
      <c r="E850">
        <v>472</v>
      </c>
      <c r="F850">
        <v>921</v>
      </c>
      <c r="G850" t="s">
        <v>5</v>
      </c>
      <c r="H850" s="1">
        <f t="shared" si="214"/>
        <v>36846.354166666955</v>
      </c>
      <c r="I850">
        <f t="shared" si="215"/>
        <v>4.2046000000000001</v>
      </c>
      <c r="J850">
        <f t="shared" si="216"/>
        <v>6.6664000000000003</v>
      </c>
      <c r="K850">
        <f t="shared" si="217"/>
        <v>94.2286</v>
      </c>
      <c r="L850">
        <f t="shared" si="218"/>
        <v>-3.6117043200000012</v>
      </c>
      <c r="M850">
        <f t="shared" si="219"/>
        <v>322.92899999999997</v>
      </c>
      <c r="O850">
        <v>321</v>
      </c>
      <c r="P850">
        <v>830</v>
      </c>
      <c r="Q850">
        <v>0.44500000000000001</v>
      </c>
      <c r="R850">
        <f t="shared" si="220"/>
        <v>-0.44204822142407102</v>
      </c>
    </row>
    <row r="851" spans="1:18" x14ac:dyDescent="0.25">
      <c r="A851">
        <v>711</v>
      </c>
      <c r="B851">
        <v>67</v>
      </c>
      <c r="C851">
        <v>100</v>
      </c>
      <c r="D851">
        <v>949</v>
      </c>
      <c r="E851">
        <v>475</v>
      </c>
      <c r="F851">
        <v>921</v>
      </c>
      <c r="G851" t="s">
        <v>5</v>
      </c>
      <c r="H851" s="1">
        <f t="shared" si="214"/>
        <v>36846.375000000291</v>
      </c>
      <c r="I851">
        <f t="shared" si="215"/>
        <v>5.3982000000000001</v>
      </c>
      <c r="J851">
        <f t="shared" si="216"/>
        <v>7.86</v>
      </c>
      <c r="K851">
        <f t="shared" si="217"/>
        <v>94.841799999999992</v>
      </c>
      <c r="L851">
        <f t="shared" si="218"/>
        <v>-3.3417374999999989</v>
      </c>
      <c r="M851">
        <f t="shared" si="219"/>
        <v>322.92899999999997</v>
      </c>
      <c r="O851">
        <v>321</v>
      </c>
      <c r="P851">
        <v>900</v>
      </c>
      <c r="Q851">
        <v>0.44500000000000001</v>
      </c>
      <c r="R851">
        <f t="shared" si="220"/>
        <v>-0.44226954152490933</v>
      </c>
    </row>
    <row r="852" spans="1:18" x14ac:dyDescent="0.25">
      <c r="A852">
        <v>711</v>
      </c>
      <c r="B852">
        <v>64</v>
      </c>
      <c r="C852">
        <v>96</v>
      </c>
      <c r="D852">
        <v>954</v>
      </c>
      <c r="E852">
        <v>476</v>
      </c>
      <c r="F852">
        <v>921</v>
      </c>
      <c r="G852" t="s">
        <v>5</v>
      </c>
      <c r="H852" s="1">
        <f t="shared" si="214"/>
        <v>36846.395833333627</v>
      </c>
      <c r="I852">
        <f t="shared" si="215"/>
        <v>5.1744000000000003</v>
      </c>
      <c r="J852">
        <f t="shared" si="216"/>
        <v>7.5616000000000003</v>
      </c>
      <c r="K852">
        <f t="shared" si="217"/>
        <v>95.352800000000002</v>
      </c>
      <c r="L852">
        <f t="shared" si="218"/>
        <v>-3.2517084800000053</v>
      </c>
      <c r="M852">
        <f t="shared" si="219"/>
        <v>322.92899999999997</v>
      </c>
      <c r="O852">
        <v>321</v>
      </c>
      <c r="P852">
        <v>930</v>
      </c>
      <c r="Q852">
        <v>0.44500000000000001</v>
      </c>
      <c r="R852">
        <f t="shared" si="220"/>
        <v>-0.4423433231283056</v>
      </c>
    </row>
    <row r="853" spans="1:18" x14ac:dyDescent="0.25">
      <c r="A853">
        <v>711</v>
      </c>
      <c r="B853">
        <v>71</v>
      </c>
      <c r="C853">
        <v>100</v>
      </c>
      <c r="D853">
        <v>951</v>
      </c>
      <c r="E853">
        <v>481</v>
      </c>
      <c r="F853">
        <v>921</v>
      </c>
      <c r="G853" t="s">
        <v>5</v>
      </c>
      <c r="H853" s="1">
        <f t="shared" si="214"/>
        <v>36846.416666666963</v>
      </c>
      <c r="I853">
        <f t="shared" si="215"/>
        <v>5.6966000000000001</v>
      </c>
      <c r="J853">
        <f t="shared" si="216"/>
        <v>7.86</v>
      </c>
      <c r="K853">
        <f t="shared" si="217"/>
        <v>95.046199999999999</v>
      </c>
      <c r="L853">
        <f t="shared" si="218"/>
        <v>-2.8012627800000018</v>
      </c>
      <c r="M853">
        <f t="shared" si="219"/>
        <v>322.92899999999997</v>
      </c>
      <c r="O853">
        <v>321</v>
      </c>
      <c r="P853">
        <v>1000</v>
      </c>
      <c r="Q853">
        <v>0.44500000000000001</v>
      </c>
      <c r="R853">
        <f t="shared" si="220"/>
        <v>-0.44271229282600527</v>
      </c>
    </row>
    <row r="854" spans="1:18" x14ac:dyDescent="0.25">
      <c r="A854">
        <v>711</v>
      </c>
      <c r="B854">
        <v>76</v>
      </c>
      <c r="C854">
        <v>104</v>
      </c>
      <c r="D854">
        <v>931</v>
      </c>
      <c r="E854">
        <v>482</v>
      </c>
      <c r="F854">
        <v>921</v>
      </c>
      <c r="G854" t="s">
        <v>5</v>
      </c>
      <c r="H854" s="1">
        <f t="shared" si="214"/>
        <v>36846.437500000298</v>
      </c>
      <c r="I854">
        <f t="shared" si="215"/>
        <v>6.0696000000000003</v>
      </c>
      <c r="J854">
        <f t="shared" si="216"/>
        <v>8.1584000000000003</v>
      </c>
      <c r="K854">
        <f t="shared" si="217"/>
        <v>93.002200000000002</v>
      </c>
      <c r="L854">
        <f t="shared" si="218"/>
        <v>-2.7111135200000014</v>
      </c>
      <c r="M854">
        <f t="shared" si="219"/>
        <v>322.92899999999997</v>
      </c>
      <c r="O854">
        <v>321</v>
      </c>
      <c r="P854">
        <v>1030</v>
      </c>
      <c r="Q854">
        <v>0.44700000000000001</v>
      </c>
      <c r="R854">
        <f t="shared" si="220"/>
        <v>-0.44477614897083589</v>
      </c>
    </row>
    <row r="855" spans="1:18" x14ac:dyDescent="0.25">
      <c r="A855">
        <v>711</v>
      </c>
      <c r="B855">
        <v>76</v>
      </c>
      <c r="C855">
        <v>112</v>
      </c>
      <c r="D855">
        <v>940</v>
      </c>
      <c r="E855">
        <v>490</v>
      </c>
      <c r="F855">
        <v>925</v>
      </c>
      <c r="G855" t="s">
        <v>5</v>
      </c>
      <c r="H855" s="1">
        <f t="shared" si="214"/>
        <v>36846.458333333634</v>
      </c>
      <c r="I855">
        <f t="shared" si="215"/>
        <v>6.0696000000000003</v>
      </c>
      <c r="J855">
        <f t="shared" si="216"/>
        <v>8.7552000000000003</v>
      </c>
      <c r="K855">
        <f t="shared" si="217"/>
        <v>93.921999999999997</v>
      </c>
      <c r="L855">
        <f t="shared" si="218"/>
        <v>-1.9891980000000031</v>
      </c>
      <c r="M855">
        <f t="shared" si="219"/>
        <v>324.32499999999999</v>
      </c>
      <c r="O855">
        <v>321</v>
      </c>
      <c r="P855">
        <v>1100</v>
      </c>
      <c r="Q855">
        <v>0.44700000000000001</v>
      </c>
      <c r="R855">
        <f t="shared" si="220"/>
        <v>-0.44536940094886246</v>
      </c>
    </row>
    <row r="856" spans="1:18" x14ac:dyDescent="0.25">
      <c r="A856">
        <v>711</v>
      </c>
      <c r="B856">
        <v>81</v>
      </c>
      <c r="C856">
        <v>116</v>
      </c>
      <c r="D856">
        <v>918</v>
      </c>
      <c r="E856">
        <v>493</v>
      </c>
      <c r="F856">
        <v>925</v>
      </c>
      <c r="G856" t="s">
        <v>5</v>
      </c>
      <c r="H856" s="1">
        <f t="shared" si="214"/>
        <v>36846.47916666697</v>
      </c>
      <c r="I856">
        <f t="shared" si="215"/>
        <v>6.4426000000000005</v>
      </c>
      <c r="J856">
        <f t="shared" si="216"/>
        <v>9.0536000000000012</v>
      </c>
      <c r="K856">
        <f t="shared" si="217"/>
        <v>91.673599999999993</v>
      </c>
      <c r="L856">
        <f t="shared" si="218"/>
        <v>-1.7181490200000011</v>
      </c>
      <c r="M856">
        <f t="shared" si="219"/>
        <v>324.32499999999999</v>
      </c>
      <c r="O856">
        <v>321</v>
      </c>
      <c r="P856">
        <v>1130</v>
      </c>
      <c r="Q856">
        <v>0.44700000000000001</v>
      </c>
      <c r="R856">
        <f t="shared" si="220"/>
        <v>-0.44559193822055315</v>
      </c>
    </row>
    <row r="857" spans="1:18" x14ac:dyDescent="0.25">
      <c r="A857">
        <v>711</v>
      </c>
      <c r="B857">
        <v>85</v>
      </c>
      <c r="C857">
        <v>120</v>
      </c>
      <c r="D857">
        <v>919</v>
      </c>
      <c r="E857">
        <v>492</v>
      </c>
      <c r="F857">
        <v>928</v>
      </c>
      <c r="G857" t="s">
        <v>5</v>
      </c>
      <c r="H857" s="1">
        <f t="shared" si="214"/>
        <v>36846.500000000306</v>
      </c>
      <c r="I857">
        <f t="shared" si="215"/>
        <v>6.7410000000000005</v>
      </c>
      <c r="J857">
        <f t="shared" si="216"/>
        <v>9.3520000000000003</v>
      </c>
      <c r="K857">
        <f t="shared" si="217"/>
        <v>91.775800000000004</v>
      </c>
      <c r="L857">
        <f t="shared" si="218"/>
        <v>-1.8085187200000017</v>
      </c>
      <c r="M857">
        <f t="shared" si="219"/>
        <v>325.37199999999996</v>
      </c>
      <c r="O857">
        <v>321</v>
      </c>
      <c r="P857">
        <v>1200</v>
      </c>
      <c r="Q857">
        <v>0.44500000000000001</v>
      </c>
      <c r="R857">
        <f t="shared" si="220"/>
        <v>-0.44352438699750435</v>
      </c>
    </row>
    <row r="858" spans="1:18" x14ac:dyDescent="0.25">
      <c r="A858">
        <v>711</v>
      </c>
      <c r="B858">
        <v>101</v>
      </c>
      <c r="C858">
        <v>160</v>
      </c>
      <c r="D858">
        <v>909</v>
      </c>
      <c r="E858">
        <v>488</v>
      </c>
      <c r="F858">
        <v>925</v>
      </c>
      <c r="G858" t="s">
        <v>5</v>
      </c>
      <c r="H858" s="1">
        <f t="shared" si="214"/>
        <v>36846.520833333641</v>
      </c>
      <c r="I858">
        <f t="shared" si="215"/>
        <v>7.9346000000000005</v>
      </c>
      <c r="J858">
        <f t="shared" si="216"/>
        <v>12.336</v>
      </c>
      <c r="K858">
        <f t="shared" si="217"/>
        <v>90.753799999999998</v>
      </c>
      <c r="L858">
        <f t="shared" si="218"/>
        <v>-2.1697971200000041</v>
      </c>
      <c r="M858">
        <f t="shared" si="219"/>
        <v>324.32499999999999</v>
      </c>
      <c r="O858">
        <v>321</v>
      </c>
      <c r="P858">
        <v>1230</v>
      </c>
      <c r="Q858">
        <v>0.44700000000000001</v>
      </c>
      <c r="R858">
        <f t="shared" si="220"/>
        <v>-0.4452210632865794</v>
      </c>
    </row>
    <row r="859" spans="1:18" x14ac:dyDescent="0.25">
      <c r="A859">
        <v>711</v>
      </c>
      <c r="B859">
        <v>117</v>
      </c>
      <c r="C859">
        <v>172</v>
      </c>
      <c r="D859">
        <v>928</v>
      </c>
      <c r="E859">
        <v>493</v>
      </c>
      <c r="F859">
        <v>925</v>
      </c>
      <c r="G859" t="s">
        <v>5</v>
      </c>
      <c r="H859" s="1">
        <f t="shared" si="214"/>
        <v>36846.541666666977</v>
      </c>
      <c r="I859">
        <f t="shared" si="215"/>
        <v>9.1281999999999996</v>
      </c>
      <c r="J859">
        <f t="shared" si="216"/>
        <v>13.231199999999999</v>
      </c>
      <c r="K859">
        <f t="shared" si="217"/>
        <v>92.695599999999999</v>
      </c>
      <c r="L859">
        <f t="shared" si="218"/>
        <v>-1.7181490200000011</v>
      </c>
      <c r="M859">
        <f t="shared" si="219"/>
        <v>324.32499999999999</v>
      </c>
      <c r="O859">
        <v>321</v>
      </c>
      <c r="P859">
        <v>1300</v>
      </c>
      <c r="Q859">
        <v>0.435</v>
      </c>
      <c r="R859">
        <f t="shared" si="220"/>
        <v>-0.43362973853677994</v>
      </c>
    </row>
    <row r="860" spans="1:18" x14ac:dyDescent="0.25">
      <c r="A860">
        <v>711</v>
      </c>
      <c r="B860">
        <v>108</v>
      </c>
      <c r="C860">
        <v>148</v>
      </c>
      <c r="D860">
        <v>899</v>
      </c>
      <c r="E860">
        <v>497</v>
      </c>
      <c r="F860">
        <v>929</v>
      </c>
      <c r="G860" t="s">
        <v>5</v>
      </c>
      <c r="H860" s="1">
        <f t="shared" si="214"/>
        <v>36846.562500000313</v>
      </c>
      <c r="I860">
        <f t="shared" si="215"/>
        <v>8.4567999999999994</v>
      </c>
      <c r="J860">
        <f t="shared" si="216"/>
        <v>11.440800000000001</v>
      </c>
      <c r="K860">
        <f t="shared" si="217"/>
        <v>89.731799999999993</v>
      </c>
      <c r="L860">
        <f t="shared" si="218"/>
        <v>-1.3564698200000054</v>
      </c>
      <c r="M860">
        <f t="shared" si="219"/>
        <v>325.721</v>
      </c>
      <c r="O860">
        <v>321</v>
      </c>
      <c r="P860">
        <v>1330</v>
      </c>
      <c r="Q860">
        <v>0.42499999999999999</v>
      </c>
      <c r="R860">
        <f t="shared" si="220"/>
        <v>-0.42394340621601179</v>
      </c>
    </row>
    <row r="861" spans="1:18" x14ac:dyDescent="0.25">
      <c r="A861">
        <v>711</v>
      </c>
      <c r="B861">
        <v>97</v>
      </c>
      <c r="C861">
        <v>140</v>
      </c>
      <c r="D861">
        <v>918</v>
      </c>
      <c r="E861">
        <v>497</v>
      </c>
      <c r="F861">
        <v>932</v>
      </c>
      <c r="G861" t="s">
        <v>5</v>
      </c>
      <c r="H861" s="1">
        <f t="shared" si="214"/>
        <v>36846.583333333649</v>
      </c>
      <c r="I861">
        <f t="shared" si="215"/>
        <v>7.6362000000000005</v>
      </c>
      <c r="J861">
        <f t="shared" si="216"/>
        <v>10.843999999999999</v>
      </c>
      <c r="K861">
        <f t="shared" si="217"/>
        <v>91.673599999999993</v>
      </c>
      <c r="L861">
        <f t="shared" si="218"/>
        <v>-1.3564698200000054</v>
      </c>
      <c r="M861">
        <f t="shared" si="219"/>
        <v>326.76799999999997</v>
      </c>
      <c r="O861">
        <v>321</v>
      </c>
      <c r="P861">
        <v>1400</v>
      </c>
      <c r="Q861">
        <v>0.44</v>
      </c>
      <c r="R861">
        <f t="shared" si="220"/>
        <v>-0.43890611467069457</v>
      </c>
    </row>
    <row r="862" spans="1:18" x14ac:dyDescent="0.25">
      <c r="A862">
        <v>711</v>
      </c>
      <c r="B862">
        <v>80</v>
      </c>
      <c r="C862">
        <v>112</v>
      </c>
      <c r="D862">
        <v>949</v>
      </c>
      <c r="E862">
        <v>498</v>
      </c>
      <c r="F862">
        <v>932</v>
      </c>
      <c r="G862" t="s">
        <v>5</v>
      </c>
      <c r="H862" s="1">
        <f t="shared" si="214"/>
        <v>36846.604166666984</v>
      </c>
      <c r="I862">
        <f t="shared" si="215"/>
        <v>6.3680000000000003</v>
      </c>
      <c r="J862">
        <f t="shared" si="216"/>
        <v>8.7552000000000003</v>
      </c>
      <c r="K862">
        <f t="shared" si="217"/>
        <v>94.841799999999992</v>
      </c>
      <c r="L862">
        <f t="shared" si="218"/>
        <v>-1.2659999200000045</v>
      </c>
      <c r="M862">
        <f t="shared" si="219"/>
        <v>326.76799999999997</v>
      </c>
      <c r="O862">
        <v>321</v>
      </c>
      <c r="P862">
        <v>1430</v>
      </c>
      <c r="Q862">
        <v>0.437</v>
      </c>
      <c r="R862">
        <f t="shared" si="220"/>
        <v>-0.43598611660523684</v>
      </c>
    </row>
    <row r="863" spans="1:18" x14ac:dyDescent="0.25">
      <c r="A863">
        <v>711</v>
      </c>
      <c r="B863">
        <v>68</v>
      </c>
      <c r="C863">
        <v>108</v>
      </c>
      <c r="D863">
        <v>953</v>
      </c>
      <c r="E863">
        <v>499</v>
      </c>
      <c r="F863">
        <v>932</v>
      </c>
      <c r="G863" t="s">
        <v>5</v>
      </c>
      <c r="H863" s="1">
        <f t="shared" si="214"/>
        <v>36846.62500000032</v>
      </c>
      <c r="I863">
        <f t="shared" si="215"/>
        <v>5.4728000000000003</v>
      </c>
      <c r="J863">
        <f t="shared" si="216"/>
        <v>8.4567999999999994</v>
      </c>
      <c r="K863">
        <f t="shared" si="217"/>
        <v>95.250599999999991</v>
      </c>
      <c r="L863">
        <f t="shared" si="218"/>
        <v>-1.1755099800000037</v>
      </c>
      <c r="M863">
        <f t="shared" si="219"/>
        <v>326.76799999999997</v>
      </c>
      <c r="O863">
        <v>321</v>
      </c>
      <c r="P863">
        <v>1500</v>
      </c>
      <c r="Q863">
        <v>0.44500000000000001</v>
      </c>
      <c r="R863">
        <f t="shared" si="220"/>
        <v>-0.44404143153585551</v>
      </c>
    </row>
    <row r="864" spans="1:18" x14ac:dyDescent="0.25">
      <c r="A864">
        <v>711</v>
      </c>
      <c r="B864">
        <v>59</v>
      </c>
      <c r="C864">
        <v>92</v>
      </c>
      <c r="D864">
        <v>955</v>
      </c>
      <c r="E864">
        <v>499</v>
      </c>
      <c r="F864">
        <v>932</v>
      </c>
      <c r="G864" t="s">
        <v>5</v>
      </c>
      <c r="H864" s="1">
        <f t="shared" si="214"/>
        <v>36846.645833333656</v>
      </c>
      <c r="I864">
        <f t="shared" si="215"/>
        <v>4.8014000000000001</v>
      </c>
      <c r="J864">
        <f t="shared" si="216"/>
        <v>7.2632000000000003</v>
      </c>
      <c r="K864">
        <f t="shared" si="217"/>
        <v>95.454999999999998</v>
      </c>
      <c r="L864">
        <f t="shared" si="218"/>
        <v>-1.1755099800000037</v>
      </c>
      <c r="M864">
        <f t="shared" si="219"/>
        <v>326.76799999999997</v>
      </c>
      <c r="O864">
        <v>321</v>
      </c>
      <c r="P864">
        <v>1530</v>
      </c>
      <c r="Q864">
        <v>0.44</v>
      </c>
      <c r="R864">
        <f t="shared" si="220"/>
        <v>-0.4390522019680369</v>
      </c>
    </row>
    <row r="865" spans="1:18" x14ac:dyDescent="0.25">
      <c r="A865">
        <v>711</v>
      </c>
      <c r="B865">
        <v>64</v>
      </c>
      <c r="C865">
        <v>96</v>
      </c>
      <c r="D865">
        <v>900</v>
      </c>
      <c r="E865">
        <v>499</v>
      </c>
      <c r="F865">
        <v>933</v>
      </c>
      <c r="G865" t="s">
        <v>5</v>
      </c>
      <c r="H865" s="1">
        <f t="shared" si="214"/>
        <v>36846.666666666992</v>
      </c>
      <c r="I865">
        <f t="shared" si="215"/>
        <v>5.1744000000000003</v>
      </c>
      <c r="J865">
        <f t="shared" si="216"/>
        <v>7.5616000000000003</v>
      </c>
      <c r="K865">
        <f t="shared" si="217"/>
        <v>89.834000000000003</v>
      </c>
      <c r="L865">
        <f t="shared" si="218"/>
        <v>-1.1755099800000037</v>
      </c>
      <c r="M865">
        <f t="shared" si="219"/>
        <v>327.11699999999996</v>
      </c>
      <c r="O865">
        <v>321</v>
      </c>
      <c r="P865">
        <v>1600</v>
      </c>
      <c r="Q865">
        <v>0.41699999999999998</v>
      </c>
      <c r="R865">
        <f t="shared" si="220"/>
        <v>-0.4161017459560713</v>
      </c>
    </row>
    <row r="866" spans="1:18" x14ac:dyDescent="0.25">
      <c r="A866">
        <v>711</v>
      </c>
      <c r="B866">
        <v>48</v>
      </c>
      <c r="C866">
        <v>84</v>
      </c>
      <c r="D866">
        <v>903</v>
      </c>
      <c r="E866">
        <v>498</v>
      </c>
      <c r="F866">
        <v>933</v>
      </c>
      <c r="G866" t="s">
        <v>5</v>
      </c>
      <c r="H866" s="1">
        <f t="shared" si="214"/>
        <v>36846.687500000327</v>
      </c>
      <c r="I866">
        <f t="shared" si="215"/>
        <v>3.9807999999999999</v>
      </c>
      <c r="J866">
        <f t="shared" si="216"/>
        <v>6.6664000000000003</v>
      </c>
      <c r="K866">
        <f t="shared" si="217"/>
        <v>90.140599999999992</v>
      </c>
      <c r="L866">
        <f t="shared" si="218"/>
        <v>-1.2659999200000045</v>
      </c>
      <c r="M866">
        <f t="shared" si="219"/>
        <v>327.11699999999996</v>
      </c>
      <c r="O866">
        <v>321</v>
      </c>
      <c r="P866">
        <v>1630</v>
      </c>
      <c r="Q866">
        <v>0.42199999999999999</v>
      </c>
      <c r="R866">
        <f t="shared" si="220"/>
        <v>-0.42102091809475956</v>
      </c>
    </row>
    <row r="867" spans="1:18" x14ac:dyDescent="0.25">
      <c r="A867">
        <v>711</v>
      </c>
      <c r="B867">
        <v>29</v>
      </c>
      <c r="C867">
        <v>68</v>
      </c>
      <c r="D867">
        <v>928</v>
      </c>
      <c r="E867">
        <v>502</v>
      </c>
      <c r="F867">
        <v>933</v>
      </c>
      <c r="G867" t="s">
        <v>5</v>
      </c>
      <c r="H867" s="1">
        <f t="shared" si="214"/>
        <v>36846.708333333663</v>
      </c>
      <c r="I867">
        <f t="shared" si="215"/>
        <v>2.5634000000000001</v>
      </c>
      <c r="J867">
        <f t="shared" si="216"/>
        <v>5.4728000000000003</v>
      </c>
      <c r="K867">
        <f t="shared" si="217"/>
        <v>92.695599999999999</v>
      </c>
      <c r="L867">
        <f t="shared" si="218"/>
        <v>-0.9039199200000021</v>
      </c>
      <c r="M867">
        <f t="shared" si="219"/>
        <v>327.11699999999996</v>
      </c>
      <c r="O867">
        <v>321</v>
      </c>
      <c r="P867">
        <v>1700</v>
      </c>
      <c r="Q867">
        <v>0.42199999999999999</v>
      </c>
      <c r="R867">
        <f t="shared" si="220"/>
        <v>-0.42130117094870312</v>
      </c>
    </row>
    <row r="868" spans="1:18" x14ac:dyDescent="0.25">
      <c r="A868">
        <v>711</v>
      </c>
      <c r="B868">
        <v>48</v>
      </c>
      <c r="C868">
        <v>72</v>
      </c>
      <c r="D868">
        <v>961</v>
      </c>
      <c r="E868">
        <v>499</v>
      </c>
      <c r="F868">
        <v>933</v>
      </c>
      <c r="G868" t="s">
        <v>5</v>
      </c>
      <c r="H868" s="1">
        <f t="shared" si="214"/>
        <v>36846.729166666999</v>
      </c>
      <c r="I868">
        <f t="shared" si="215"/>
        <v>3.9807999999999999</v>
      </c>
      <c r="J868">
        <f t="shared" si="216"/>
        <v>5.7712000000000003</v>
      </c>
      <c r="K868">
        <f t="shared" si="217"/>
        <v>96.068200000000004</v>
      </c>
      <c r="L868">
        <f t="shared" si="218"/>
        <v>-1.1755099800000037</v>
      </c>
      <c r="M868">
        <f t="shared" si="219"/>
        <v>327.11699999999996</v>
      </c>
      <c r="O868">
        <v>321</v>
      </c>
      <c r="P868">
        <v>1730</v>
      </c>
      <c r="Q868">
        <v>0.41499999999999998</v>
      </c>
      <c r="R868">
        <f t="shared" si="220"/>
        <v>-0.41410605412894386</v>
      </c>
    </row>
    <row r="869" spans="1:18" x14ac:dyDescent="0.25">
      <c r="A869">
        <v>711</v>
      </c>
      <c r="B869">
        <v>47</v>
      </c>
      <c r="C869">
        <v>72</v>
      </c>
      <c r="D869">
        <v>973</v>
      </c>
      <c r="E869">
        <v>501</v>
      </c>
      <c r="F869">
        <v>933</v>
      </c>
      <c r="G869" t="s">
        <v>5</v>
      </c>
      <c r="H869" s="1">
        <f t="shared" si="214"/>
        <v>36846.750000000335</v>
      </c>
      <c r="I869">
        <f t="shared" si="215"/>
        <v>3.9061999999999997</v>
      </c>
      <c r="J869">
        <f t="shared" si="216"/>
        <v>5.7712000000000003</v>
      </c>
      <c r="K869">
        <f t="shared" si="217"/>
        <v>97.294600000000003</v>
      </c>
      <c r="L869">
        <f t="shared" si="218"/>
        <v>-0.99446998000000253</v>
      </c>
      <c r="M869">
        <f t="shared" si="219"/>
        <v>327.11699999999996</v>
      </c>
      <c r="O869">
        <v>321</v>
      </c>
      <c r="P869">
        <v>1800</v>
      </c>
      <c r="Q869">
        <v>0.41499999999999998</v>
      </c>
      <c r="R869">
        <f t="shared" si="220"/>
        <v>-0.41424385618579657</v>
      </c>
    </row>
    <row r="870" spans="1:18" x14ac:dyDescent="0.25">
      <c r="A870">
        <v>711</v>
      </c>
      <c r="B870">
        <v>44</v>
      </c>
      <c r="C870">
        <v>72</v>
      </c>
      <c r="D870">
        <v>896</v>
      </c>
      <c r="E870">
        <v>498</v>
      </c>
      <c r="F870">
        <v>933</v>
      </c>
      <c r="G870" t="s">
        <v>5</v>
      </c>
      <c r="H870" s="1">
        <f t="shared" si="214"/>
        <v>36846.77083333367</v>
      </c>
      <c r="I870">
        <f t="shared" si="215"/>
        <v>3.6823999999999999</v>
      </c>
      <c r="J870">
        <f t="shared" si="216"/>
        <v>5.7712000000000003</v>
      </c>
      <c r="K870">
        <f t="shared" si="217"/>
        <v>89.425200000000004</v>
      </c>
      <c r="L870">
        <f t="shared" si="218"/>
        <v>-1.2659999200000045</v>
      </c>
      <c r="M870">
        <f t="shared" si="219"/>
        <v>327.11699999999996</v>
      </c>
      <c r="O870">
        <v>321</v>
      </c>
      <c r="P870">
        <v>1830</v>
      </c>
      <c r="Q870">
        <v>0.41499999999999998</v>
      </c>
      <c r="R870">
        <f t="shared" si="220"/>
        <v>-0.41403715878987019</v>
      </c>
    </row>
    <row r="871" spans="1:18" x14ac:dyDescent="0.25">
      <c r="A871">
        <v>711</v>
      </c>
      <c r="B871">
        <v>47</v>
      </c>
      <c r="C871">
        <v>80</v>
      </c>
      <c r="D871">
        <v>875</v>
      </c>
      <c r="E871">
        <v>493</v>
      </c>
      <c r="F871">
        <v>933</v>
      </c>
      <c r="G871" t="s">
        <v>5</v>
      </c>
      <c r="H871" s="1">
        <f t="shared" si="214"/>
        <v>36846.791666667006</v>
      </c>
      <c r="I871">
        <f t="shared" si="215"/>
        <v>3.9061999999999997</v>
      </c>
      <c r="J871">
        <f t="shared" si="216"/>
        <v>6.3680000000000003</v>
      </c>
      <c r="K871">
        <f t="shared" si="217"/>
        <v>87.278999999999996</v>
      </c>
      <c r="L871">
        <f t="shared" si="218"/>
        <v>-1.7181490200000011</v>
      </c>
      <c r="M871">
        <f t="shared" si="219"/>
        <v>327.11699999999996</v>
      </c>
      <c r="O871">
        <v>321</v>
      </c>
      <c r="P871">
        <v>1900</v>
      </c>
      <c r="Q871">
        <v>0.41499999999999998</v>
      </c>
      <c r="R871">
        <f t="shared" si="220"/>
        <v>-0.41369273906382453</v>
      </c>
    </row>
    <row r="872" spans="1:18" x14ac:dyDescent="0.25">
      <c r="A872">
        <v>711</v>
      </c>
      <c r="B872">
        <v>32</v>
      </c>
      <c r="C872">
        <v>64</v>
      </c>
      <c r="D872">
        <v>956</v>
      </c>
      <c r="E872">
        <v>496</v>
      </c>
      <c r="F872">
        <v>932</v>
      </c>
      <c r="G872" t="s">
        <v>5</v>
      </c>
      <c r="H872" s="1">
        <f t="shared" si="214"/>
        <v>36846.812500000342</v>
      </c>
      <c r="I872">
        <f t="shared" si="215"/>
        <v>2.7871999999999999</v>
      </c>
      <c r="J872">
        <f t="shared" si="216"/>
        <v>5.1744000000000003</v>
      </c>
      <c r="K872">
        <f t="shared" si="217"/>
        <v>95.557199999999995</v>
      </c>
      <c r="L872">
        <f t="shared" si="218"/>
        <v>-1.4469196799999988</v>
      </c>
      <c r="M872">
        <f t="shared" si="219"/>
        <v>326.76799999999997</v>
      </c>
      <c r="O872">
        <v>321</v>
      </c>
      <c r="P872">
        <v>1930</v>
      </c>
      <c r="Q872">
        <v>0.41499999999999998</v>
      </c>
      <c r="R872">
        <f t="shared" si="220"/>
        <v>-0.41389937949989836</v>
      </c>
    </row>
    <row r="873" spans="1:18" x14ac:dyDescent="0.25">
      <c r="A873">
        <v>711</v>
      </c>
      <c r="B873">
        <v>10</v>
      </c>
      <c r="C873">
        <v>36</v>
      </c>
      <c r="D873">
        <v>443</v>
      </c>
      <c r="E873">
        <v>499</v>
      </c>
      <c r="F873">
        <v>933</v>
      </c>
      <c r="G873" t="s">
        <v>5</v>
      </c>
      <c r="H873" s="1">
        <f t="shared" si="214"/>
        <v>36846.833333333678</v>
      </c>
      <c r="I873">
        <f t="shared" si="215"/>
        <v>1.1459999999999999</v>
      </c>
      <c r="J873">
        <f t="shared" si="216"/>
        <v>3.0855999999999999</v>
      </c>
      <c r="K873">
        <f t="shared" si="217"/>
        <v>43.128599999999999</v>
      </c>
      <c r="L873">
        <f t="shared" si="218"/>
        <v>-1.1755099800000037</v>
      </c>
      <c r="M873">
        <f t="shared" si="219"/>
        <v>327.11699999999996</v>
      </c>
      <c r="O873">
        <v>321</v>
      </c>
      <c r="P873">
        <v>2000</v>
      </c>
      <c r="Q873">
        <v>0.41499999999999998</v>
      </c>
      <c r="R873">
        <f t="shared" si="220"/>
        <v>-0.41410605412894386</v>
      </c>
    </row>
    <row r="874" spans="1:18" x14ac:dyDescent="0.25">
      <c r="A874">
        <v>711</v>
      </c>
      <c r="B874">
        <v>19</v>
      </c>
      <c r="C874">
        <v>32</v>
      </c>
      <c r="D874">
        <v>421</v>
      </c>
      <c r="E874">
        <v>492</v>
      </c>
      <c r="F874">
        <v>933</v>
      </c>
      <c r="G874" t="s">
        <v>5</v>
      </c>
      <c r="H874" s="1">
        <f>H873+1/48</f>
        <v>36846.854166667013</v>
      </c>
      <c r="I874">
        <f t="shared" si="215"/>
        <v>1.8174000000000001</v>
      </c>
      <c r="J874">
        <f t="shared" si="216"/>
        <v>2.7871999999999999</v>
      </c>
      <c r="K874">
        <f t="shared" si="217"/>
        <v>40.880200000000002</v>
      </c>
      <c r="L874">
        <f t="shared" si="218"/>
        <v>-1.8085187200000017</v>
      </c>
      <c r="M874">
        <f t="shared" si="219"/>
        <v>327.11699999999996</v>
      </c>
      <c r="O874">
        <v>321</v>
      </c>
      <c r="P874">
        <v>2030</v>
      </c>
      <c r="Q874">
        <v>0.41499999999999998</v>
      </c>
      <c r="R874">
        <f t="shared" si="220"/>
        <v>-0.41362386652576244</v>
      </c>
    </row>
    <row r="875" spans="1:18" x14ac:dyDescent="0.25">
      <c r="A875">
        <v>711</v>
      </c>
      <c r="B875">
        <v>24</v>
      </c>
      <c r="C875">
        <v>44</v>
      </c>
      <c r="D875">
        <v>562</v>
      </c>
      <c r="E875">
        <v>492</v>
      </c>
      <c r="F875">
        <v>933</v>
      </c>
      <c r="G875" t="s">
        <v>5</v>
      </c>
      <c r="H875" s="1">
        <f t="shared" si="214"/>
        <v>36846.875000000349</v>
      </c>
      <c r="I875">
        <f t="shared" si="215"/>
        <v>2.1903999999999999</v>
      </c>
      <c r="J875">
        <f t="shared" si="216"/>
        <v>3.6823999999999999</v>
      </c>
      <c r="K875">
        <f t="shared" si="217"/>
        <v>55.290399999999998</v>
      </c>
      <c r="L875">
        <f t="shared" si="218"/>
        <v>-1.8085187200000017</v>
      </c>
      <c r="M875">
        <f t="shared" si="219"/>
        <v>327.11699999999996</v>
      </c>
      <c r="O875">
        <v>321</v>
      </c>
      <c r="P875">
        <v>2100</v>
      </c>
      <c r="Q875">
        <v>0.41499999999999998</v>
      </c>
      <c r="R875">
        <f t="shared" si="220"/>
        <v>-0.41362386652576244</v>
      </c>
    </row>
    <row r="876" spans="1:18" x14ac:dyDescent="0.25">
      <c r="A876">
        <v>711</v>
      </c>
      <c r="B876">
        <v>18</v>
      </c>
      <c r="C876">
        <v>36</v>
      </c>
      <c r="D876">
        <v>520</v>
      </c>
      <c r="E876">
        <v>489</v>
      </c>
      <c r="F876">
        <v>932</v>
      </c>
      <c r="G876" t="s">
        <v>5</v>
      </c>
      <c r="H876" s="1">
        <f t="shared" si="214"/>
        <v>36846.895833333685</v>
      </c>
      <c r="I876">
        <f t="shared" si="215"/>
        <v>1.7427999999999999</v>
      </c>
      <c r="J876">
        <f t="shared" si="216"/>
        <v>3.0855999999999999</v>
      </c>
      <c r="K876">
        <f t="shared" si="217"/>
        <v>50.997999999999998</v>
      </c>
      <c r="L876">
        <f t="shared" si="218"/>
        <v>-2.0795075800000036</v>
      </c>
      <c r="M876">
        <f t="shared" si="219"/>
        <v>326.76799999999997</v>
      </c>
      <c r="O876">
        <v>321</v>
      </c>
      <c r="P876">
        <v>2130</v>
      </c>
      <c r="Q876">
        <v>0.41499999999999998</v>
      </c>
      <c r="R876">
        <f t="shared" si="220"/>
        <v>-0.41341727176007781</v>
      </c>
    </row>
    <row r="877" spans="1:18" x14ac:dyDescent="0.25">
      <c r="A877">
        <v>711</v>
      </c>
      <c r="B877">
        <v>21</v>
      </c>
      <c r="C877">
        <v>40</v>
      </c>
      <c r="D877">
        <v>444</v>
      </c>
      <c r="E877">
        <v>487</v>
      </c>
      <c r="F877">
        <v>932</v>
      </c>
      <c r="G877" t="s">
        <v>5</v>
      </c>
      <c r="H877" s="1">
        <f t="shared" si="214"/>
        <v>36846.916666667021</v>
      </c>
      <c r="I877">
        <f t="shared" si="215"/>
        <v>1.9666000000000001</v>
      </c>
      <c r="J877">
        <f t="shared" si="216"/>
        <v>3.3839999999999999</v>
      </c>
      <c r="K877">
        <f t="shared" si="217"/>
        <v>43.230800000000002</v>
      </c>
      <c r="L877">
        <f t="shared" si="218"/>
        <v>-2.2600666200000052</v>
      </c>
      <c r="M877">
        <f t="shared" si="219"/>
        <v>326.76799999999997</v>
      </c>
      <c r="O877">
        <v>321</v>
      </c>
      <c r="P877">
        <v>2200</v>
      </c>
      <c r="Q877">
        <v>0.41499999999999998</v>
      </c>
      <c r="R877">
        <f t="shared" si="220"/>
        <v>-0.41327956097574192</v>
      </c>
    </row>
    <row r="878" spans="1:18" x14ac:dyDescent="0.25">
      <c r="A878">
        <v>711</v>
      </c>
      <c r="B878">
        <v>18</v>
      </c>
      <c r="C878">
        <v>36</v>
      </c>
      <c r="D878">
        <v>414</v>
      </c>
      <c r="E878">
        <v>485</v>
      </c>
      <c r="F878">
        <v>932</v>
      </c>
      <c r="G878" t="s">
        <v>5</v>
      </c>
      <c r="H878" s="1">
        <f t="shared" si="214"/>
        <v>36846.937500000357</v>
      </c>
      <c r="I878">
        <f t="shared" si="215"/>
        <v>1.7427999999999999</v>
      </c>
      <c r="J878">
        <f t="shared" si="216"/>
        <v>3.0855999999999999</v>
      </c>
      <c r="K878">
        <f t="shared" si="217"/>
        <v>40.1648</v>
      </c>
      <c r="L878">
        <f t="shared" si="218"/>
        <v>-2.4405454999999994</v>
      </c>
      <c r="M878">
        <f t="shared" si="219"/>
        <v>326.76799999999997</v>
      </c>
      <c r="O878">
        <v>321</v>
      </c>
      <c r="P878">
        <v>2230</v>
      </c>
      <c r="Q878">
        <v>0.41699999999999998</v>
      </c>
      <c r="R878">
        <f t="shared" si="220"/>
        <v>-0.41513291059148927</v>
      </c>
    </row>
    <row r="879" spans="1:18" x14ac:dyDescent="0.25">
      <c r="A879">
        <v>711</v>
      </c>
      <c r="B879">
        <v>6</v>
      </c>
      <c r="C879">
        <v>20</v>
      </c>
      <c r="D879">
        <v>414</v>
      </c>
      <c r="E879">
        <v>485</v>
      </c>
      <c r="F879">
        <v>929</v>
      </c>
      <c r="G879" t="s">
        <v>5</v>
      </c>
      <c r="H879" s="1">
        <f t="shared" si="214"/>
        <v>36846.958333333692</v>
      </c>
      <c r="I879">
        <f t="shared" ref="I879:J886" si="221">0.4+0.0746*B879</f>
        <v>0.84760000000000002</v>
      </c>
      <c r="J879">
        <f t="shared" si="221"/>
        <v>1.8919999999999999</v>
      </c>
      <c r="K879">
        <f t="shared" ref="K879:K886" si="222">-2.146+0.1022*D879</f>
        <v>40.1648</v>
      </c>
      <c r="L879">
        <f t="shared" ref="L879:L886" si="223">-43.84+0.0805*E879+0.00001002*E879^2</f>
        <v>-2.4405454999999994</v>
      </c>
      <c r="M879">
        <f t="shared" ref="M879:M886" si="224">1.5+0.349*F879</f>
        <v>325.721</v>
      </c>
      <c r="O879">
        <v>321</v>
      </c>
      <c r="P879">
        <v>2300</v>
      </c>
      <c r="Q879">
        <v>0.41699999999999998</v>
      </c>
      <c r="R879">
        <f t="shared" si="220"/>
        <v>-0.41513291059148927</v>
      </c>
    </row>
    <row r="880" spans="1:18" x14ac:dyDescent="0.25">
      <c r="A880">
        <v>711</v>
      </c>
      <c r="B880">
        <v>17</v>
      </c>
      <c r="C880">
        <v>32</v>
      </c>
      <c r="D880">
        <v>622</v>
      </c>
      <c r="E880">
        <v>484</v>
      </c>
      <c r="F880">
        <v>929</v>
      </c>
      <c r="G880" t="s">
        <v>5</v>
      </c>
      <c r="H880" s="1">
        <f t="shared" si="214"/>
        <v>36846.979166667028</v>
      </c>
      <c r="I880">
        <f t="shared" si="221"/>
        <v>1.6682000000000001</v>
      </c>
      <c r="J880">
        <f t="shared" si="221"/>
        <v>2.7871999999999999</v>
      </c>
      <c r="K880">
        <f t="shared" si="222"/>
        <v>61.422399999999996</v>
      </c>
      <c r="L880">
        <f t="shared" si="223"/>
        <v>-2.5307548799999999</v>
      </c>
      <c r="M880">
        <f t="shared" si="224"/>
        <v>325.721</v>
      </c>
      <c r="O880">
        <v>321</v>
      </c>
      <c r="P880">
        <v>2330</v>
      </c>
      <c r="Q880">
        <v>0.41699999999999998</v>
      </c>
      <c r="R880">
        <f t="shared" si="220"/>
        <v>-0.41506373679245445</v>
      </c>
    </row>
    <row r="881" spans="1:18" x14ac:dyDescent="0.25">
      <c r="A881">
        <v>711</v>
      </c>
      <c r="B881">
        <v>11</v>
      </c>
      <c r="C881">
        <v>32</v>
      </c>
      <c r="D881">
        <v>609</v>
      </c>
      <c r="E881">
        <v>480</v>
      </c>
      <c r="F881">
        <v>929</v>
      </c>
      <c r="G881" t="s">
        <v>5</v>
      </c>
      <c r="H881" s="1">
        <f t="shared" ref="H881:H943" si="225">H880+1/48</f>
        <v>36847.000000000364</v>
      </c>
      <c r="I881">
        <f t="shared" si="221"/>
        <v>1.2206000000000001</v>
      </c>
      <c r="J881">
        <f t="shared" si="221"/>
        <v>2.7871999999999999</v>
      </c>
      <c r="K881">
        <f t="shared" si="222"/>
        <v>60.093800000000002</v>
      </c>
      <c r="L881">
        <f t="shared" si="223"/>
        <v>-2.8913920000000028</v>
      </c>
      <c r="M881">
        <f t="shared" si="224"/>
        <v>325.721</v>
      </c>
      <c r="O881">
        <v>321</v>
      </c>
      <c r="P881">
        <v>2400</v>
      </c>
      <c r="Q881">
        <v>0.41699999999999998</v>
      </c>
      <c r="R881">
        <f t="shared" si="220"/>
        <v>-0.41478708002037457</v>
      </c>
    </row>
    <row r="882" spans="1:18" x14ac:dyDescent="0.25">
      <c r="A882">
        <v>711</v>
      </c>
      <c r="B882">
        <v>0</v>
      </c>
      <c r="C882">
        <v>4</v>
      </c>
      <c r="D882">
        <v>434</v>
      </c>
      <c r="E882">
        <v>476</v>
      </c>
      <c r="F882">
        <v>929</v>
      </c>
      <c r="G882" t="s">
        <v>5</v>
      </c>
      <c r="H882" s="1">
        <f t="shared" si="225"/>
        <v>36847.0208333337</v>
      </c>
      <c r="I882">
        <f t="shared" si="221"/>
        <v>0.4</v>
      </c>
      <c r="J882">
        <f t="shared" si="221"/>
        <v>0.69840000000000002</v>
      </c>
      <c r="K882">
        <f t="shared" si="222"/>
        <v>42.208799999999997</v>
      </c>
      <c r="L882">
        <f t="shared" si="223"/>
        <v>-3.2517084800000053</v>
      </c>
      <c r="M882">
        <f t="shared" si="224"/>
        <v>325.721</v>
      </c>
      <c r="O882">
        <v>322</v>
      </c>
      <c r="P882">
        <v>30</v>
      </c>
      <c r="Q882">
        <v>0.42199999999999999</v>
      </c>
      <c r="R882">
        <f t="shared" si="220"/>
        <v>-0.41948063451717965</v>
      </c>
    </row>
    <row r="883" spans="1:18" x14ac:dyDescent="0.25">
      <c r="A883">
        <v>711</v>
      </c>
      <c r="B883">
        <v>21</v>
      </c>
      <c r="C883">
        <v>36</v>
      </c>
      <c r="D883">
        <v>426</v>
      </c>
      <c r="E883">
        <v>478</v>
      </c>
      <c r="F883">
        <v>928</v>
      </c>
      <c r="G883" t="s">
        <v>5</v>
      </c>
      <c r="H883" s="1">
        <f t="shared" si="225"/>
        <v>36847.041666667035</v>
      </c>
      <c r="I883">
        <f t="shared" si="221"/>
        <v>1.9666000000000001</v>
      </c>
      <c r="J883">
        <f t="shared" si="221"/>
        <v>3.0855999999999999</v>
      </c>
      <c r="K883">
        <f t="shared" si="222"/>
        <v>41.391199999999998</v>
      </c>
      <c r="L883">
        <f t="shared" si="223"/>
        <v>-3.0715903200000039</v>
      </c>
      <c r="M883">
        <f t="shared" si="224"/>
        <v>325.37199999999996</v>
      </c>
      <c r="O883">
        <v>322</v>
      </c>
      <c r="P883">
        <v>100</v>
      </c>
      <c r="Q883">
        <v>0.42</v>
      </c>
      <c r="R883">
        <f t="shared" si="220"/>
        <v>-0.41763185942587322</v>
      </c>
    </row>
    <row r="884" spans="1:18" x14ac:dyDescent="0.25">
      <c r="A884">
        <v>711</v>
      </c>
      <c r="B884">
        <v>15</v>
      </c>
      <c r="C884">
        <v>28</v>
      </c>
      <c r="D884">
        <v>427</v>
      </c>
      <c r="E884">
        <v>476</v>
      </c>
      <c r="F884">
        <v>925</v>
      </c>
      <c r="G884" t="s">
        <v>5</v>
      </c>
      <c r="H884" s="1">
        <f t="shared" si="225"/>
        <v>36847.062500000371</v>
      </c>
      <c r="I884">
        <f t="shared" si="221"/>
        <v>1.5190000000000001</v>
      </c>
      <c r="J884">
        <f t="shared" si="221"/>
        <v>2.4887999999999999</v>
      </c>
      <c r="K884">
        <f t="shared" si="222"/>
        <v>41.493400000000001</v>
      </c>
      <c r="L884">
        <f t="shared" si="223"/>
        <v>-3.2517084800000053</v>
      </c>
      <c r="M884">
        <f t="shared" si="224"/>
        <v>324.32499999999999</v>
      </c>
      <c r="O884">
        <v>322</v>
      </c>
      <c r="P884">
        <v>130</v>
      </c>
      <c r="Q884">
        <v>0.42</v>
      </c>
      <c r="R884">
        <f t="shared" si="220"/>
        <v>-0.41749257463795131</v>
      </c>
    </row>
    <row r="885" spans="1:18" x14ac:dyDescent="0.25">
      <c r="A885">
        <v>711</v>
      </c>
      <c r="B885">
        <v>3</v>
      </c>
      <c r="C885">
        <v>12</v>
      </c>
      <c r="D885">
        <v>427</v>
      </c>
      <c r="E885">
        <v>474</v>
      </c>
      <c r="F885">
        <v>925</v>
      </c>
      <c r="G885" t="s">
        <v>5</v>
      </c>
      <c r="H885" s="1">
        <f t="shared" si="225"/>
        <v>36847.083333333707</v>
      </c>
      <c r="I885">
        <f t="shared" si="221"/>
        <v>0.62380000000000002</v>
      </c>
      <c r="J885">
        <f t="shared" si="221"/>
        <v>1.2951999999999999</v>
      </c>
      <c r="K885">
        <f t="shared" si="222"/>
        <v>41.493400000000001</v>
      </c>
      <c r="L885">
        <f t="shared" si="223"/>
        <v>-3.4317464799999997</v>
      </c>
      <c r="M885">
        <f t="shared" si="224"/>
        <v>324.32499999999999</v>
      </c>
      <c r="O885">
        <v>322</v>
      </c>
      <c r="P885">
        <v>200</v>
      </c>
      <c r="Q885">
        <v>0.42</v>
      </c>
      <c r="R885">
        <f t="shared" si="220"/>
        <v>-0.41735330538452325</v>
      </c>
    </row>
    <row r="886" spans="1:18" x14ac:dyDescent="0.25">
      <c r="A886">
        <v>711</v>
      </c>
      <c r="B886">
        <v>0</v>
      </c>
      <c r="C886">
        <v>4</v>
      </c>
      <c r="D886">
        <v>425</v>
      </c>
      <c r="E886">
        <v>472</v>
      </c>
      <c r="F886">
        <v>925</v>
      </c>
      <c r="G886" t="s">
        <v>5</v>
      </c>
      <c r="H886" s="1">
        <f t="shared" si="225"/>
        <v>36847.104166667043</v>
      </c>
      <c r="I886">
        <f t="shared" si="221"/>
        <v>0.4</v>
      </c>
      <c r="J886">
        <f t="shared" si="221"/>
        <v>0.69840000000000002</v>
      </c>
      <c r="K886">
        <f t="shared" si="222"/>
        <v>41.289000000000001</v>
      </c>
      <c r="L886">
        <f t="shared" si="223"/>
        <v>-3.6117043200000012</v>
      </c>
      <c r="M886">
        <f t="shared" si="224"/>
        <v>324.32499999999999</v>
      </c>
      <c r="O886">
        <v>322</v>
      </c>
      <c r="P886">
        <v>230</v>
      </c>
      <c r="Q886">
        <v>0.42</v>
      </c>
      <c r="R886">
        <f t="shared" si="220"/>
        <v>-0.41721405168114567</v>
      </c>
    </row>
    <row r="887" spans="1:18" x14ac:dyDescent="0.25">
      <c r="A887">
        <v>711</v>
      </c>
      <c r="B887">
        <v>9</v>
      </c>
      <c r="C887">
        <v>16</v>
      </c>
      <c r="D887">
        <v>424</v>
      </c>
      <c r="E887">
        <v>457</v>
      </c>
      <c r="F887">
        <v>917</v>
      </c>
      <c r="G887" t="s">
        <v>5</v>
      </c>
      <c r="H887" s="1">
        <f t="shared" si="225"/>
        <v>36847.125000000378</v>
      </c>
      <c r="I887">
        <f t="shared" ref="I887:I897" si="226">0.4+0.0746*B887</f>
        <v>1.0714000000000001</v>
      </c>
      <c r="J887">
        <f t="shared" ref="J887:J897" si="227">0.4+0.0746*C887</f>
        <v>1.5935999999999999</v>
      </c>
      <c r="K887">
        <f t="shared" ref="K887:K897" si="228">-2.146+0.1022*D887</f>
        <v>41.186799999999998</v>
      </c>
      <c r="L887">
        <f t="shared" ref="L887:L897" si="229">-43.84+0.0805*E887+0.00001002*E887^2</f>
        <v>-4.9588330200000037</v>
      </c>
      <c r="M887">
        <f t="shared" ref="M887:M897" si="230">1.5+0.349*F887</f>
        <v>321.53299999999996</v>
      </c>
      <c r="O887">
        <v>322</v>
      </c>
      <c r="P887">
        <v>300</v>
      </c>
      <c r="Q887">
        <v>0.42199999999999999</v>
      </c>
      <c r="R887">
        <f t="shared" si="220"/>
        <v>-0.41815190873963115</v>
      </c>
    </row>
    <row r="888" spans="1:18" x14ac:dyDescent="0.25">
      <c r="A888">
        <v>11</v>
      </c>
      <c r="B888">
        <v>11</v>
      </c>
      <c r="C888">
        <v>24</v>
      </c>
      <c r="D888">
        <v>736</v>
      </c>
      <c r="E888">
        <v>465</v>
      </c>
      <c r="F888">
        <v>920</v>
      </c>
      <c r="G888" t="s">
        <v>5</v>
      </c>
      <c r="H888" s="1">
        <f t="shared" si="225"/>
        <v>36847.145833333714</v>
      </c>
      <c r="I888">
        <f t="shared" si="226"/>
        <v>1.2206000000000001</v>
      </c>
      <c r="J888">
        <f t="shared" si="227"/>
        <v>2.1903999999999999</v>
      </c>
      <c r="K888">
        <f t="shared" si="228"/>
        <v>73.0732</v>
      </c>
      <c r="L888">
        <f t="shared" si="229"/>
        <v>-4.2409255000000057</v>
      </c>
      <c r="M888">
        <f t="shared" si="230"/>
        <v>322.58</v>
      </c>
      <c r="O888">
        <v>322</v>
      </c>
      <c r="P888">
        <v>330</v>
      </c>
      <c r="Q888">
        <v>0.42</v>
      </c>
      <c r="R888">
        <f t="shared" si="220"/>
        <v>-0.41672678640101668</v>
      </c>
    </row>
    <row r="889" spans="1:18" x14ac:dyDescent="0.25">
      <c r="A889">
        <v>11</v>
      </c>
      <c r="B889">
        <v>9</v>
      </c>
      <c r="C889">
        <v>16</v>
      </c>
      <c r="D889">
        <v>739</v>
      </c>
      <c r="E889">
        <v>465</v>
      </c>
      <c r="F889">
        <v>921</v>
      </c>
      <c r="G889" t="s">
        <v>5</v>
      </c>
      <c r="H889" s="1">
        <f t="shared" si="225"/>
        <v>36847.16666666705</v>
      </c>
      <c r="I889">
        <f t="shared" si="226"/>
        <v>1.0714000000000001</v>
      </c>
      <c r="J889">
        <f t="shared" si="227"/>
        <v>1.5935999999999999</v>
      </c>
      <c r="K889">
        <f t="shared" si="228"/>
        <v>73.379800000000003</v>
      </c>
      <c r="L889">
        <f t="shared" si="229"/>
        <v>-4.2409255000000057</v>
      </c>
      <c r="M889">
        <f t="shared" si="230"/>
        <v>322.92899999999997</v>
      </c>
      <c r="O889">
        <v>322</v>
      </c>
      <c r="P889">
        <v>400</v>
      </c>
      <c r="Q889">
        <v>0.42</v>
      </c>
      <c r="R889">
        <f t="shared" si="220"/>
        <v>-0.41672678640101668</v>
      </c>
    </row>
    <row r="890" spans="1:18" x14ac:dyDescent="0.25">
      <c r="A890">
        <v>11</v>
      </c>
      <c r="B890">
        <v>5</v>
      </c>
      <c r="C890">
        <v>20</v>
      </c>
      <c r="D890">
        <v>725</v>
      </c>
      <c r="E890">
        <v>469</v>
      </c>
      <c r="F890">
        <v>921</v>
      </c>
      <c r="G890" t="s">
        <v>5</v>
      </c>
      <c r="H890" s="1">
        <f t="shared" si="225"/>
        <v>36847.187500000386</v>
      </c>
      <c r="I890">
        <f t="shared" si="226"/>
        <v>0.77300000000000002</v>
      </c>
      <c r="J890">
        <f t="shared" si="227"/>
        <v>1.8919999999999999</v>
      </c>
      <c r="K890">
        <f t="shared" si="228"/>
        <v>71.948999999999998</v>
      </c>
      <c r="L890">
        <f t="shared" si="229"/>
        <v>-3.8814907800000031</v>
      </c>
      <c r="M890">
        <f t="shared" si="230"/>
        <v>322.92899999999997</v>
      </c>
      <c r="O890">
        <v>322</v>
      </c>
      <c r="P890">
        <v>430</v>
      </c>
      <c r="Q890">
        <v>0.42</v>
      </c>
      <c r="R890">
        <f t="shared" si="220"/>
        <v>-0.41700520031650079</v>
      </c>
    </row>
    <row r="891" spans="1:18" x14ac:dyDescent="0.25">
      <c r="A891">
        <v>11</v>
      </c>
      <c r="B891">
        <v>4</v>
      </c>
      <c r="C891">
        <v>12</v>
      </c>
      <c r="D891">
        <v>725</v>
      </c>
      <c r="E891">
        <v>464</v>
      </c>
      <c r="F891">
        <v>921</v>
      </c>
      <c r="G891" t="s">
        <v>5</v>
      </c>
      <c r="H891" s="1">
        <f t="shared" si="225"/>
        <v>36847.208333333721</v>
      </c>
      <c r="I891">
        <f t="shared" si="226"/>
        <v>0.69840000000000002</v>
      </c>
      <c r="J891">
        <f t="shared" si="227"/>
        <v>1.2951999999999999</v>
      </c>
      <c r="K891">
        <f t="shared" si="228"/>
        <v>71.948999999999998</v>
      </c>
      <c r="L891">
        <f t="shared" si="229"/>
        <v>-4.3307340799999992</v>
      </c>
      <c r="M891">
        <f t="shared" si="230"/>
        <v>322.92899999999997</v>
      </c>
      <c r="O891">
        <v>322</v>
      </c>
      <c r="P891">
        <v>500</v>
      </c>
      <c r="Q891">
        <v>0.42</v>
      </c>
      <c r="R891">
        <f t="shared" si="220"/>
        <v>-0.41665719267993861</v>
      </c>
    </row>
    <row r="892" spans="1:18" x14ac:dyDescent="0.25">
      <c r="A892">
        <v>11</v>
      </c>
      <c r="B892">
        <v>3</v>
      </c>
      <c r="C892">
        <v>16</v>
      </c>
      <c r="D892">
        <v>725</v>
      </c>
      <c r="E892">
        <v>462</v>
      </c>
      <c r="F892">
        <v>917</v>
      </c>
      <c r="G892" t="s">
        <v>5</v>
      </c>
      <c r="H892" s="1">
        <f t="shared" si="225"/>
        <v>36847.229166667057</v>
      </c>
      <c r="I892">
        <f t="shared" si="226"/>
        <v>0.62380000000000002</v>
      </c>
      <c r="J892">
        <f t="shared" si="227"/>
        <v>1.5935999999999999</v>
      </c>
      <c r="K892">
        <f t="shared" si="228"/>
        <v>71.948999999999998</v>
      </c>
      <c r="L892">
        <f t="shared" si="229"/>
        <v>-4.5102911200000007</v>
      </c>
      <c r="M892">
        <f t="shared" si="230"/>
        <v>321.53299999999996</v>
      </c>
      <c r="O892">
        <v>322</v>
      </c>
      <c r="P892">
        <v>530</v>
      </c>
      <c r="Q892">
        <v>0.42</v>
      </c>
      <c r="R892">
        <f t="shared" si="220"/>
        <v>-0.41651801696082952</v>
      </c>
    </row>
    <row r="893" spans="1:18" x14ac:dyDescent="0.25">
      <c r="A893">
        <v>11</v>
      </c>
      <c r="B893">
        <v>11</v>
      </c>
      <c r="C893">
        <v>16</v>
      </c>
      <c r="D893">
        <v>725</v>
      </c>
      <c r="E893">
        <v>462</v>
      </c>
      <c r="F893">
        <v>917</v>
      </c>
      <c r="G893" t="s">
        <v>5</v>
      </c>
      <c r="H893" s="1">
        <f t="shared" si="225"/>
        <v>36847.250000000393</v>
      </c>
      <c r="I893">
        <f t="shared" si="226"/>
        <v>1.2206000000000001</v>
      </c>
      <c r="J893">
        <f t="shared" si="227"/>
        <v>1.5935999999999999</v>
      </c>
      <c r="K893">
        <f t="shared" si="228"/>
        <v>71.948999999999998</v>
      </c>
      <c r="L893">
        <f t="shared" si="229"/>
        <v>-4.5102911200000007</v>
      </c>
      <c r="M893">
        <f t="shared" si="230"/>
        <v>321.53299999999996</v>
      </c>
      <c r="O893">
        <v>322</v>
      </c>
      <c r="P893">
        <v>600</v>
      </c>
      <c r="Q893">
        <v>0.42</v>
      </c>
      <c r="R893">
        <f t="shared" si="220"/>
        <v>-0.41651801696082952</v>
      </c>
    </row>
    <row r="894" spans="1:18" x14ac:dyDescent="0.25">
      <c r="A894">
        <v>11</v>
      </c>
      <c r="B894">
        <v>10</v>
      </c>
      <c r="C894">
        <v>20</v>
      </c>
      <c r="D894">
        <v>725</v>
      </c>
      <c r="E894">
        <v>464</v>
      </c>
      <c r="F894">
        <v>917</v>
      </c>
      <c r="G894" t="s">
        <v>5</v>
      </c>
      <c r="H894" s="1">
        <f t="shared" si="225"/>
        <v>36847.270833333729</v>
      </c>
      <c r="I894">
        <f t="shared" si="226"/>
        <v>1.1459999999999999</v>
      </c>
      <c r="J894">
        <f t="shared" si="227"/>
        <v>1.8919999999999999</v>
      </c>
      <c r="K894">
        <f t="shared" si="228"/>
        <v>71.948999999999998</v>
      </c>
      <c r="L894">
        <f t="shared" si="229"/>
        <v>-4.3307340799999992</v>
      </c>
      <c r="M894">
        <f t="shared" si="230"/>
        <v>321.53299999999996</v>
      </c>
      <c r="O894">
        <v>322</v>
      </c>
      <c r="P894">
        <v>630</v>
      </c>
      <c r="Q894">
        <v>0.42</v>
      </c>
      <c r="R894">
        <f t="shared" si="220"/>
        <v>-0.41665719267993861</v>
      </c>
    </row>
    <row r="895" spans="1:18" x14ac:dyDescent="0.25">
      <c r="A895">
        <v>11</v>
      </c>
      <c r="B895">
        <v>17</v>
      </c>
      <c r="C895">
        <v>28</v>
      </c>
      <c r="D895">
        <v>498</v>
      </c>
      <c r="E895">
        <v>466</v>
      </c>
      <c r="F895">
        <v>917</v>
      </c>
      <c r="G895" t="s">
        <v>5</v>
      </c>
      <c r="H895" s="1">
        <f t="shared" si="225"/>
        <v>36847.291666667064</v>
      </c>
      <c r="I895">
        <f t="shared" si="226"/>
        <v>1.6682000000000001</v>
      </c>
      <c r="J895">
        <f t="shared" si="227"/>
        <v>2.4887999999999999</v>
      </c>
      <c r="K895">
        <f t="shared" si="228"/>
        <v>48.749600000000001</v>
      </c>
      <c r="L895">
        <f t="shared" si="229"/>
        <v>-4.1510968800000052</v>
      </c>
      <c r="M895">
        <f t="shared" si="230"/>
        <v>321.53299999999996</v>
      </c>
      <c r="O895">
        <v>322</v>
      </c>
      <c r="P895">
        <v>700</v>
      </c>
      <c r="Q895">
        <v>0.42</v>
      </c>
      <c r="R895">
        <f t="shared" si="220"/>
        <v>-0.41679638402716729</v>
      </c>
    </row>
    <row r="896" spans="1:18" x14ac:dyDescent="0.25">
      <c r="A896">
        <v>11</v>
      </c>
      <c r="B896">
        <v>28</v>
      </c>
      <c r="C896">
        <v>40</v>
      </c>
      <c r="D896">
        <v>547</v>
      </c>
      <c r="E896">
        <v>470</v>
      </c>
      <c r="F896">
        <v>921</v>
      </c>
      <c r="G896" t="s">
        <v>5</v>
      </c>
      <c r="H896" s="1">
        <f t="shared" si="225"/>
        <v>36847.3125000004</v>
      </c>
      <c r="I896">
        <f t="shared" si="226"/>
        <v>2.4887999999999999</v>
      </c>
      <c r="J896">
        <f t="shared" si="227"/>
        <v>3.3839999999999999</v>
      </c>
      <c r="K896">
        <f t="shared" si="228"/>
        <v>53.757399999999997</v>
      </c>
      <c r="L896">
        <f t="shared" si="229"/>
        <v>-3.7915820000000022</v>
      </c>
      <c r="M896">
        <f t="shared" si="230"/>
        <v>322.92899999999997</v>
      </c>
      <c r="O896">
        <v>322</v>
      </c>
      <c r="P896">
        <v>730</v>
      </c>
      <c r="Q896">
        <v>0.42</v>
      </c>
      <c r="R896">
        <f t="shared" si="220"/>
        <v>-0.4170748135433941</v>
      </c>
    </row>
    <row r="897" spans="1:18" x14ac:dyDescent="0.25">
      <c r="A897">
        <v>11</v>
      </c>
      <c r="B897">
        <v>27</v>
      </c>
      <c r="C897">
        <v>40</v>
      </c>
      <c r="D897">
        <v>551</v>
      </c>
      <c r="E897">
        <v>476</v>
      </c>
      <c r="F897">
        <v>921</v>
      </c>
      <c r="G897" t="s">
        <v>5</v>
      </c>
      <c r="H897" s="1">
        <f t="shared" si="225"/>
        <v>36847.333333333736</v>
      </c>
      <c r="I897">
        <f t="shared" si="226"/>
        <v>2.4141999999999997</v>
      </c>
      <c r="J897">
        <f t="shared" si="227"/>
        <v>3.3839999999999999</v>
      </c>
      <c r="K897">
        <f t="shared" si="228"/>
        <v>54.166199999999996</v>
      </c>
      <c r="L897">
        <f t="shared" si="229"/>
        <v>-3.2517084800000053</v>
      </c>
      <c r="M897">
        <f t="shared" si="230"/>
        <v>322.92899999999997</v>
      </c>
      <c r="O897">
        <v>322</v>
      </c>
      <c r="P897">
        <v>800</v>
      </c>
      <c r="Q897">
        <v>0.42</v>
      </c>
      <c r="R897">
        <f t="shared" si="220"/>
        <v>-0.41749257463795131</v>
      </c>
    </row>
    <row r="898" spans="1:18" x14ac:dyDescent="0.25">
      <c r="A898">
        <v>11</v>
      </c>
      <c r="B898">
        <v>19</v>
      </c>
      <c r="C898">
        <v>28</v>
      </c>
      <c r="D898">
        <v>535</v>
      </c>
      <c r="E898">
        <v>480</v>
      </c>
      <c r="F898">
        <v>924</v>
      </c>
      <c r="G898" t="s">
        <v>5</v>
      </c>
      <c r="H898" s="1">
        <f t="shared" si="225"/>
        <v>36847.354166667072</v>
      </c>
      <c r="I898">
        <f t="shared" ref="I898:I921" si="231">0.4+0.0746*B898</f>
        <v>1.8174000000000001</v>
      </c>
      <c r="J898">
        <f t="shared" ref="J898:J921" si="232">0.4+0.0746*C898</f>
        <v>2.4887999999999999</v>
      </c>
      <c r="K898">
        <f t="shared" ref="K898:K921" si="233">-2.146+0.1022*D898</f>
        <v>52.530999999999999</v>
      </c>
      <c r="L898">
        <f t="shared" ref="L898:L921" si="234">-43.84+0.0805*E898+0.00001002*E898^2</f>
        <v>-2.8913920000000028</v>
      </c>
      <c r="M898">
        <f t="shared" ref="M898:M921" si="235">1.5+0.349*F898</f>
        <v>323.976</v>
      </c>
      <c r="O898">
        <v>322</v>
      </c>
      <c r="P898">
        <v>830</v>
      </c>
      <c r="Q898">
        <v>0.41699999999999998</v>
      </c>
      <c r="R898">
        <f t="shared" si="220"/>
        <v>-0.41478708002037457</v>
      </c>
    </row>
    <row r="899" spans="1:18" x14ac:dyDescent="0.25">
      <c r="A899">
        <v>11</v>
      </c>
      <c r="B899">
        <v>13</v>
      </c>
      <c r="C899">
        <v>24</v>
      </c>
      <c r="D899">
        <v>621</v>
      </c>
      <c r="E899">
        <v>490</v>
      </c>
      <c r="F899">
        <v>925</v>
      </c>
      <c r="G899" t="s">
        <v>5</v>
      </c>
      <c r="H899" s="1">
        <f t="shared" si="225"/>
        <v>36847.375000000407</v>
      </c>
      <c r="I899">
        <f t="shared" si="231"/>
        <v>1.3698000000000001</v>
      </c>
      <c r="J899">
        <f t="shared" si="232"/>
        <v>2.1903999999999999</v>
      </c>
      <c r="K899">
        <f t="shared" si="233"/>
        <v>61.3202</v>
      </c>
      <c r="L899">
        <f t="shared" si="234"/>
        <v>-1.9891980000000031</v>
      </c>
      <c r="M899">
        <f t="shared" si="235"/>
        <v>324.32499999999999</v>
      </c>
      <c r="O899">
        <v>322</v>
      </c>
      <c r="P899">
        <v>900</v>
      </c>
      <c r="Q899">
        <v>0.41699999999999998</v>
      </c>
      <c r="R899">
        <f t="shared" si="220"/>
        <v>-0.41547883712679112</v>
      </c>
    </row>
    <row r="900" spans="1:18" x14ac:dyDescent="0.25">
      <c r="A900">
        <v>11</v>
      </c>
      <c r="B900">
        <v>3</v>
      </c>
      <c r="C900">
        <v>16</v>
      </c>
      <c r="D900">
        <v>911</v>
      </c>
      <c r="E900">
        <v>497</v>
      </c>
      <c r="F900">
        <v>929</v>
      </c>
      <c r="G900" t="s">
        <v>5</v>
      </c>
      <c r="H900" s="1">
        <f t="shared" si="225"/>
        <v>36847.395833333743</v>
      </c>
      <c r="I900">
        <f t="shared" si="231"/>
        <v>0.62380000000000002</v>
      </c>
      <c r="J900">
        <f t="shared" si="232"/>
        <v>1.5935999999999999</v>
      </c>
      <c r="K900">
        <f t="shared" si="233"/>
        <v>90.958200000000005</v>
      </c>
      <c r="L900">
        <f t="shared" si="234"/>
        <v>-1.3564698200000054</v>
      </c>
      <c r="M900">
        <f t="shared" si="235"/>
        <v>325.721</v>
      </c>
      <c r="O900">
        <v>322</v>
      </c>
      <c r="P900">
        <v>930</v>
      </c>
      <c r="Q900">
        <v>0.41699999999999998</v>
      </c>
      <c r="R900">
        <f t="shared" si="220"/>
        <v>-0.41596329504018098</v>
      </c>
    </row>
    <row r="901" spans="1:18" x14ac:dyDescent="0.25">
      <c r="A901">
        <v>11</v>
      </c>
      <c r="B901">
        <v>11</v>
      </c>
      <c r="C901">
        <v>16</v>
      </c>
      <c r="D901">
        <v>911</v>
      </c>
      <c r="E901">
        <v>495</v>
      </c>
      <c r="F901">
        <v>929</v>
      </c>
      <c r="G901" t="s">
        <v>5</v>
      </c>
      <c r="H901" s="1">
        <f t="shared" si="225"/>
        <v>36847.416666667079</v>
      </c>
      <c r="I901">
        <f t="shared" si="231"/>
        <v>1.2206000000000001</v>
      </c>
      <c r="J901">
        <f t="shared" si="232"/>
        <v>1.5935999999999999</v>
      </c>
      <c r="K901">
        <f t="shared" si="233"/>
        <v>90.958200000000005</v>
      </c>
      <c r="L901">
        <f t="shared" si="234"/>
        <v>-1.5373494999999995</v>
      </c>
      <c r="M901">
        <f t="shared" si="235"/>
        <v>325.721</v>
      </c>
      <c r="O901">
        <v>322</v>
      </c>
      <c r="P901">
        <v>1000</v>
      </c>
      <c r="Q901">
        <v>0.41699999999999998</v>
      </c>
      <c r="R901">
        <f t="shared" si="220"/>
        <v>-0.41582485938678104</v>
      </c>
    </row>
    <row r="902" spans="1:18" x14ac:dyDescent="0.25">
      <c r="A902">
        <v>11</v>
      </c>
      <c r="B902">
        <v>18</v>
      </c>
      <c r="C902">
        <v>24</v>
      </c>
      <c r="D902">
        <v>942</v>
      </c>
      <c r="E902">
        <v>489</v>
      </c>
      <c r="F902">
        <v>925</v>
      </c>
      <c r="G902" t="s">
        <v>5</v>
      </c>
      <c r="H902" s="1">
        <f t="shared" si="225"/>
        <v>36847.437500000415</v>
      </c>
      <c r="I902">
        <f t="shared" si="231"/>
        <v>1.7427999999999999</v>
      </c>
      <c r="J902">
        <f t="shared" si="232"/>
        <v>2.1903999999999999</v>
      </c>
      <c r="K902">
        <f t="shared" si="233"/>
        <v>94.126400000000004</v>
      </c>
      <c r="L902">
        <f t="shared" si="234"/>
        <v>-2.0795075800000036</v>
      </c>
      <c r="M902">
        <f t="shared" si="235"/>
        <v>324.32499999999999</v>
      </c>
      <c r="O902">
        <v>322</v>
      </c>
      <c r="P902">
        <v>1030</v>
      </c>
      <c r="Q902">
        <v>0.42499999999999999</v>
      </c>
      <c r="R902">
        <f t="shared" si="220"/>
        <v>-0.4233791337302002</v>
      </c>
    </row>
    <row r="903" spans="1:18" x14ac:dyDescent="0.25">
      <c r="A903">
        <v>1</v>
      </c>
      <c r="B903">
        <v>21</v>
      </c>
      <c r="C903">
        <v>28</v>
      </c>
      <c r="D903">
        <v>920</v>
      </c>
      <c r="E903">
        <v>492</v>
      </c>
      <c r="F903">
        <v>924</v>
      </c>
      <c r="G903" t="s">
        <v>5</v>
      </c>
      <c r="H903" s="1">
        <f t="shared" si="225"/>
        <v>36847.45833333375</v>
      </c>
      <c r="I903">
        <f t="shared" si="231"/>
        <v>1.9666000000000001</v>
      </c>
      <c r="J903">
        <f t="shared" si="232"/>
        <v>2.4887999999999999</v>
      </c>
      <c r="K903">
        <f t="shared" si="233"/>
        <v>91.878</v>
      </c>
      <c r="L903">
        <f t="shared" si="234"/>
        <v>-1.8085187200000017</v>
      </c>
      <c r="M903">
        <f t="shared" si="235"/>
        <v>323.976</v>
      </c>
      <c r="O903">
        <v>322</v>
      </c>
      <c r="P903">
        <v>1100</v>
      </c>
      <c r="Q903">
        <v>0.41699999999999998</v>
      </c>
      <c r="R903">
        <f t="shared" ref="R903:R966" si="236">-SQRT((L903+273.15)/273.15)*Q903</f>
        <v>-0.41561723455721195</v>
      </c>
    </row>
    <row r="904" spans="1:18" x14ac:dyDescent="0.25">
      <c r="A904">
        <v>1</v>
      </c>
      <c r="B904">
        <v>13</v>
      </c>
      <c r="C904">
        <v>24</v>
      </c>
      <c r="D904">
        <v>999</v>
      </c>
      <c r="E904">
        <v>502</v>
      </c>
      <c r="F904">
        <v>925</v>
      </c>
      <c r="G904" t="s">
        <v>5</v>
      </c>
      <c r="H904" s="1">
        <f t="shared" si="225"/>
        <v>36847.479166667086</v>
      </c>
      <c r="I904">
        <f t="shared" si="231"/>
        <v>1.3698000000000001</v>
      </c>
      <c r="J904">
        <f t="shared" si="232"/>
        <v>2.1903999999999999</v>
      </c>
      <c r="K904">
        <f t="shared" si="233"/>
        <v>99.951799999999992</v>
      </c>
      <c r="L904">
        <f t="shared" si="234"/>
        <v>-0.9039199200000021</v>
      </c>
      <c r="M904">
        <f t="shared" si="235"/>
        <v>324.32499999999999</v>
      </c>
      <c r="O904">
        <v>322</v>
      </c>
      <c r="P904">
        <v>1130</v>
      </c>
      <c r="Q904">
        <v>0.41699999999999998</v>
      </c>
      <c r="R904">
        <f t="shared" si="236"/>
        <v>-0.41630945091376587</v>
      </c>
    </row>
    <row r="905" spans="1:18" x14ac:dyDescent="0.25">
      <c r="A905">
        <v>1</v>
      </c>
      <c r="B905">
        <v>15</v>
      </c>
      <c r="C905">
        <v>28</v>
      </c>
      <c r="D905">
        <v>184</v>
      </c>
      <c r="E905">
        <v>509</v>
      </c>
      <c r="F905">
        <v>932</v>
      </c>
      <c r="G905" t="s">
        <v>5</v>
      </c>
      <c r="H905" s="1">
        <f t="shared" si="225"/>
        <v>36847.500000000422</v>
      </c>
      <c r="I905">
        <f t="shared" si="231"/>
        <v>1.5190000000000001</v>
      </c>
      <c r="J905">
        <f t="shared" si="232"/>
        <v>2.4887999999999999</v>
      </c>
      <c r="K905">
        <f t="shared" si="233"/>
        <v>16.658799999999999</v>
      </c>
      <c r="L905">
        <f t="shared" si="234"/>
        <v>-0.26950838000000443</v>
      </c>
      <c r="M905">
        <f t="shared" si="235"/>
        <v>326.76799999999997</v>
      </c>
      <c r="O905">
        <v>322</v>
      </c>
      <c r="P905">
        <v>1200</v>
      </c>
      <c r="Q905">
        <v>0.41699999999999998</v>
      </c>
      <c r="R905">
        <f t="shared" si="236"/>
        <v>-0.4167942289404804</v>
      </c>
    </row>
    <row r="906" spans="1:18" x14ac:dyDescent="0.25">
      <c r="A906">
        <v>1</v>
      </c>
      <c r="B906">
        <v>11</v>
      </c>
      <c r="C906">
        <v>20</v>
      </c>
      <c r="D906">
        <v>26</v>
      </c>
      <c r="E906">
        <v>512</v>
      </c>
      <c r="F906">
        <v>933</v>
      </c>
      <c r="G906" t="s">
        <v>5</v>
      </c>
      <c r="H906" s="1">
        <f t="shared" si="225"/>
        <v>36847.520833333758</v>
      </c>
      <c r="I906">
        <f t="shared" si="231"/>
        <v>1.2206000000000001</v>
      </c>
      <c r="J906">
        <f t="shared" si="232"/>
        <v>1.8919999999999999</v>
      </c>
      <c r="K906">
        <f t="shared" si="233"/>
        <v>0.5112000000000001</v>
      </c>
      <c r="L906">
        <f t="shared" si="234"/>
        <v>2.6828799999978337E-3</v>
      </c>
      <c r="M906">
        <f t="shared" si="235"/>
        <v>327.11699999999996</v>
      </c>
      <c r="O906">
        <v>322</v>
      </c>
      <c r="P906">
        <v>1230</v>
      </c>
      <c r="Q906">
        <v>0.42199999999999999</v>
      </c>
      <c r="R906">
        <f t="shared" si="236"/>
        <v>-0.42200207243745191</v>
      </c>
    </row>
    <row r="907" spans="1:18" x14ac:dyDescent="0.25">
      <c r="A907">
        <v>1</v>
      </c>
      <c r="B907">
        <v>12</v>
      </c>
      <c r="C907">
        <v>24</v>
      </c>
      <c r="D907">
        <v>1023</v>
      </c>
      <c r="E907">
        <v>513</v>
      </c>
      <c r="F907">
        <v>929</v>
      </c>
      <c r="G907" t="s">
        <v>5</v>
      </c>
      <c r="H907" s="1">
        <f t="shared" si="225"/>
        <v>36847.541666667094</v>
      </c>
      <c r="I907">
        <f t="shared" si="231"/>
        <v>1.2951999999999999</v>
      </c>
      <c r="J907">
        <f t="shared" si="232"/>
        <v>2.1903999999999999</v>
      </c>
      <c r="K907">
        <f t="shared" si="233"/>
        <v>102.4046</v>
      </c>
      <c r="L907">
        <f t="shared" si="234"/>
        <v>9.3453379999998365E-2</v>
      </c>
      <c r="M907">
        <f t="shared" si="235"/>
        <v>325.721</v>
      </c>
      <c r="O907">
        <v>322</v>
      </c>
      <c r="P907">
        <v>1300</v>
      </c>
      <c r="Q907">
        <v>0.41699999999999998</v>
      </c>
      <c r="R907">
        <f t="shared" si="236"/>
        <v>-0.4170713284400569</v>
      </c>
    </row>
    <row r="908" spans="1:18" x14ac:dyDescent="0.25">
      <c r="A908">
        <v>711</v>
      </c>
      <c r="B908">
        <v>6</v>
      </c>
      <c r="C908">
        <v>20</v>
      </c>
      <c r="D908">
        <v>121</v>
      </c>
      <c r="E908">
        <v>513</v>
      </c>
      <c r="F908">
        <v>917</v>
      </c>
      <c r="G908" t="s">
        <v>5</v>
      </c>
      <c r="H908" s="1">
        <f t="shared" si="225"/>
        <v>36847.562500000429</v>
      </c>
      <c r="I908">
        <f t="shared" si="231"/>
        <v>0.84760000000000002</v>
      </c>
      <c r="J908">
        <f t="shared" si="232"/>
        <v>1.8919999999999999</v>
      </c>
      <c r="K908">
        <f t="shared" si="233"/>
        <v>10.220199999999998</v>
      </c>
      <c r="L908">
        <f t="shared" si="234"/>
        <v>9.3453379999998365E-2</v>
      </c>
      <c r="M908">
        <f t="shared" si="235"/>
        <v>321.53299999999996</v>
      </c>
      <c r="O908">
        <v>322</v>
      </c>
      <c r="P908">
        <v>1330</v>
      </c>
      <c r="Q908">
        <v>0.42</v>
      </c>
      <c r="R908">
        <f t="shared" si="236"/>
        <v>-0.42007184159430194</v>
      </c>
    </row>
    <row r="909" spans="1:18" x14ac:dyDescent="0.25">
      <c r="A909">
        <v>7</v>
      </c>
      <c r="B909">
        <v>8</v>
      </c>
      <c r="C909">
        <v>32</v>
      </c>
      <c r="D909">
        <v>283</v>
      </c>
      <c r="E909">
        <v>510</v>
      </c>
      <c r="F909">
        <v>889</v>
      </c>
      <c r="G909" t="s">
        <v>5</v>
      </c>
      <c r="H909" s="1">
        <f t="shared" si="225"/>
        <v>36847.583333333765</v>
      </c>
      <c r="I909">
        <f t="shared" si="231"/>
        <v>0.99680000000000002</v>
      </c>
      <c r="J909">
        <f t="shared" si="232"/>
        <v>2.7871999999999999</v>
      </c>
      <c r="K909">
        <f t="shared" si="233"/>
        <v>26.776599999999998</v>
      </c>
      <c r="L909">
        <f t="shared" si="234"/>
        <v>-0.17879800000000357</v>
      </c>
      <c r="M909">
        <f t="shared" si="235"/>
        <v>311.76099999999997</v>
      </c>
      <c r="O909">
        <v>322</v>
      </c>
      <c r="P909">
        <v>1400</v>
      </c>
      <c r="Q909">
        <v>0.41199999999999998</v>
      </c>
      <c r="R909">
        <f t="shared" si="236"/>
        <v>-0.41186513484388831</v>
      </c>
    </row>
    <row r="910" spans="1:18" x14ac:dyDescent="0.25">
      <c r="A910">
        <v>7</v>
      </c>
      <c r="B910">
        <v>25</v>
      </c>
      <c r="C910">
        <v>36</v>
      </c>
      <c r="D910">
        <v>237</v>
      </c>
      <c r="E910">
        <v>493</v>
      </c>
      <c r="F910">
        <v>900</v>
      </c>
      <c r="G910" t="s">
        <v>5</v>
      </c>
      <c r="H910" s="1">
        <f t="shared" si="225"/>
        <v>36847.604166667101</v>
      </c>
      <c r="I910">
        <f t="shared" si="231"/>
        <v>2.2650000000000001</v>
      </c>
      <c r="J910">
        <f t="shared" si="232"/>
        <v>3.0855999999999999</v>
      </c>
      <c r="K910">
        <f t="shared" si="233"/>
        <v>22.075399999999998</v>
      </c>
      <c r="L910">
        <f t="shared" si="234"/>
        <v>-1.7181490200000011</v>
      </c>
      <c r="M910">
        <f t="shared" si="235"/>
        <v>315.59999999999997</v>
      </c>
      <c r="O910">
        <v>322</v>
      </c>
      <c r="P910">
        <v>1430</v>
      </c>
      <c r="Q910">
        <v>0.41199999999999998</v>
      </c>
      <c r="R910">
        <f t="shared" si="236"/>
        <v>-0.4107021891428812</v>
      </c>
    </row>
    <row r="911" spans="1:18" x14ac:dyDescent="0.25">
      <c r="A911">
        <v>7</v>
      </c>
      <c r="B911">
        <v>24</v>
      </c>
      <c r="C911">
        <v>40</v>
      </c>
      <c r="D911">
        <v>371</v>
      </c>
      <c r="E911">
        <v>488</v>
      </c>
      <c r="F911">
        <v>913</v>
      </c>
      <c r="G911" t="s">
        <v>5</v>
      </c>
      <c r="H911" s="1">
        <f t="shared" si="225"/>
        <v>36847.625000000437</v>
      </c>
      <c r="I911">
        <f t="shared" si="231"/>
        <v>2.1903999999999999</v>
      </c>
      <c r="J911">
        <f t="shared" si="232"/>
        <v>3.3839999999999999</v>
      </c>
      <c r="K911">
        <f t="shared" si="233"/>
        <v>35.770199999999996</v>
      </c>
      <c r="L911">
        <f t="shared" si="234"/>
        <v>-2.1697971200000041</v>
      </c>
      <c r="M911">
        <f t="shared" si="235"/>
        <v>320.137</v>
      </c>
      <c r="O911">
        <v>322</v>
      </c>
      <c r="P911">
        <v>1500</v>
      </c>
      <c r="Q911">
        <v>0.41199999999999998</v>
      </c>
      <c r="R911">
        <f t="shared" si="236"/>
        <v>-0.41036035363326778</v>
      </c>
    </row>
    <row r="912" spans="1:18" x14ac:dyDescent="0.25">
      <c r="A912">
        <v>7</v>
      </c>
      <c r="B912">
        <v>20</v>
      </c>
      <c r="C912">
        <v>32</v>
      </c>
      <c r="D912">
        <v>427</v>
      </c>
      <c r="E912">
        <v>490</v>
      </c>
      <c r="F912">
        <v>909</v>
      </c>
      <c r="G912" t="s">
        <v>5</v>
      </c>
      <c r="H912" s="1">
        <f t="shared" si="225"/>
        <v>36847.645833333772</v>
      </c>
      <c r="I912">
        <f t="shared" si="231"/>
        <v>1.8919999999999999</v>
      </c>
      <c r="J912">
        <f t="shared" si="232"/>
        <v>2.7871999999999999</v>
      </c>
      <c r="K912">
        <f t="shared" si="233"/>
        <v>41.493400000000001</v>
      </c>
      <c r="L912">
        <f t="shared" si="234"/>
        <v>-1.9891980000000031</v>
      </c>
      <c r="M912">
        <f t="shared" si="235"/>
        <v>318.74099999999999</v>
      </c>
      <c r="O912">
        <v>322</v>
      </c>
      <c r="P912">
        <v>1530</v>
      </c>
      <c r="Q912">
        <v>0.41</v>
      </c>
      <c r="R912">
        <f t="shared" si="236"/>
        <v>-0.40850437223497449</v>
      </c>
    </row>
    <row r="913" spans="1:18" x14ac:dyDescent="0.25">
      <c r="A913">
        <v>7</v>
      </c>
      <c r="B913">
        <v>12</v>
      </c>
      <c r="C913">
        <v>24</v>
      </c>
      <c r="D913">
        <v>187</v>
      </c>
      <c r="E913">
        <v>500</v>
      </c>
      <c r="F913">
        <v>901</v>
      </c>
      <c r="G913" t="s">
        <v>5</v>
      </c>
      <c r="H913" s="1">
        <f t="shared" si="225"/>
        <v>36847.666666667108</v>
      </c>
      <c r="I913">
        <f t="shared" si="231"/>
        <v>1.2951999999999999</v>
      </c>
      <c r="J913">
        <f t="shared" si="232"/>
        <v>2.1903999999999999</v>
      </c>
      <c r="K913">
        <f t="shared" si="233"/>
        <v>16.965399999999999</v>
      </c>
      <c r="L913">
        <f t="shared" si="234"/>
        <v>-1.0850000000000031</v>
      </c>
      <c r="M913">
        <f t="shared" si="235"/>
        <v>315.94899999999996</v>
      </c>
      <c r="O913">
        <v>322</v>
      </c>
      <c r="P913">
        <v>1600</v>
      </c>
      <c r="Q913">
        <v>0.40699999999999997</v>
      </c>
      <c r="R913">
        <f t="shared" si="236"/>
        <v>-0.40619085777699027</v>
      </c>
    </row>
    <row r="914" spans="1:18" x14ac:dyDescent="0.25">
      <c r="A914">
        <v>7</v>
      </c>
      <c r="B914">
        <v>11</v>
      </c>
      <c r="C914">
        <v>24</v>
      </c>
      <c r="D914">
        <v>221</v>
      </c>
      <c r="E914">
        <v>496</v>
      </c>
      <c r="F914">
        <v>897</v>
      </c>
      <c r="G914" t="s">
        <v>5</v>
      </c>
      <c r="H914" s="1">
        <f t="shared" si="225"/>
        <v>36847.687500000444</v>
      </c>
      <c r="I914">
        <f t="shared" si="231"/>
        <v>1.2206000000000001</v>
      </c>
      <c r="J914">
        <f t="shared" si="232"/>
        <v>2.1903999999999999</v>
      </c>
      <c r="K914">
        <f t="shared" si="233"/>
        <v>20.440199999999997</v>
      </c>
      <c r="L914">
        <f t="shared" si="234"/>
        <v>-1.4469196799999988</v>
      </c>
      <c r="M914">
        <f t="shared" si="235"/>
        <v>314.553</v>
      </c>
      <c r="O914">
        <v>322</v>
      </c>
      <c r="P914">
        <v>1630</v>
      </c>
      <c r="Q914">
        <v>0.40500000000000003</v>
      </c>
      <c r="R914">
        <f t="shared" si="236"/>
        <v>-0.40392590047580446</v>
      </c>
    </row>
    <row r="915" spans="1:18" x14ac:dyDescent="0.25">
      <c r="A915">
        <v>7</v>
      </c>
      <c r="B915">
        <v>13</v>
      </c>
      <c r="C915">
        <v>24</v>
      </c>
      <c r="D915">
        <v>226</v>
      </c>
      <c r="E915">
        <v>495</v>
      </c>
      <c r="F915">
        <v>897</v>
      </c>
      <c r="G915" t="s">
        <v>5</v>
      </c>
      <c r="H915" s="1">
        <f t="shared" si="225"/>
        <v>36847.70833333378</v>
      </c>
      <c r="I915">
        <f t="shared" si="231"/>
        <v>1.3698000000000001</v>
      </c>
      <c r="J915">
        <f t="shared" si="232"/>
        <v>2.1903999999999999</v>
      </c>
      <c r="K915">
        <f t="shared" si="233"/>
        <v>20.9512</v>
      </c>
      <c r="L915">
        <f t="shared" si="234"/>
        <v>-1.5373494999999995</v>
      </c>
      <c r="M915">
        <f t="shared" si="235"/>
        <v>314.553</v>
      </c>
      <c r="O915">
        <v>322</v>
      </c>
      <c r="P915">
        <v>1700</v>
      </c>
      <c r="Q915">
        <v>0.41</v>
      </c>
      <c r="R915">
        <f t="shared" si="236"/>
        <v>-0.40884458596781831</v>
      </c>
    </row>
    <row r="916" spans="1:18" x14ac:dyDescent="0.25">
      <c r="A916">
        <v>7</v>
      </c>
      <c r="B916">
        <v>22</v>
      </c>
      <c r="C916">
        <v>32</v>
      </c>
      <c r="D916">
        <v>421</v>
      </c>
      <c r="E916">
        <v>487</v>
      </c>
      <c r="F916">
        <v>905</v>
      </c>
      <c r="G916" t="s">
        <v>5</v>
      </c>
      <c r="H916" s="1">
        <f t="shared" si="225"/>
        <v>36847.729166667115</v>
      </c>
      <c r="I916">
        <f t="shared" si="231"/>
        <v>2.0411999999999999</v>
      </c>
      <c r="J916">
        <f t="shared" si="232"/>
        <v>2.7871999999999999</v>
      </c>
      <c r="K916">
        <f t="shared" si="233"/>
        <v>40.880200000000002</v>
      </c>
      <c r="L916">
        <f t="shared" si="234"/>
        <v>-2.2600666200000052</v>
      </c>
      <c r="M916">
        <f t="shared" si="235"/>
        <v>317.34499999999997</v>
      </c>
      <c r="O916">
        <v>322</v>
      </c>
      <c r="P916">
        <v>1730</v>
      </c>
      <c r="Q916">
        <v>0.41</v>
      </c>
      <c r="R916">
        <f t="shared" si="236"/>
        <v>-0.40830028915675709</v>
      </c>
    </row>
    <row r="917" spans="1:18" x14ac:dyDescent="0.25">
      <c r="A917">
        <v>7</v>
      </c>
      <c r="B917">
        <v>22</v>
      </c>
      <c r="C917">
        <v>36</v>
      </c>
      <c r="D917">
        <v>356</v>
      </c>
      <c r="E917">
        <v>486</v>
      </c>
      <c r="F917">
        <v>921</v>
      </c>
      <c r="G917" t="s">
        <v>5</v>
      </c>
      <c r="H917" s="1">
        <f t="shared" si="225"/>
        <v>36847.750000000451</v>
      </c>
      <c r="I917">
        <f t="shared" si="231"/>
        <v>2.0411999999999999</v>
      </c>
      <c r="J917">
        <f t="shared" si="232"/>
        <v>3.0855999999999999</v>
      </c>
      <c r="K917">
        <f t="shared" si="233"/>
        <v>34.237200000000001</v>
      </c>
      <c r="L917">
        <f t="shared" si="234"/>
        <v>-2.3503160800000056</v>
      </c>
      <c r="M917">
        <f t="shared" si="235"/>
        <v>322.92899999999997</v>
      </c>
      <c r="O917">
        <v>322</v>
      </c>
      <c r="P917">
        <v>1800</v>
      </c>
      <c r="Q917">
        <v>0.40500000000000003</v>
      </c>
      <c r="R917">
        <f t="shared" si="236"/>
        <v>-0.40325382669731685</v>
      </c>
    </row>
    <row r="918" spans="1:18" x14ac:dyDescent="0.25">
      <c r="A918">
        <v>7</v>
      </c>
      <c r="B918">
        <v>27</v>
      </c>
      <c r="C918">
        <v>40</v>
      </c>
      <c r="D918">
        <v>469</v>
      </c>
      <c r="E918">
        <v>485</v>
      </c>
      <c r="F918">
        <v>921</v>
      </c>
      <c r="G918" t="s">
        <v>5</v>
      </c>
      <c r="H918" s="1">
        <f t="shared" si="225"/>
        <v>36847.770833333787</v>
      </c>
      <c r="I918">
        <f t="shared" si="231"/>
        <v>2.4141999999999997</v>
      </c>
      <c r="J918">
        <f t="shared" si="232"/>
        <v>3.3839999999999999</v>
      </c>
      <c r="K918">
        <f t="shared" si="233"/>
        <v>45.785800000000002</v>
      </c>
      <c r="L918">
        <f t="shared" si="234"/>
        <v>-2.4405454999999994</v>
      </c>
      <c r="M918">
        <f t="shared" si="235"/>
        <v>322.92899999999997</v>
      </c>
      <c r="O918">
        <v>322</v>
      </c>
      <c r="P918">
        <v>1830</v>
      </c>
      <c r="Q918">
        <v>0.4</v>
      </c>
      <c r="R918">
        <f t="shared" si="236"/>
        <v>-0.39820902694627275</v>
      </c>
    </row>
    <row r="919" spans="1:18" x14ac:dyDescent="0.25">
      <c r="A919">
        <v>7</v>
      </c>
      <c r="B919">
        <v>24</v>
      </c>
      <c r="C919">
        <v>36</v>
      </c>
      <c r="D919">
        <v>450</v>
      </c>
      <c r="E919">
        <v>484</v>
      </c>
      <c r="F919">
        <v>921</v>
      </c>
      <c r="G919" t="s">
        <v>5</v>
      </c>
      <c r="H919" s="1">
        <f t="shared" si="225"/>
        <v>36847.791666667123</v>
      </c>
      <c r="I919">
        <f t="shared" si="231"/>
        <v>2.1903999999999999</v>
      </c>
      <c r="J919">
        <f t="shared" si="232"/>
        <v>3.0855999999999999</v>
      </c>
      <c r="K919">
        <f t="shared" si="233"/>
        <v>43.844000000000001</v>
      </c>
      <c r="L919">
        <f t="shared" si="234"/>
        <v>-2.5307548799999999</v>
      </c>
      <c r="M919">
        <f t="shared" si="235"/>
        <v>322.92899999999997</v>
      </c>
      <c r="O919">
        <v>322</v>
      </c>
      <c r="P919">
        <v>1900</v>
      </c>
      <c r="Q919">
        <v>0.39700000000000002</v>
      </c>
      <c r="R919">
        <f t="shared" si="236"/>
        <v>-0.395156603133344</v>
      </c>
    </row>
    <row r="920" spans="1:18" x14ac:dyDescent="0.25">
      <c r="A920">
        <v>7</v>
      </c>
      <c r="B920">
        <v>17</v>
      </c>
      <c r="C920">
        <v>32</v>
      </c>
      <c r="D920">
        <v>451</v>
      </c>
      <c r="E920">
        <v>487</v>
      </c>
      <c r="F920">
        <v>923</v>
      </c>
      <c r="G920" t="s">
        <v>5</v>
      </c>
      <c r="H920" s="1">
        <f t="shared" si="225"/>
        <v>36847.812500000458</v>
      </c>
      <c r="I920">
        <f t="shared" si="231"/>
        <v>1.6682000000000001</v>
      </c>
      <c r="J920">
        <f t="shared" si="232"/>
        <v>2.7871999999999999</v>
      </c>
      <c r="K920">
        <f t="shared" si="233"/>
        <v>43.946199999999997</v>
      </c>
      <c r="L920">
        <f t="shared" si="234"/>
        <v>-2.2600666200000052</v>
      </c>
      <c r="M920">
        <f t="shared" si="235"/>
        <v>323.62699999999995</v>
      </c>
      <c r="O920">
        <v>322</v>
      </c>
      <c r="P920">
        <v>1930</v>
      </c>
      <c r="Q920">
        <v>0.40500000000000003</v>
      </c>
      <c r="R920">
        <f t="shared" si="236"/>
        <v>-0.40332101733777231</v>
      </c>
    </row>
    <row r="921" spans="1:18" x14ac:dyDescent="0.25">
      <c r="A921">
        <v>7</v>
      </c>
      <c r="B921">
        <v>20</v>
      </c>
      <c r="C921">
        <v>32</v>
      </c>
      <c r="D921">
        <v>451</v>
      </c>
      <c r="E921">
        <v>483</v>
      </c>
      <c r="F921">
        <v>921</v>
      </c>
      <c r="G921" t="s">
        <v>5</v>
      </c>
      <c r="H921" s="1">
        <f t="shared" si="225"/>
        <v>36847.833333333794</v>
      </c>
      <c r="I921">
        <f t="shared" si="231"/>
        <v>1.8919999999999999</v>
      </c>
      <c r="J921">
        <f t="shared" si="232"/>
        <v>2.7871999999999999</v>
      </c>
      <c r="K921">
        <f t="shared" si="233"/>
        <v>43.946199999999997</v>
      </c>
      <c r="L921">
        <f t="shared" si="234"/>
        <v>-2.6209442200000006</v>
      </c>
      <c r="M921">
        <f t="shared" si="235"/>
        <v>322.92899999999997</v>
      </c>
      <c r="O921">
        <v>322</v>
      </c>
      <c r="P921">
        <v>2000</v>
      </c>
      <c r="Q921">
        <v>0.39500000000000002</v>
      </c>
      <c r="R921">
        <f t="shared" si="236"/>
        <v>-0.39310036906329077</v>
      </c>
    </row>
    <row r="922" spans="1:18" x14ac:dyDescent="0.25">
      <c r="A922">
        <v>71</v>
      </c>
      <c r="B922">
        <v>15</v>
      </c>
      <c r="C922">
        <v>28</v>
      </c>
      <c r="D922">
        <v>450</v>
      </c>
      <c r="E922">
        <v>475</v>
      </c>
      <c r="F922">
        <v>916</v>
      </c>
      <c r="H922" s="1">
        <f>H921+1/48</f>
        <v>36847.85416666713</v>
      </c>
      <c r="I922">
        <f t="shared" ref="I922:I941" si="237">0.4+0.0746*B922</f>
        <v>1.5190000000000001</v>
      </c>
      <c r="J922">
        <f t="shared" ref="J922:J941" si="238">0.4+0.0746*C922</f>
        <v>2.4887999999999999</v>
      </c>
      <c r="K922">
        <f t="shared" ref="K922:K941" si="239">-2.146+0.1022*D922</f>
        <v>43.844000000000001</v>
      </c>
      <c r="L922">
        <f t="shared" ref="L922:L941" si="240">-43.84+0.0805*E922+0.00001002*E922^2</f>
        <v>-3.3417374999999989</v>
      </c>
      <c r="M922">
        <f t="shared" ref="M922:M941" si="241">1.5+0.349*F922</f>
        <v>321.18399999999997</v>
      </c>
      <c r="O922">
        <v>322</v>
      </c>
      <c r="P922">
        <v>2030</v>
      </c>
      <c r="Q922">
        <v>0.39700000000000002</v>
      </c>
      <c r="R922">
        <f t="shared" si="236"/>
        <v>-0.39456406288851464</v>
      </c>
    </row>
    <row r="923" spans="1:18" x14ac:dyDescent="0.25">
      <c r="A923">
        <v>711</v>
      </c>
      <c r="B923">
        <v>16</v>
      </c>
      <c r="C923">
        <v>28</v>
      </c>
      <c r="D923">
        <v>450</v>
      </c>
      <c r="E923">
        <v>466</v>
      </c>
      <c r="F923">
        <v>913</v>
      </c>
      <c r="G923" t="s">
        <v>5</v>
      </c>
      <c r="H923" s="1">
        <f t="shared" si="225"/>
        <v>36847.875000000466</v>
      </c>
      <c r="I923">
        <f t="shared" si="237"/>
        <v>1.5935999999999999</v>
      </c>
      <c r="J923">
        <f t="shared" si="238"/>
        <v>2.4887999999999999</v>
      </c>
      <c r="K923">
        <f t="shared" si="239"/>
        <v>43.844000000000001</v>
      </c>
      <c r="L923">
        <f t="shared" si="240"/>
        <v>-4.1510968800000052</v>
      </c>
      <c r="M923">
        <f t="shared" si="241"/>
        <v>320.137</v>
      </c>
      <c r="O923">
        <v>322</v>
      </c>
      <c r="P923">
        <v>2100</v>
      </c>
      <c r="Q923">
        <v>0.4</v>
      </c>
      <c r="R923">
        <f t="shared" si="236"/>
        <v>-0.39694893716873075</v>
      </c>
    </row>
    <row r="924" spans="1:18" x14ac:dyDescent="0.25">
      <c r="A924">
        <v>711</v>
      </c>
      <c r="B924">
        <v>18</v>
      </c>
      <c r="C924">
        <v>28</v>
      </c>
      <c r="D924">
        <v>450</v>
      </c>
      <c r="E924">
        <v>468</v>
      </c>
      <c r="F924">
        <v>916</v>
      </c>
      <c r="G924" t="s">
        <v>5</v>
      </c>
      <c r="H924" s="1">
        <f t="shared" si="225"/>
        <v>36847.895833333801</v>
      </c>
      <c r="I924">
        <f t="shared" si="237"/>
        <v>1.7427999999999999</v>
      </c>
      <c r="J924">
        <f t="shared" si="238"/>
        <v>2.4887999999999999</v>
      </c>
      <c r="K924">
        <f t="shared" si="239"/>
        <v>43.844000000000001</v>
      </c>
      <c r="L924">
        <f t="shared" si="240"/>
        <v>-3.9713795200000037</v>
      </c>
      <c r="M924">
        <f t="shared" si="241"/>
        <v>321.18399999999997</v>
      </c>
      <c r="O924">
        <v>322</v>
      </c>
      <c r="P924">
        <v>2130</v>
      </c>
      <c r="Q924">
        <v>0.40500000000000003</v>
      </c>
      <c r="R924">
        <f t="shared" si="236"/>
        <v>-0.40204503416590404</v>
      </c>
    </row>
    <row r="925" spans="1:18" x14ac:dyDescent="0.25">
      <c r="A925">
        <v>711</v>
      </c>
      <c r="B925">
        <v>18</v>
      </c>
      <c r="C925">
        <v>24</v>
      </c>
      <c r="D925">
        <v>450</v>
      </c>
      <c r="E925">
        <v>470</v>
      </c>
      <c r="F925">
        <v>913</v>
      </c>
      <c r="G925" t="s">
        <v>5</v>
      </c>
      <c r="H925" s="1">
        <f t="shared" si="225"/>
        <v>36847.916666667137</v>
      </c>
      <c r="I925">
        <f t="shared" si="237"/>
        <v>1.7427999999999999</v>
      </c>
      <c r="J925">
        <f t="shared" si="238"/>
        <v>2.1903999999999999</v>
      </c>
      <c r="K925">
        <f t="shared" si="239"/>
        <v>43.844000000000001</v>
      </c>
      <c r="L925">
        <f t="shared" si="240"/>
        <v>-3.7915820000000022</v>
      </c>
      <c r="M925">
        <f t="shared" si="241"/>
        <v>320.137</v>
      </c>
      <c r="O925">
        <v>322</v>
      </c>
      <c r="P925">
        <v>2200</v>
      </c>
      <c r="Q925">
        <v>0.39700000000000002</v>
      </c>
      <c r="R925">
        <f t="shared" si="236"/>
        <v>-0.39423500232554159</v>
      </c>
    </row>
    <row r="926" spans="1:18" x14ac:dyDescent="0.25">
      <c r="A926">
        <v>711</v>
      </c>
      <c r="B926">
        <v>9</v>
      </c>
      <c r="C926">
        <v>20</v>
      </c>
      <c r="D926">
        <v>450</v>
      </c>
      <c r="E926">
        <v>475</v>
      </c>
      <c r="F926">
        <v>917</v>
      </c>
      <c r="G926" t="s">
        <v>5</v>
      </c>
      <c r="H926" s="1">
        <f t="shared" si="225"/>
        <v>36847.937500000473</v>
      </c>
      <c r="I926">
        <f t="shared" si="237"/>
        <v>1.0714000000000001</v>
      </c>
      <c r="J926">
        <f t="shared" si="238"/>
        <v>1.8919999999999999</v>
      </c>
      <c r="K926">
        <f t="shared" si="239"/>
        <v>43.844000000000001</v>
      </c>
      <c r="L926">
        <f t="shared" si="240"/>
        <v>-3.3417374999999989</v>
      </c>
      <c r="M926">
        <f t="shared" si="241"/>
        <v>321.53299999999996</v>
      </c>
      <c r="O926">
        <v>322</v>
      </c>
      <c r="P926">
        <v>2230</v>
      </c>
      <c r="Q926">
        <v>0.39500000000000002</v>
      </c>
      <c r="R926">
        <f t="shared" si="236"/>
        <v>-0.39257633461199815</v>
      </c>
    </row>
    <row r="927" spans="1:18" x14ac:dyDescent="0.25">
      <c r="A927">
        <v>711</v>
      </c>
      <c r="B927">
        <v>18</v>
      </c>
      <c r="C927">
        <v>32</v>
      </c>
      <c r="D927">
        <v>450</v>
      </c>
      <c r="E927">
        <v>476</v>
      </c>
      <c r="F927">
        <v>921</v>
      </c>
      <c r="G927" t="s">
        <v>5</v>
      </c>
      <c r="H927" s="1">
        <f t="shared" si="225"/>
        <v>36847.958333333809</v>
      </c>
      <c r="I927">
        <f t="shared" si="237"/>
        <v>1.7427999999999999</v>
      </c>
      <c r="J927">
        <f t="shared" si="238"/>
        <v>2.7871999999999999</v>
      </c>
      <c r="K927">
        <f t="shared" si="239"/>
        <v>43.844000000000001</v>
      </c>
      <c r="L927">
        <f t="shared" si="240"/>
        <v>-3.2517084800000053</v>
      </c>
      <c r="M927">
        <f t="shared" si="241"/>
        <v>322.92899999999997</v>
      </c>
      <c r="O927">
        <v>322</v>
      </c>
      <c r="P927">
        <v>2300</v>
      </c>
      <c r="Q927">
        <v>0.39500000000000002</v>
      </c>
      <c r="R927">
        <f t="shared" si="236"/>
        <v>-0.39264182614759713</v>
      </c>
    </row>
    <row r="928" spans="1:18" x14ac:dyDescent="0.25">
      <c r="A928">
        <v>711</v>
      </c>
      <c r="B928">
        <v>28</v>
      </c>
      <c r="C928">
        <v>40</v>
      </c>
      <c r="D928">
        <v>451</v>
      </c>
      <c r="E928">
        <v>478</v>
      </c>
      <c r="F928">
        <v>929</v>
      </c>
      <c r="G928" t="s">
        <v>5</v>
      </c>
      <c r="H928" s="1">
        <f t="shared" si="225"/>
        <v>36847.979166667144</v>
      </c>
      <c r="I928">
        <f t="shared" si="237"/>
        <v>2.4887999999999999</v>
      </c>
      <c r="J928">
        <f t="shared" si="238"/>
        <v>3.3839999999999999</v>
      </c>
      <c r="K928">
        <f t="shared" si="239"/>
        <v>43.946199999999997</v>
      </c>
      <c r="L928">
        <f t="shared" si="240"/>
        <v>-3.0715903200000039</v>
      </c>
      <c r="M928">
        <f t="shared" si="241"/>
        <v>325.721</v>
      </c>
      <c r="O928">
        <v>322</v>
      </c>
      <c r="P928">
        <v>2330</v>
      </c>
      <c r="Q928">
        <v>0.39500000000000002</v>
      </c>
      <c r="R928">
        <f t="shared" si="236"/>
        <v>-0.39277282017433318</v>
      </c>
    </row>
    <row r="929" spans="1:18" x14ac:dyDescent="0.25">
      <c r="A929">
        <v>711</v>
      </c>
      <c r="B929">
        <v>24</v>
      </c>
      <c r="C929">
        <v>48</v>
      </c>
      <c r="D929">
        <v>451</v>
      </c>
      <c r="E929">
        <v>458</v>
      </c>
      <c r="F929">
        <v>905</v>
      </c>
      <c r="G929" t="s">
        <v>5</v>
      </c>
      <c r="H929" s="1">
        <f t="shared" si="225"/>
        <v>36848.00000000048</v>
      </c>
      <c r="I929">
        <f t="shared" si="237"/>
        <v>2.1903999999999999</v>
      </c>
      <c r="J929">
        <f t="shared" si="238"/>
        <v>3.9807999999999999</v>
      </c>
      <c r="K929">
        <f t="shared" si="239"/>
        <v>43.946199999999997</v>
      </c>
      <c r="L929">
        <f t="shared" si="240"/>
        <v>-4.8691647200000041</v>
      </c>
      <c r="M929">
        <f t="shared" si="241"/>
        <v>317.34499999999997</v>
      </c>
      <c r="O929">
        <v>322</v>
      </c>
      <c r="P929">
        <v>2400</v>
      </c>
      <c r="Q929">
        <v>0.39500000000000002</v>
      </c>
      <c r="R929">
        <f t="shared" si="236"/>
        <v>-0.39146353910838388</v>
      </c>
    </row>
    <row r="930" spans="1:18" x14ac:dyDescent="0.25">
      <c r="A930">
        <v>711</v>
      </c>
      <c r="B930">
        <v>18</v>
      </c>
      <c r="C930">
        <v>28</v>
      </c>
      <c r="D930">
        <v>451</v>
      </c>
      <c r="E930">
        <v>462</v>
      </c>
      <c r="F930">
        <v>884</v>
      </c>
      <c r="G930" t="s">
        <v>5</v>
      </c>
      <c r="H930" s="1">
        <f t="shared" si="225"/>
        <v>36848.020833333816</v>
      </c>
      <c r="I930">
        <f t="shared" si="237"/>
        <v>1.7427999999999999</v>
      </c>
      <c r="J930">
        <f t="shared" si="238"/>
        <v>2.4887999999999999</v>
      </c>
      <c r="K930">
        <f t="shared" si="239"/>
        <v>43.946199999999997</v>
      </c>
      <c r="L930">
        <f t="shared" si="240"/>
        <v>-4.5102911200000007</v>
      </c>
      <c r="M930">
        <f t="shared" si="241"/>
        <v>310.01599999999996</v>
      </c>
      <c r="O930">
        <v>323</v>
      </c>
      <c r="P930">
        <v>30</v>
      </c>
      <c r="Q930">
        <v>0.39700000000000002</v>
      </c>
      <c r="R930">
        <f t="shared" si="236"/>
        <v>-0.39370869698440319</v>
      </c>
    </row>
    <row r="931" spans="1:18" x14ac:dyDescent="0.25">
      <c r="A931">
        <v>711</v>
      </c>
      <c r="B931">
        <v>23</v>
      </c>
      <c r="C931">
        <v>32</v>
      </c>
      <c r="D931">
        <v>450</v>
      </c>
      <c r="E931">
        <v>467</v>
      </c>
      <c r="F931">
        <v>883</v>
      </c>
      <c r="G931" t="s">
        <v>5</v>
      </c>
      <c r="H931" s="1">
        <f t="shared" si="225"/>
        <v>36848.041666667152</v>
      </c>
      <c r="I931">
        <f t="shared" si="237"/>
        <v>2.1158000000000001</v>
      </c>
      <c r="J931">
        <f t="shared" si="238"/>
        <v>2.7871999999999999</v>
      </c>
      <c r="K931">
        <f t="shared" si="239"/>
        <v>43.844000000000001</v>
      </c>
      <c r="L931">
        <f t="shared" si="240"/>
        <v>-4.0612482200000048</v>
      </c>
      <c r="M931">
        <f t="shared" si="241"/>
        <v>309.66699999999997</v>
      </c>
      <c r="O931">
        <v>323</v>
      </c>
      <c r="P931">
        <v>100</v>
      </c>
      <c r="Q931">
        <v>0.39700000000000002</v>
      </c>
      <c r="R931">
        <f t="shared" si="236"/>
        <v>-0.39403761015691546</v>
      </c>
    </row>
    <row r="932" spans="1:18" x14ac:dyDescent="0.25">
      <c r="A932">
        <v>711</v>
      </c>
      <c r="B932">
        <v>23</v>
      </c>
      <c r="C932">
        <v>32</v>
      </c>
      <c r="D932">
        <v>450</v>
      </c>
      <c r="E932">
        <v>465</v>
      </c>
      <c r="F932">
        <v>896</v>
      </c>
      <c r="G932" t="s">
        <v>5</v>
      </c>
      <c r="H932" s="1">
        <f t="shared" si="225"/>
        <v>36848.062500000487</v>
      </c>
      <c r="I932">
        <f t="shared" si="237"/>
        <v>2.1158000000000001</v>
      </c>
      <c r="J932">
        <f t="shared" si="238"/>
        <v>2.7871999999999999</v>
      </c>
      <c r="K932">
        <f t="shared" si="239"/>
        <v>43.844000000000001</v>
      </c>
      <c r="L932">
        <f t="shared" si="240"/>
        <v>-4.2409255000000057</v>
      </c>
      <c r="M932">
        <f t="shared" si="241"/>
        <v>314.20399999999995</v>
      </c>
      <c r="O932">
        <v>323</v>
      </c>
      <c r="P932">
        <v>130</v>
      </c>
      <c r="Q932">
        <v>0.39500000000000002</v>
      </c>
      <c r="R932">
        <f t="shared" si="236"/>
        <v>-0.39192162054381335</v>
      </c>
    </row>
    <row r="933" spans="1:18" x14ac:dyDescent="0.25">
      <c r="A933">
        <v>711</v>
      </c>
      <c r="B933">
        <v>26</v>
      </c>
      <c r="C933">
        <v>48</v>
      </c>
      <c r="D933">
        <v>450</v>
      </c>
      <c r="E933">
        <v>474</v>
      </c>
      <c r="F933">
        <v>917</v>
      </c>
      <c r="G933" t="s">
        <v>5</v>
      </c>
      <c r="H933" s="1">
        <f t="shared" si="225"/>
        <v>36848.083333333823</v>
      </c>
      <c r="I933">
        <f t="shared" si="237"/>
        <v>2.3395999999999999</v>
      </c>
      <c r="J933">
        <f t="shared" si="238"/>
        <v>3.9807999999999999</v>
      </c>
      <c r="K933">
        <f t="shared" si="239"/>
        <v>43.844000000000001</v>
      </c>
      <c r="L933">
        <f t="shared" si="240"/>
        <v>-3.4317464799999997</v>
      </c>
      <c r="M933">
        <f t="shared" si="241"/>
        <v>321.53299999999996</v>
      </c>
      <c r="O933">
        <v>323</v>
      </c>
      <c r="P933">
        <v>200</v>
      </c>
      <c r="Q933">
        <v>0.39500000000000002</v>
      </c>
      <c r="R933">
        <f t="shared" si="236"/>
        <v>-0.39251084673068259</v>
      </c>
    </row>
    <row r="934" spans="1:18" x14ac:dyDescent="0.25">
      <c r="A934">
        <v>711</v>
      </c>
      <c r="B934">
        <v>38</v>
      </c>
      <c r="C934">
        <v>84</v>
      </c>
      <c r="D934">
        <v>451</v>
      </c>
      <c r="E934">
        <v>472</v>
      </c>
      <c r="F934">
        <v>905</v>
      </c>
      <c r="G934" t="s">
        <v>5</v>
      </c>
      <c r="H934" s="1">
        <f t="shared" si="225"/>
        <v>36848.104166667159</v>
      </c>
      <c r="I934">
        <f t="shared" si="237"/>
        <v>3.2347999999999999</v>
      </c>
      <c r="J934">
        <f t="shared" si="238"/>
        <v>6.6664000000000003</v>
      </c>
      <c r="K934">
        <f t="shared" si="239"/>
        <v>43.946199999999997</v>
      </c>
      <c r="L934">
        <f t="shared" si="240"/>
        <v>-3.6117043200000012</v>
      </c>
      <c r="M934">
        <f t="shared" si="241"/>
        <v>317.34499999999997</v>
      </c>
      <c r="O934">
        <v>323</v>
      </c>
      <c r="P934">
        <v>230</v>
      </c>
      <c r="Q934">
        <v>0.39700000000000002</v>
      </c>
      <c r="R934">
        <f t="shared" si="236"/>
        <v>-0.3943666155176544</v>
      </c>
    </row>
    <row r="935" spans="1:18" x14ac:dyDescent="0.25">
      <c r="A935">
        <v>711</v>
      </c>
      <c r="B935">
        <v>26</v>
      </c>
      <c r="C935">
        <v>56</v>
      </c>
      <c r="D935">
        <v>451</v>
      </c>
      <c r="E935">
        <v>472</v>
      </c>
      <c r="F935">
        <v>889</v>
      </c>
      <c r="G935" t="s">
        <v>5</v>
      </c>
      <c r="H935" s="1">
        <f t="shared" si="225"/>
        <v>36848.125000000495</v>
      </c>
      <c r="I935">
        <f t="shared" si="237"/>
        <v>2.3395999999999999</v>
      </c>
      <c r="J935">
        <f t="shared" si="238"/>
        <v>4.5776000000000003</v>
      </c>
      <c r="K935">
        <f t="shared" si="239"/>
        <v>43.946199999999997</v>
      </c>
      <c r="L935">
        <f t="shared" si="240"/>
        <v>-3.6117043200000012</v>
      </c>
      <c r="M935">
        <f t="shared" si="241"/>
        <v>311.76099999999997</v>
      </c>
      <c r="O935">
        <v>323</v>
      </c>
      <c r="P935">
        <v>300</v>
      </c>
      <c r="Q935">
        <v>0.39500000000000002</v>
      </c>
      <c r="R935">
        <f t="shared" si="236"/>
        <v>-0.39237988193822038</v>
      </c>
    </row>
    <row r="936" spans="1:18" x14ac:dyDescent="0.25">
      <c r="A936">
        <v>711</v>
      </c>
      <c r="B936">
        <v>16</v>
      </c>
      <c r="C936">
        <v>40</v>
      </c>
      <c r="D936">
        <v>451</v>
      </c>
      <c r="E936">
        <v>472</v>
      </c>
      <c r="F936">
        <v>921</v>
      </c>
      <c r="G936" t="s">
        <v>5</v>
      </c>
      <c r="H936" s="1">
        <f t="shared" si="225"/>
        <v>36848.145833333831</v>
      </c>
      <c r="I936">
        <f t="shared" si="237"/>
        <v>1.5935999999999999</v>
      </c>
      <c r="J936">
        <f t="shared" si="238"/>
        <v>3.3839999999999999</v>
      </c>
      <c r="K936">
        <f t="shared" si="239"/>
        <v>43.946199999999997</v>
      </c>
      <c r="L936">
        <f t="shared" si="240"/>
        <v>-3.6117043200000012</v>
      </c>
      <c r="M936">
        <f t="shared" si="241"/>
        <v>322.92899999999997</v>
      </c>
      <c r="O936">
        <v>323</v>
      </c>
      <c r="P936">
        <v>330</v>
      </c>
      <c r="Q936">
        <v>0.39700000000000002</v>
      </c>
      <c r="R936">
        <f t="shared" si="236"/>
        <v>-0.3943666155176544</v>
      </c>
    </row>
    <row r="937" spans="1:18" x14ac:dyDescent="0.25">
      <c r="A937">
        <v>711</v>
      </c>
      <c r="B937">
        <v>4</v>
      </c>
      <c r="C937">
        <v>12</v>
      </c>
      <c r="D937">
        <v>451</v>
      </c>
      <c r="E937">
        <v>472</v>
      </c>
      <c r="F937">
        <v>925</v>
      </c>
      <c r="G937" t="s">
        <v>5</v>
      </c>
      <c r="H937" s="1">
        <f t="shared" si="225"/>
        <v>36848.166666667166</v>
      </c>
      <c r="I937">
        <f t="shared" si="237"/>
        <v>0.69840000000000002</v>
      </c>
      <c r="J937">
        <f t="shared" si="238"/>
        <v>1.2951999999999999</v>
      </c>
      <c r="K937">
        <f t="shared" si="239"/>
        <v>43.946199999999997</v>
      </c>
      <c r="L937">
        <f t="shared" si="240"/>
        <v>-3.6117043200000012</v>
      </c>
      <c r="M937">
        <f t="shared" si="241"/>
        <v>324.32499999999999</v>
      </c>
      <c r="O937">
        <v>323</v>
      </c>
      <c r="P937">
        <v>400</v>
      </c>
      <c r="Q937">
        <v>0.39500000000000002</v>
      </c>
      <c r="R937">
        <f t="shared" si="236"/>
        <v>-0.39237988193822038</v>
      </c>
    </row>
    <row r="938" spans="1:18" x14ac:dyDescent="0.25">
      <c r="A938">
        <v>711</v>
      </c>
      <c r="B938">
        <v>20</v>
      </c>
      <c r="C938">
        <v>68</v>
      </c>
      <c r="D938">
        <v>451</v>
      </c>
      <c r="E938">
        <v>468</v>
      </c>
      <c r="F938">
        <v>901</v>
      </c>
      <c r="G938" t="s">
        <v>5</v>
      </c>
      <c r="H938" s="1">
        <f t="shared" si="225"/>
        <v>36848.187500000502</v>
      </c>
      <c r="I938">
        <f t="shared" si="237"/>
        <v>1.8919999999999999</v>
      </c>
      <c r="J938">
        <f t="shared" si="238"/>
        <v>5.4728000000000003</v>
      </c>
      <c r="K938">
        <f t="shared" si="239"/>
        <v>43.946199999999997</v>
      </c>
      <c r="L938">
        <f t="shared" si="240"/>
        <v>-3.9713795200000037</v>
      </c>
      <c r="M938">
        <f t="shared" si="241"/>
        <v>315.94899999999996</v>
      </c>
      <c r="O938">
        <v>323</v>
      </c>
      <c r="P938">
        <v>430</v>
      </c>
      <c r="Q938">
        <v>0.39500000000000002</v>
      </c>
      <c r="R938">
        <f t="shared" si="236"/>
        <v>-0.39211799628526445</v>
      </c>
    </row>
    <row r="939" spans="1:18" x14ac:dyDescent="0.25">
      <c r="A939">
        <v>711</v>
      </c>
      <c r="B939">
        <v>39</v>
      </c>
      <c r="C939">
        <v>92</v>
      </c>
      <c r="D939">
        <v>451</v>
      </c>
      <c r="E939">
        <v>472</v>
      </c>
      <c r="F939">
        <v>829</v>
      </c>
      <c r="G939" t="s">
        <v>5</v>
      </c>
      <c r="H939" s="1">
        <f t="shared" si="225"/>
        <v>36848.208333333838</v>
      </c>
      <c r="I939">
        <f t="shared" si="237"/>
        <v>3.3093999999999997</v>
      </c>
      <c r="J939">
        <f t="shared" si="238"/>
        <v>7.2632000000000003</v>
      </c>
      <c r="K939">
        <f t="shared" si="239"/>
        <v>43.946199999999997</v>
      </c>
      <c r="L939">
        <f t="shared" si="240"/>
        <v>-3.6117043200000012</v>
      </c>
      <c r="M939">
        <f t="shared" si="241"/>
        <v>290.82099999999997</v>
      </c>
      <c r="O939">
        <v>323</v>
      </c>
      <c r="P939">
        <v>500</v>
      </c>
      <c r="Q939">
        <v>0.39200000000000002</v>
      </c>
      <c r="R939">
        <f t="shared" si="236"/>
        <v>-0.38939978156906929</v>
      </c>
    </row>
    <row r="940" spans="1:18" x14ac:dyDescent="0.25">
      <c r="A940">
        <v>711</v>
      </c>
      <c r="B940">
        <v>66</v>
      </c>
      <c r="C940">
        <v>132</v>
      </c>
      <c r="D940">
        <v>587</v>
      </c>
      <c r="E940">
        <v>467</v>
      </c>
      <c r="F940">
        <v>885</v>
      </c>
      <c r="G940" t="s">
        <v>5</v>
      </c>
      <c r="H940" s="1">
        <f t="shared" si="225"/>
        <v>36848.229166667174</v>
      </c>
      <c r="I940">
        <f t="shared" si="237"/>
        <v>5.3236000000000008</v>
      </c>
      <c r="J940">
        <f t="shared" si="238"/>
        <v>10.247200000000001</v>
      </c>
      <c r="K940">
        <f t="shared" si="239"/>
        <v>57.845399999999998</v>
      </c>
      <c r="L940">
        <f t="shared" si="240"/>
        <v>-4.0612482200000048</v>
      </c>
      <c r="M940">
        <f t="shared" si="241"/>
        <v>310.36499999999995</v>
      </c>
      <c r="O940">
        <v>323</v>
      </c>
      <c r="P940">
        <v>530</v>
      </c>
      <c r="Q940">
        <v>0.39700000000000002</v>
      </c>
      <c r="R940">
        <f t="shared" si="236"/>
        <v>-0.39403761015691546</v>
      </c>
    </row>
    <row r="941" spans="1:18" x14ac:dyDescent="0.25">
      <c r="A941">
        <v>711</v>
      </c>
      <c r="B941">
        <v>97</v>
      </c>
      <c r="C941">
        <v>152</v>
      </c>
      <c r="D941">
        <v>530</v>
      </c>
      <c r="E941">
        <v>464</v>
      </c>
      <c r="F941">
        <v>896</v>
      </c>
      <c r="G941" t="s">
        <v>5</v>
      </c>
      <c r="H941" s="1">
        <f t="shared" si="225"/>
        <v>36848.250000000509</v>
      </c>
      <c r="I941">
        <f t="shared" si="237"/>
        <v>7.6362000000000005</v>
      </c>
      <c r="J941">
        <f t="shared" si="238"/>
        <v>11.7392</v>
      </c>
      <c r="K941">
        <f t="shared" si="239"/>
        <v>52.019999999999996</v>
      </c>
      <c r="L941">
        <f t="shared" si="240"/>
        <v>-4.3307340799999992</v>
      </c>
      <c r="M941">
        <f t="shared" si="241"/>
        <v>314.20399999999995</v>
      </c>
      <c r="O941">
        <v>323</v>
      </c>
      <c r="P941">
        <v>600</v>
      </c>
      <c r="Q941">
        <v>0.38700000000000001</v>
      </c>
      <c r="R941">
        <f t="shared" si="236"/>
        <v>-0.3839198418265149</v>
      </c>
    </row>
    <row r="942" spans="1:18" x14ac:dyDescent="0.25">
      <c r="A942">
        <v>711</v>
      </c>
      <c r="B942">
        <v>108</v>
      </c>
      <c r="C942">
        <v>156</v>
      </c>
      <c r="D942">
        <v>682</v>
      </c>
      <c r="E942">
        <v>467</v>
      </c>
      <c r="F942">
        <v>897</v>
      </c>
      <c r="G942" t="s">
        <v>5</v>
      </c>
      <c r="H942" s="1">
        <f t="shared" si="225"/>
        <v>36848.270833333845</v>
      </c>
      <c r="I942">
        <f t="shared" ref="I942:I1004" si="242">0.4+0.0746*B942</f>
        <v>8.4567999999999994</v>
      </c>
      <c r="J942">
        <f t="shared" ref="J942:J1004" si="243">0.4+0.0746*C942</f>
        <v>12.037599999999999</v>
      </c>
      <c r="K942">
        <f t="shared" ref="K942:K1004" si="244">-2.146+0.1022*D942</f>
        <v>67.554400000000001</v>
      </c>
      <c r="L942">
        <f t="shared" ref="L942:L1004" si="245">-43.84+0.0805*E942+0.00001002*E942^2</f>
        <v>-4.0612482200000048</v>
      </c>
      <c r="M942">
        <f t="shared" ref="M942:M1004" si="246">1.5+0.349*F942</f>
        <v>314.553</v>
      </c>
      <c r="O942">
        <v>323</v>
      </c>
      <c r="P942">
        <v>630</v>
      </c>
      <c r="Q942">
        <v>0.38700000000000001</v>
      </c>
      <c r="R942">
        <f t="shared" si="236"/>
        <v>-0.38411222954842889</v>
      </c>
    </row>
    <row r="943" spans="1:18" x14ac:dyDescent="0.25">
      <c r="A943">
        <v>711</v>
      </c>
      <c r="B943">
        <v>105</v>
      </c>
      <c r="C943">
        <v>176</v>
      </c>
      <c r="D943">
        <v>560</v>
      </c>
      <c r="E943">
        <v>464</v>
      </c>
      <c r="F943">
        <v>881</v>
      </c>
      <c r="G943" t="s">
        <v>5</v>
      </c>
      <c r="H943" s="1">
        <f t="shared" si="225"/>
        <v>36848.291666667181</v>
      </c>
      <c r="I943">
        <f t="shared" si="242"/>
        <v>8.2330000000000005</v>
      </c>
      <c r="J943">
        <f t="shared" si="243"/>
        <v>13.5296</v>
      </c>
      <c r="K943">
        <f t="shared" si="244"/>
        <v>55.085999999999999</v>
      </c>
      <c r="L943">
        <f t="shared" si="245"/>
        <v>-4.3307340799999992</v>
      </c>
      <c r="M943">
        <f t="shared" si="246"/>
        <v>308.96899999999999</v>
      </c>
      <c r="O943">
        <v>323</v>
      </c>
      <c r="P943">
        <v>700</v>
      </c>
      <c r="Q943">
        <v>0.40699999999999997</v>
      </c>
      <c r="R943">
        <f t="shared" si="236"/>
        <v>-0.40376066052555959</v>
      </c>
    </row>
    <row r="944" spans="1:18" x14ac:dyDescent="0.25">
      <c r="A944">
        <v>711</v>
      </c>
      <c r="B944">
        <v>104</v>
      </c>
      <c r="C944">
        <v>152</v>
      </c>
      <c r="D944">
        <v>576</v>
      </c>
      <c r="E944">
        <v>464</v>
      </c>
      <c r="F944">
        <v>864</v>
      </c>
      <c r="G944" t="s">
        <v>5</v>
      </c>
      <c r="H944" s="1">
        <f t="shared" ref="H944:H1006" si="247">H943+1/48</f>
        <v>36848.312500000517</v>
      </c>
      <c r="I944">
        <f t="shared" si="242"/>
        <v>8.1584000000000003</v>
      </c>
      <c r="J944">
        <f t="shared" si="243"/>
        <v>11.7392</v>
      </c>
      <c r="K944">
        <f t="shared" si="244"/>
        <v>56.721199999999996</v>
      </c>
      <c r="L944">
        <f t="shared" si="245"/>
        <v>-4.3307340799999992</v>
      </c>
      <c r="M944">
        <f t="shared" si="246"/>
        <v>303.036</v>
      </c>
      <c r="O944">
        <v>323</v>
      </c>
      <c r="P944">
        <v>730</v>
      </c>
      <c r="Q944">
        <v>0.41</v>
      </c>
      <c r="R944">
        <f t="shared" si="236"/>
        <v>-0.4067367833304163</v>
      </c>
    </row>
    <row r="945" spans="1:18" x14ac:dyDescent="0.25">
      <c r="A945">
        <v>711</v>
      </c>
      <c r="B945">
        <v>109</v>
      </c>
      <c r="C945">
        <v>172</v>
      </c>
      <c r="D945">
        <v>550</v>
      </c>
      <c r="E945">
        <v>463</v>
      </c>
      <c r="F945">
        <v>897</v>
      </c>
      <c r="G945" t="s">
        <v>5</v>
      </c>
      <c r="H945" s="1">
        <f t="shared" si="247"/>
        <v>36848.333333333852</v>
      </c>
      <c r="I945">
        <f t="shared" si="242"/>
        <v>8.5313999999999997</v>
      </c>
      <c r="J945">
        <f t="shared" si="243"/>
        <v>13.231199999999999</v>
      </c>
      <c r="K945">
        <f t="shared" si="244"/>
        <v>54.064</v>
      </c>
      <c r="L945">
        <f t="shared" si="245"/>
        <v>-4.4205226199999998</v>
      </c>
      <c r="M945">
        <f t="shared" si="246"/>
        <v>314.553</v>
      </c>
      <c r="O945">
        <v>323</v>
      </c>
      <c r="P945">
        <v>800</v>
      </c>
      <c r="Q945">
        <v>0.40699999999999997</v>
      </c>
      <c r="R945">
        <f t="shared" si="236"/>
        <v>-0.40369322468194591</v>
      </c>
    </row>
    <row r="946" spans="1:18" x14ac:dyDescent="0.25">
      <c r="A946">
        <v>711</v>
      </c>
      <c r="B946">
        <v>115</v>
      </c>
      <c r="C946">
        <v>156</v>
      </c>
      <c r="D946">
        <v>554</v>
      </c>
      <c r="E946">
        <v>464</v>
      </c>
      <c r="F946">
        <v>897</v>
      </c>
      <c r="G946" t="s">
        <v>5</v>
      </c>
      <c r="H946" s="1">
        <f t="shared" si="247"/>
        <v>36848.354166667188</v>
      </c>
      <c r="I946">
        <f t="shared" si="242"/>
        <v>8.979000000000001</v>
      </c>
      <c r="J946">
        <f t="shared" si="243"/>
        <v>12.037599999999999</v>
      </c>
      <c r="K946">
        <f t="shared" si="244"/>
        <v>54.472799999999999</v>
      </c>
      <c r="L946">
        <f t="shared" si="245"/>
        <v>-4.3307340799999992</v>
      </c>
      <c r="M946">
        <f t="shared" si="246"/>
        <v>314.553</v>
      </c>
      <c r="O946">
        <v>323</v>
      </c>
      <c r="P946">
        <v>830</v>
      </c>
      <c r="Q946">
        <v>5.0000000000000001E-3</v>
      </c>
    </row>
    <row r="947" spans="1:18" x14ac:dyDescent="0.25">
      <c r="A947">
        <v>711</v>
      </c>
      <c r="B947">
        <v>108</v>
      </c>
      <c r="C947">
        <v>160</v>
      </c>
      <c r="D947">
        <v>542</v>
      </c>
      <c r="E947">
        <v>463</v>
      </c>
      <c r="F947">
        <v>901</v>
      </c>
      <c r="G947" t="s">
        <v>5</v>
      </c>
      <c r="H947" s="1">
        <f t="shared" si="247"/>
        <v>36848.375000000524</v>
      </c>
      <c r="I947">
        <f t="shared" si="242"/>
        <v>8.4567999999999994</v>
      </c>
      <c r="J947">
        <f t="shared" si="243"/>
        <v>12.336</v>
      </c>
      <c r="K947">
        <f t="shared" si="244"/>
        <v>53.246400000000001</v>
      </c>
      <c r="L947">
        <f t="shared" si="245"/>
        <v>-4.4205226199999998</v>
      </c>
      <c r="M947">
        <f t="shared" si="246"/>
        <v>315.94899999999996</v>
      </c>
      <c r="O947">
        <v>323</v>
      </c>
      <c r="P947">
        <v>900</v>
      </c>
      <c r="Q947">
        <v>0.40699999999999997</v>
      </c>
      <c r="R947">
        <f t="shared" si="236"/>
        <v>-0.40369322468194591</v>
      </c>
    </row>
    <row r="948" spans="1:18" x14ac:dyDescent="0.25">
      <c r="A948">
        <v>711</v>
      </c>
      <c r="B948">
        <v>117</v>
      </c>
      <c r="C948">
        <v>176</v>
      </c>
      <c r="D948">
        <v>576</v>
      </c>
      <c r="E948">
        <v>464</v>
      </c>
      <c r="F948">
        <v>908</v>
      </c>
      <c r="G948" t="s">
        <v>5</v>
      </c>
      <c r="H948" s="1">
        <f t="shared" si="247"/>
        <v>36848.39583333386</v>
      </c>
      <c r="I948">
        <f t="shared" si="242"/>
        <v>9.1281999999999996</v>
      </c>
      <c r="J948">
        <f t="shared" si="243"/>
        <v>13.5296</v>
      </c>
      <c r="K948">
        <f t="shared" si="244"/>
        <v>56.721199999999996</v>
      </c>
      <c r="L948">
        <f t="shared" si="245"/>
        <v>-4.3307340799999992</v>
      </c>
      <c r="M948">
        <f t="shared" si="246"/>
        <v>318.392</v>
      </c>
      <c r="O948">
        <v>323</v>
      </c>
      <c r="P948">
        <v>930</v>
      </c>
      <c r="Q948">
        <v>0.41</v>
      </c>
      <c r="R948">
        <f t="shared" si="236"/>
        <v>-0.4067367833304163</v>
      </c>
    </row>
    <row r="949" spans="1:18" x14ac:dyDescent="0.25">
      <c r="A949">
        <v>711</v>
      </c>
      <c r="B949">
        <v>121</v>
      </c>
      <c r="C949">
        <v>180</v>
      </c>
      <c r="D949">
        <v>548</v>
      </c>
      <c r="E949">
        <v>465</v>
      </c>
      <c r="F949">
        <v>908</v>
      </c>
      <c r="G949" t="s">
        <v>5</v>
      </c>
      <c r="H949" s="1">
        <f t="shared" si="247"/>
        <v>36848.416666667195</v>
      </c>
      <c r="I949">
        <f t="shared" si="242"/>
        <v>9.4266000000000005</v>
      </c>
      <c r="J949">
        <f t="shared" si="243"/>
        <v>13.828000000000001</v>
      </c>
      <c r="K949">
        <f t="shared" si="244"/>
        <v>53.8596</v>
      </c>
      <c r="L949">
        <f t="shared" si="245"/>
        <v>-4.2409255000000057</v>
      </c>
      <c r="M949">
        <f t="shared" si="246"/>
        <v>318.392</v>
      </c>
      <c r="O949">
        <v>323</v>
      </c>
      <c r="P949">
        <v>1000</v>
      </c>
      <c r="Q949">
        <v>0.41</v>
      </c>
      <c r="R949">
        <f t="shared" si="236"/>
        <v>-0.40680472005813534</v>
      </c>
    </row>
    <row r="950" spans="1:18" x14ac:dyDescent="0.25">
      <c r="A950">
        <v>711</v>
      </c>
      <c r="B950">
        <v>121</v>
      </c>
      <c r="C950">
        <v>180</v>
      </c>
      <c r="D950">
        <v>558</v>
      </c>
      <c r="E950">
        <v>465</v>
      </c>
      <c r="F950">
        <v>905</v>
      </c>
      <c r="G950" t="s">
        <v>5</v>
      </c>
      <c r="H950" s="1">
        <f t="shared" si="247"/>
        <v>36848.437500000531</v>
      </c>
      <c r="I950">
        <f t="shared" si="242"/>
        <v>9.4266000000000005</v>
      </c>
      <c r="J950">
        <f t="shared" si="243"/>
        <v>13.828000000000001</v>
      </c>
      <c r="K950">
        <f t="shared" si="244"/>
        <v>54.881599999999999</v>
      </c>
      <c r="L950">
        <f t="shared" si="245"/>
        <v>-4.2409255000000057</v>
      </c>
      <c r="M950">
        <f t="shared" si="246"/>
        <v>317.34499999999997</v>
      </c>
      <c r="O950">
        <v>323</v>
      </c>
      <c r="P950">
        <v>1030</v>
      </c>
      <c r="Q950">
        <v>0.40699999999999997</v>
      </c>
      <c r="R950">
        <f t="shared" si="236"/>
        <v>-0.40382810015527093</v>
      </c>
    </row>
    <row r="951" spans="1:18" x14ac:dyDescent="0.25">
      <c r="A951">
        <v>711</v>
      </c>
      <c r="B951">
        <v>129</v>
      </c>
      <c r="C951">
        <v>180</v>
      </c>
      <c r="D951">
        <v>556</v>
      </c>
      <c r="E951">
        <v>464</v>
      </c>
      <c r="F951">
        <v>900</v>
      </c>
      <c r="G951" t="s">
        <v>5</v>
      </c>
      <c r="H951" s="1">
        <f t="shared" si="247"/>
        <v>36848.458333333867</v>
      </c>
      <c r="I951">
        <f t="shared" si="242"/>
        <v>10.023400000000001</v>
      </c>
      <c r="J951">
        <f t="shared" si="243"/>
        <v>13.828000000000001</v>
      </c>
      <c r="K951">
        <f t="shared" si="244"/>
        <v>54.677199999999999</v>
      </c>
      <c r="L951">
        <f t="shared" si="245"/>
        <v>-4.3307340799999992</v>
      </c>
      <c r="M951">
        <f t="shared" si="246"/>
        <v>315.59999999999997</v>
      </c>
      <c r="O951">
        <v>323</v>
      </c>
      <c r="P951">
        <v>1100</v>
      </c>
      <c r="Q951">
        <v>0.35499999999999998</v>
      </c>
      <c r="R951">
        <f t="shared" si="236"/>
        <v>-0.35217453190804338</v>
      </c>
    </row>
    <row r="952" spans="1:18" x14ac:dyDescent="0.25">
      <c r="A952">
        <v>711</v>
      </c>
      <c r="B952">
        <v>128</v>
      </c>
      <c r="C952">
        <v>188</v>
      </c>
      <c r="D952">
        <v>520</v>
      </c>
      <c r="E952">
        <v>468</v>
      </c>
      <c r="F952">
        <v>897</v>
      </c>
      <c r="G952" t="s">
        <v>5</v>
      </c>
      <c r="H952" s="1">
        <f t="shared" si="247"/>
        <v>36848.479166667203</v>
      </c>
      <c r="I952">
        <f t="shared" si="242"/>
        <v>9.9488000000000003</v>
      </c>
      <c r="J952">
        <f t="shared" si="243"/>
        <v>14.424799999999999</v>
      </c>
      <c r="K952">
        <f t="shared" si="244"/>
        <v>50.997999999999998</v>
      </c>
      <c r="L952">
        <f t="shared" si="245"/>
        <v>-3.9713795200000037</v>
      </c>
      <c r="M952">
        <f t="shared" si="246"/>
        <v>314.553</v>
      </c>
      <c r="O952">
        <v>323</v>
      </c>
      <c r="P952">
        <v>1130</v>
      </c>
      <c r="Q952">
        <v>0.40699999999999997</v>
      </c>
      <c r="R952">
        <f t="shared" si="236"/>
        <v>-0.4040304417420319</v>
      </c>
    </row>
    <row r="953" spans="1:18" x14ac:dyDescent="0.25">
      <c r="A953">
        <v>711</v>
      </c>
      <c r="B953">
        <v>97</v>
      </c>
      <c r="C953">
        <v>196</v>
      </c>
      <c r="D953">
        <v>668</v>
      </c>
      <c r="E953">
        <v>479</v>
      </c>
      <c r="F953">
        <v>885</v>
      </c>
      <c r="G953" t="s">
        <v>5</v>
      </c>
      <c r="H953" s="1">
        <f t="shared" si="247"/>
        <v>36848.500000000538</v>
      </c>
      <c r="I953">
        <f t="shared" si="242"/>
        <v>7.6362000000000005</v>
      </c>
      <c r="J953">
        <f t="shared" si="243"/>
        <v>15.021600000000001</v>
      </c>
      <c r="K953">
        <f t="shared" si="244"/>
        <v>66.123599999999996</v>
      </c>
      <c r="L953">
        <f t="shared" si="245"/>
        <v>-2.9815011800000035</v>
      </c>
      <c r="M953">
        <f t="shared" si="246"/>
        <v>310.36499999999995</v>
      </c>
      <c r="O953">
        <v>323</v>
      </c>
      <c r="P953">
        <v>1200</v>
      </c>
      <c r="Q953">
        <v>0.40699999999999997</v>
      </c>
      <c r="R953">
        <f t="shared" si="236"/>
        <v>-0.40477265145154318</v>
      </c>
    </row>
    <row r="954" spans="1:18" x14ac:dyDescent="0.25">
      <c r="A954">
        <v>711</v>
      </c>
      <c r="B954">
        <v>56</v>
      </c>
      <c r="C954">
        <v>152</v>
      </c>
      <c r="D954">
        <v>567</v>
      </c>
      <c r="E954">
        <v>473</v>
      </c>
      <c r="F954">
        <v>877</v>
      </c>
      <c r="G954" t="s">
        <v>5</v>
      </c>
      <c r="H954" s="1">
        <f t="shared" si="247"/>
        <v>36848.520833333874</v>
      </c>
      <c r="I954">
        <f t="shared" si="242"/>
        <v>4.5776000000000003</v>
      </c>
      <c r="J954">
        <f t="shared" si="243"/>
        <v>11.7392</v>
      </c>
      <c r="K954">
        <f t="shared" si="244"/>
        <v>55.801400000000001</v>
      </c>
      <c r="L954">
        <f t="shared" si="245"/>
        <v>-3.5217354200000002</v>
      </c>
      <c r="M954">
        <f t="shared" si="246"/>
        <v>307.57299999999998</v>
      </c>
      <c r="O954">
        <v>323</v>
      </c>
      <c r="P954">
        <v>1230</v>
      </c>
      <c r="Q954">
        <v>0.40699999999999997</v>
      </c>
      <c r="R954">
        <f t="shared" si="236"/>
        <v>-0.40436775326513991</v>
      </c>
    </row>
    <row r="955" spans="1:18" x14ac:dyDescent="0.25">
      <c r="A955">
        <v>711</v>
      </c>
      <c r="B955">
        <v>41</v>
      </c>
      <c r="C955">
        <v>136</v>
      </c>
      <c r="D955">
        <v>363</v>
      </c>
      <c r="E955">
        <v>482</v>
      </c>
      <c r="F955">
        <v>865</v>
      </c>
      <c r="G955" t="s">
        <v>5</v>
      </c>
      <c r="H955" s="1">
        <f t="shared" si="247"/>
        <v>36848.54166666721</v>
      </c>
      <c r="I955">
        <f t="shared" si="242"/>
        <v>3.4586000000000001</v>
      </c>
      <c r="J955">
        <f t="shared" si="243"/>
        <v>10.5456</v>
      </c>
      <c r="K955">
        <f t="shared" si="244"/>
        <v>34.952599999999997</v>
      </c>
      <c r="L955">
        <f t="shared" si="245"/>
        <v>-2.7111135200000014</v>
      </c>
      <c r="M955">
        <f t="shared" si="246"/>
        <v>303.38499999999999</v>
      </c>
      <c r="O955">
        <v>323</v>
      </c>
      <c r="P955">
        <v>1300</v>
      </c>
      <c r="Q955">
        <v>0.40699999999999997</v>
      </c>
      <c r="R955">
        <f t="shared" si="236"/>
        <v>-0.4049751513000675</v>
      </c>
    </row>
    <row r="956" spans="1:18" x14ac:dyDescent="0.25">
      <c r="A956">
        <v>711</v>
      </c>
      <c r="B956">
        <v>48</v>
      </c>
      <c r="C956">
        <v>120</v>
      </c>
      <c r="D956">
        <v>930</v>
      </c>
      <c r="E956">
        <v>487</v>
      </c>
      <c r="F956">
        <v>853</v>
      </c>
      <c r="G956" t="s">
        <v>5</v>
      </c>
      <c r="H956" s="1">
        <f t="shared" si="247"/>
        <v>36848.562500000546</v>
      </c>
      <c r="I956">
        <f t="shared" si="242"/>
        <v>3.9807999999999999</v>
      </c>
      <c r="J956">
        <f t="shared" si="243"/>
        <v>9.3520000000000003</v>
      </c>
      <c r="K956">
        <f t="shared" si="244"/>
        <v>92.899999999999991</v>
      </c>
      <c r="L956">
        <f t="shared" si="245"/>
        <v>-2.2600666200000052</v>
      </c>
      <c r="M956">
        <f t="shared" si="246"/>
        <v>299.197</v>
      </c>
      <c r="O956">
        <v>323</v>
      </c>
      <c r="P956">
        <v>1330</v>
      </c>
      <c r="Q956">
        <v>0.40699999999999997</v>
      </c>
      <c r="R956">
        <f t="shared" si="236"/>
        <v>-0.40531272606536617</v>
      </c>
    </row>
    <row r="957" spans="1:18" x14ac:dyDescent="0.25">
      <c r="A957">
        <v>711</v>
      </c>
      <c r="B957">
        <v>50</v>
      </c>
      <c r="C957">
        <v>100</v>
      </c>
      <c r="D957">
        <v>25</v>
      </c>
      <c r="E957">
        <v>483</v>
      </c>
      <c r="F957">
        <v>869</v>
      </c>
      <c r="G957" t="s">
        <v>5</v>
      </c>
      <c r="H957" s="1">
        <f t="shared" si="247"/>
        <v>36848.583333333881</v>
      </c>
      <c r="I957">
        <f t="shared" si="242"/>
        <v>4.13</v>
      </c>
      <c r="J957">
        <f t="shared" si="243"/>
        <v>7.86</v>
      </c>
      <c r="K957">
        <f t="shared" si="244"/>
        <v>0.40900000000000025</v>
      </c>
      <c r="L957">
        <f t="shared" si="245"/>
        <v>-2.6209442200000006</v>
      </c>
      <c r="M957">
        <f t="shared" si="246"/>
        <v>304.78100000000001</v>
      </c>
      <c r="O957">
        <v>323</v>
      </c>
      <c r="P957">
        <v>1400</v>
      </c>
      <c r="Q957">
        <v>0.40699999999999997</v>
      </c>
      <c r="R957">
        <f t="shared" si="236"/>
        <v>-0.4050426587563527</v>
      </c>
    </row>
    <row r="958" spans="1:18" x14ac:dyDescent="0.25">
      <c r="A958">
        <v>711</v>
      </c>
      <c r="B958">
        <v>25</v>
      </c>
      <c r="C958">
        <v>68</v>
      </c>
      <c r="D958">
        <v>918</v>
      </c>
      <c r="E958">
        <v>483</v>
      </c>
      <c r="F958">
        <v>833</v>
      </c>
      <c r="G958" t="s">
        <v>5</v>
      </c>
      <c r="H958" s="1">
        <f t="shared" si="247"/>
        <v>36848.604166667217</v>
      </c>
      <c r="I958">
        <f t="shared" si="242"/>
        <v>2.2650000000000001</v>
      </c>
      <c r="J958">
        <f t="shared" si="243"/>
        <v>5.4728000000000003</v>
      </c>
      <c r="K958">
        <f t="shared" si="244"/>
        <v>91.673599999999993</v>
      </c>
      <c r="L958">
        <f t="shared" si="245"/>
        <v>-2.6209442200000006</v>
      </c>
      <c r="M958">
        <f t="shared" si="246"/>
        <v>292.21699999999998</v>
      </c>
      <c r="O958">
        <v>323</v>
      </c>
      <c r="P958">
        <v>1430</v>
      </c>
      <c r="Q958">
        <v>0.40699999999999997</v>
      </c>
      <c r="R958">
        <f t="shared" si="236"/>
        <v>-0.4050426587563527</v>
      </c>
    </row>
    <row r="959" spans="1:18" x14ac:dyDescent="0.25">
      <c r="A959">
        <v>711</v>
      </c>
      <c r="B959">
        <v>24</v>
      </c>
      <c r="C959">
        <v>40</v>
      </c>
      <c r="D959">
        <v>291</v>
      </c>
      <c r="E959">
        <v>495</v>
      </c>
      <c r="F959">
        <v>829</v>
      </c>
      <c r="G959" t="s">
        <v>5</v>
      </c>
      <c r="H959" s="1">
        <f t="shared" si="247"/>
        <v>36848.625000000553</v>
      </c>
      <c r="I959">
        <f t="shared" si="242"/>
        <v>2.1903999999999999</v>
      </c>
      <c r="J959">
        <f t="shared" si="243"/>
        <v>3.3839999999999999</v>
      </c>
      <c r="K959">
        <f t="shared" si="244"/>
        <v>27.594200000000001</v>
      </c>
      <c r="L959">
        <f t="shared" si="245"/>
        <v>-1.5373494999999995</v>
      </c>
      <c r="M959">
        <f t="shared" si="246"/>
        <v>290.82099999999997</v>
      </c>
      <c r="O959">
        <v>323</v>
      </c>
      <c r="P959">
        <v>1500</v>
      </c>
      <c r="Q959">
        <v>0.40699999999999997</v>
      </c>
      <c r="R959">
        <f t="shared" si="236"/>
        <v>-0.40585304021683427</v>
      </c>
    </row>
    <row r="960" spans="1:18" x14ac:dyDescent="0.25">
      <c r="A960">
        <v>711</v>
      </c>
      <c r="B960">
        <v>37</v>
      </c>
      <c r="C960">
        <v>104</v>
      </c>
      <c r="D960">
        <v>329</v>
      </c>
      <c r="E960">
        <v>477</v>
      </c>
      <c r="F960">
        <v>853</v>
      </c>
      <c r="G960" t="s">
        <v>5</v>
      </c>
      <c r="H960" s="1">
        <f t="shared" si="247"/>
        <v>36848.645833333889</v>
      </c>
      <c r="I960">
        <f t="shared" si="242"/>
        <v>3.1602000000000001</v>
      </c>
      <c r="J960">
        <f t="shared" si="243"/>
        <v>8.1584000000000003</v>
      </c>
      <c r="K960">
        <f t="shared" si="244"/>
        <v>31.477800000000002</v>
      </c>
      <c r="L960">
        <f t="shared" si="245"/>
        <v>-3.1616594200000048</v>
      </c>
      <c r="M960">
        <f t="shared" si="246"/>
        <v>299.197</v>
      </c>
      <c r="O960">
        <v>323</v>
      </c>
      <c r="P960">
        <v>1530</v>
      </c>
      <c r="Q960">
        <v>0.40699999999999997</v>
      </c>
      <c r="R960">
        <f t="shared" si="236"/>
        <v>-0.40463767033825321</v>
      </c>
    </row>
    <row r="961" spans="1:18" x14ac:dyDescent="0.25">
      <c r="A961">
        <v>711</v>
      </c>
      <c r="B961">
        <v>27</v>
      </c>
      <c r="C961">
        <v>116</v>
      </c>
      <c r="D961">
        <v>143</v>
      </c>
      <c r="E961">
        <v>483</v>
      </c>
      <c r="F961">
        <v>869</v>
      </c>
      <c r="G961" t="s">
        <v>5</v>
      </c>
      <c r="H961" s="1">
        <f t="shared" si="247"/>
        <v>36848.666666667224</v>
      </c>
      <c r="I961">
        <f t="shared" si="242"/>
        <v>2.4141999999999997</v>
      </c>
      <c r="J961">
        <f t="shared" si="243"/>
        <v>9.0536000000000012</v>
      </c>
      <c r="K961">
        <f t="shared" si="244"/>
        <v>12.468599999999999</v>
      </c>
      <c r="L961">
        <f t="shared" si="245"/>
        <v>-2.6209442200000006</v>
      </c>
      <c r="M961">
        <f t="shared" si="246"/>
        <v>304.78100000000001</v>
      </c>
      <c r="O961">
        <v>323</v>
      </c>
      <c r="P961">
        <v>1600</v>
      </c>
      <c r="Q961">
        <v>0.41</v>
      </c>
      <c r="R961">
        <f t="shared" si="236"/>
        <v>-0.40802823117961823</v>
      </c>
    </row>
    <row r="962" spans="1:18" x14ac:dyDescent="0.25">
      <c r="A962">
        <v>711</v>
      </c>
      <c r="B962">
        <v>19</v>
      </c>
      <c r="C962">
        <v>52</v>
      </c>
      <c r="D962">
        <v>722</v>
      </c>
      <c r="E962">
        <v>483</v>
      </c>
      <c r="F962">
        <v>836</v>
      </c>
      <c r="G962" t="s">
        <v>5</v>
      </c>
      <c r="H962" s="1">
        <f t="shared" si="247"/>
        <v>36848.68750000056</v>
      </c>
      <c r="I962">
        <f t="shared" si="242"/>
        <v>1.8174000000000001</v>
      </c>
      <c r="J962">
        <f t="shared" si="243"/>
        <v>4.2792000000000003</v>
      </c>
      <c r="K962">
        <f t="shared" si="244"/>
        <v>71.642399999999995</v>
      </c>
      <c r="L962">
        <f t="shared" si="245"/>
        <v>-2.6209442200000006</v>
      </c>
      <c r="M962">
        <f t="shared" si="246"/>
        <v>293.26399999999995</v>
      </c>
      <c r="O962">
        <v>323</v>
      </c>
      <c r="P962">
        <v>1630</v>
      </c>
      <c r="Q962">
        <v>0.41</v>
      </c>
      <c r="R962">
        <f t="shared" si="236"/>
        <v>-0.40802823117961823</v>
      </c>
    </row>
    <row r="963" spans="1:18" x14ac:dyDescent="0.25">
      <c r="A963">
        <v>711</v>
      </c>
      <c r="B963">
        <v>26</v>
      </c>
      <c r="C963">
        <v>76</v>
      </c>
      <c r="D963">
        <v>910</v>
      </c>
      <c r="E963">
        <v>481</v>
      </c>
      <c r="F963">
        <v>853</v>
      </c>
      <c r="G963" t="s">
        <v>5</v>
      </c>
      <c r="H963" s="1">
        <f t="shared" si="247"/>
        <v>36848.708333333896</v>
      </c>
      <c r="I963">
        <f t="shared" si="242"/>
        <v>2.3395999999999999</v>
      </c>
      <c r="J963">
        <f t="shared" si="243"/>
        <v>6.0696000000000003</v>
      </c>
      <c r="K963">
        <f t="shared" si="244"/>
        <v>90.855999999999995</v>
      </c>
      <c r="L963">
        <f t="shared" si="245"/>
        <v>-2.8012627800000018</v>
      </c>
      <c r="M963">
        <f t="shared" si="246"/>
        <v>299.197</v>
      </c>
      <c r="O963">
        <v>323</v>
      </c>
      <c r="P963">
        <v>1700</v>
      </c>
      <c r="Q963">
        <v>0.41</v>
      </c>
      <c r="R963">
        <f t="shared" si="236"/>
        <v>-0.40789222485092619</v>
      </c>
    </row>
    <row r="964" spans="1:18" x14ac:dyDescent="0.25">
      <c r="A964">
        <v>711</v>
      </c>
      <c r="B964">
        <v>36</v>
      </c>
      <c r="C964">
        <v>60</v>
      </c>
      <c r="D964">
        <v>936</v>
      </c>
      <c r="E964">
        <v>478</v>
      </c>
      <c r="F964">
        <v>857</v>
      </c>
      <c r="G964" t="s">
        <v>5</v>
      </c>
      <c r="H964" s="1">
        <f t="shared" si="247"/>
        <v>36848.729166667232</v>
      </c>
      <c r="I964">
        <f t="shared" ref="I964:J968" si="248">0.4+0.0746*B964</f>
        <v>3.0855999999999999</v>
      </c>
      <c r="J964">
        <f t="shared" si="248"/>
        <v>4.8760000000000003</v>
      </c>
      <c r="K964">
        <f>-2.146+0.1022*D964</f>
        <v>93.513199999999998</v>
      </c>
      <c r="L964">
        <f>-43.84+0.0805*E964+0.00001002*E964^2</f>
        <v>-3.0715903200000039</v>
      </c>
      <c r="M964">
        <f>1.5+0.349*F964</f>
        <v>300.59299999999996</v>
      </c>
      <c r="O964">
        <v>323</v>
      </c>
      <c r="P964">
        <v>1730</v>
      </c>
      <c r="Q964">
        <v>0.41</v>
      </c>
      <c r="R964">
        <f t="shared" si="236"/>
        <v>-0.40768824372525719</v>
      </c>
    </row>
    <row r="965" spans="1:18" x14ac:dyDescent="0.25">
      <c r="A965">
        <v>11</v>
      </c>
      <c r="B965">
        <v>44</v>
      </c>
      <c r="C965">
        <v>80</v>
      </c>
      <c r="D965">
        <v>935</v>
      </c>
      <c r="E965">
        <v>474</v>
      </c>
      <c r="F965">
        <v>845</v>
      </c>
      <c r="G965" t="s">
        <v>5</v>
      </c>
      <c r="H965" s="1">
        <f t="shared" si="247"/>
        <v>36848.750000000568</v>
      </c>
      <c r="I965">
        <f t="shared" si="248"/>
        <v>3.6823999999999999</v>
      </c>
      <c r="J965">
        <f t="shared" si="248"/>
        <v>6.3680000000000003</v>
      </c>
      <c r="K965">
        <f>-2.146+0.1022*D965</f>
        <v>93.411000000000001</v>
      </c>
      <c r="L965">
        <f>-43.84+0.0805*E965+0.00001002*E965^2</f>
        <v>-3.4317464799999997</v>
      </c>
      <c r="M965">
        <f>1.5+0.349*F965</f>
        <v>296.40499999999997</v>
      </c>
      <c r="O965">
        <v>323</v>
      </c>
      <c r="P965">
        <v>1800</v>
      </c>
      <c r="Q965">
        <v>0.41199999999999998</v>
      </c>
      <c r="R965">
        <f t="shared" si="236"/>
        <v>-0.40940371861529423</v>
      </c>
    </row>
    <row r="966" spans="1:18" x14ac:dyDescent="0.25">
      <c r="A966">
        <v>11</v>
      </c>
      <c r="B966">
        <v>30</v>
      </c>
      <c r="C966">
        <v>48</v>
      </c>
      <c r="D966">
        <v>64</v>
      </c>
      <c r="E966">
        <v>474</v>
      </c>
      <c r="F966">
        <v>840</v>
      </c>
      <c r="G966" t="s">
        <v>5</v>
      </c>
      <c r="H966" s="1">
        <f t="shared" si="247"/>
        <v>36848.770833333903</v>
      </c>
      <c r="I966">
        <f t="shared" si="248"/>
        <v>2.6379999999999999</v>
      </c>
      <c r="J966">
        <f t="shared" si="248"/>
        <v>3.9807999999999999</v>
      </c>
      <c r="K966">
        <f>-2.146+0.1022*D966</f>
        <v>4.3948</v>
      </c>
      <c r="L966">
        <f>-43.84+0.0805*E966+0.00001002*E966^2</f>
        <v>-3.4317464799999997</v>
      </c>
      <c r="M966">
        <f>1.5+0.349*F966</f>
        <v>294.65999999999997</v>
      </c>
      <c r="O966">
        <v>323</v>
      </c>
      <c r="P966">
        <v>1830</v>
      </c>
      <c r="Q966">
        <v>0.41</v>
      </c>
      <c r="R966">
        <f t="shared" si="236"/>
        <v>-0.40741632192298699</v>
      </c>
    </row>
    <row r="967" spans="1:18" x14ac:dyDescent="0.25">
      <c r="A967">
        <v>1</v>
      </c>
      <c r="B967">
        <v>29</v>
      </c>
      <c r="C967">
        <v>48</v>
      </c>
      <c r="D967">
        <v>974</v>
      </c>
      <c r="E967">
        <v>471</v>
      </c>
      <c r="F967">
        <v>845</v>
      </c>
      <c r="G967" t="s">
        <v>5</v>
      </c>
      <c r="H967" s="1">
        <f t="shared" si="247"/>
        <v>36848.791666667239</v>
      </c>
      <c r="I967">
        <f t="shared" si="248"/>
        <v>2.5634000000000001</v>
      </c>
      <c r="J967">
        <f t="shared" si="248"/>
        <v>3.9807999999999999</v>
      </c>
      <c r="K967">
        <f>-2.146+0.1022*D967</f>
        <v>97.396799999999999</v>
      </c>
      <c r="L967">
        <f>-43.84+0.0805*E967+0.00001002*E967^2</f>
        <v>-3.7016531800000019</v>
      </c>
      <c r="M967">
        <f>1.5+0.349*F967</f>
        <v>296.40499999999997</v>
      </c>
      <c r="O967">
        <v>323</v>
      </c>
      <c r="P967">
        <v>1900</v>
      </c>
      <c r="Q967">
        <v>0.41199999999999998</v>
      </c>
      <c r="R967">
        <f t="shared" ref="R967:R1030" si="249">-SQRT((L967+273.15)/273.15)*Q967</f>
        <v>-0.40919882246243827</v>
      </c>
    </row>
    <row r="968" spans="1:18" x14ac:dyDescent="0.25">
      <c r="A968">
        <v>1</v>
      </c>
      <c r="B968">
        <v>36</v>
      </c>
      <c r="C968">
        <v>56</v>
      </c>
      <c r="D968">
        <v>923</v>
      </c>
      <c r="E968">
        <v>467</v>
      </c>
      <c r="F968">
        <v>837</v>
      </c>
      <c r="G968" t="s">
        <v>5</v>
      </c>
      <c r="H968" s="1">
        <f t="shared" si="247"/>
        <v>36848.812500000575</v>
      </c>
      <c r="I968">
        <f t="shared" si="248"/>
        <v>3.0855999999999999</v>
      </c>
      <c r="J968">
        <f t="shared" si="248"/>
        <v>4.5776000000000003</v>
      </c>
      <c r="K968">
        <f>-2.146+0.1022*D968</f>
        <v>92.184600000000003</v>
      </c>
      <c r="L968">
        <f>-43.84+0.0805*E968+0.00001002*E968^2</f>
        <v>-4.0612482200000048</v>
      </c>
      <c r="M968">
        <f>1.5+0.349*F968</f>
        <v>293.613</v>
      </c>
      <c r="O968">
        <v>323</v>
      </c>
      <c r="P968">
        <v>1930</v>
      </c>
      <c r="Q968">
        <v>0.41199999999999998</v>
      </c>
      <c r="R968">
        <f t="shared" si="249"/>
        <v>-0.40892568106964522</v>
      </c>
    </row>
    <row r="969" spans="1:18" x14ac:dyDescent="0.25">
      <c r="A969">
        <v>1</v>
      </c>
      <c r="B969">
        <v>5</v>
      </c>
      <c r="C969">
        <v>0</v>
      </c>
      <c r="D969">
        <v>7</v>
      </c>
      <c r="E969">
        <v>4</v>
      </c>
      <c r="F969">
        <v>2</v>
      </c>
      <c r="H969" s="1">
        <f t="shared" si="247"/>
        <v>36848.833333333911</v>
      </c>
      <c r="O969">
        <v>323</v>
      </c>
      <c r="P969">
        <v>2000</v>
      </c>
      <c r="Q969">
        <v>0.41199999999999998</v>
      </c>
    </row>
    <row r="970" spans="1:18" x14ac:dyDescent="0.25">
      <c r="A970">
        <v>1</v>
      </c>
      <c r="B970">
        <v>2</v>
      </c>
      <c r="C970">
        <v>6</v>
      </c>
      <c r="D970">
        <v>7</v>
      </c>
      <c r="E970">
        <v>1</v>
      </c>
      <c r="F970">
        <v>9</v>
      </c>
      <c r="H970" s="1">
        <f>H969+1/48</f>
        <v>36848.854166667246</v>
      </c>
      <c r="O970">
        <v>323</v>
      </c>
      <c r="P970">
        <v>2030</v>
      </c>
      <c r="Q970">
        <v>0.41699999999999998</v>
      </c>
    </row>
    <row r="971" spans="1:18" x14ac:dyDescent="0.25">
      <c r="A971">
        <v>1</v>
      </c>
      <c r="B971">
        <v>8</v>
      </c>
      <c r="C971">
        <v>2</v>
      </c>
      <c r="D971">
        <v>7</v>
      </c>
      <c r="E971">
        <v>7</v>
      </c>
      <c r="F971">
        <v>5</v>
      </c>
      <c r="H971" s="1">
        <f t="shared" si="247"/>
        <v>36848.875000000582</v>
      </c>
      <c r="O971">
        <v>323</v>
      </c>
      <c r="P971">
        <v>2100</v>
      </c>
      <c r="Q971">
        <v>0.42</v>
      </c>
    </row>
    <row r="972" spans="1:18" x14ac:dyDescent="0.25">
      <c r="A972">
        <v>1</v>
      </c>
      <c r="B972">
        <v>8</v>
      </c>
      <c r="C972">
        <v>2</v>
      </c>
      <c r="D972">
        <v>7</v>
      </c>
      <c r="E972">
        <v>9</v>
      </c>
      <c r="F972">
        <v>8</v>
      </c>
      <c r="H972" s="1">
        <f t="shared" si="247"/>
        <v>36848.895833333918</v>
      </c>
      <c r="O972">
        <v>323</v>
      </c>
      <c r="P972">
        <v>2130</v>
      </c>
      <c r="Q972">
        <v>0.41699999999999998</v>
      </c>
    </row>
    <row r="973" spans="1:18" x14ac:dyDescent="0.25">
      <c r="A973">
        <v>1</v>
      </c>
      <c r="B973">
        <v>6</v>
      </c>
      <c r="C973">
        <v>6</v>
      </c>
      <c r="D973">
        <v>7</v>
      </c>
      <c r="E973">
        <v>8</v>
      </c>
      <c r="F973">
        <v>9</v>
      </c>
      <c r="H973" s="1">
        <f t="shared" si="247"/>
        <v>36848.916666667254</v>
      </c>
      <c r="O973">
        <v>323</v>
      </c>
      <c r="P973">
        <v>2200</v>
      </c>
      <c r="Q973">
        <v>0.41699999999999998</v>
      </c>
    </row>
    <row r="974" spans="1:18" x14ac:dyDescent="0.25">
      <c r="A974">
        <v>1</v>
      </c>
      <c r="B974">
        <v>6</v>
      </c>
      <c r="C974">
        <v>8</v>
      </c>
      <c r="D974">
        <v>7</v>
      </c>
      <c r="E974">
        <v>8</v>
      </c>
      <c r="F974">
        <v>0</v>
      </c>
      <c r="H974" s="1">
        <f t="shared" si="247"/>
        <v>36848.937500000589</v>
      </c>
      <c r="O974">
        <v>323</v>
      </c>
      <c r="P974">
        <v>2230</v>
      </c>
      <c r="Q974">
        <v>0.41699999999999998</v>
      </c>
    </row>
    <row r="975" spans="1:18" x14ac:dyDescent="0.25">
      <c r="A975">
        <v>1</v>
      </c>
      <c r="B975">
        <v>4</v>
      </c>
      <c r="C975">
        <v>4</v>
      </c>
      <c r="D975">
        <v>7</v>
      </c>
      <c r="E975">
        <v>7</v>
      </c>
      <c r="F975">
        <v>1</v>
      </c>
      <c r="H975" s="1">
        <f t="shared" si="247"/>
        <v>36848.958333333925</v>
      </c>
      <c r="O975">
        <v>323</v>
      </c>
      <c r="P975">
        <v>2300</v>
      </c>
      <c r="Q975">
        <v>0.41699999999999998</v>
      </c>
    </row>
    <row r="976" spans="1:18" x14ac:dyDescent="0.25">
      <c r="A976">
        <v>1</v>
      </c>
      <c r="B976">
        <v>7</v>
      </c>
      <c r="C976">
        <v>4</v>
      </c>
      <c r="D976">
        <v>7</v>
      </c>
      <c r="E976">
        <v>7</v>
      </c>
      <c r="F976">
        <v>5</v>
      </c>
      <c r="H976" s="1">
        <f t="shared" si="247"/>
        <v>36848.979166667261</v>
      </c>
      <c r="O976">
        <v>323</v>
      </c>
      <c r="P976">
        <v>2330</v>
      </c>
      <c r="Q976">
        <v>0.41699999999999998</v>
      </c>
    </row>
    <row r="977" spans="1:18" x14ac:dyDescent="0.25">
      <c r="A977">
        <v>1</v>
      </c>
      <c r="B977">
        <v>7</v>
      </c>
      <c r="C977">
        <v>0</v>
      </c>
      <c r="D977">
        <v>9</v>
      </c>
      <c r="E977">
        <v>4</v>
      </c>
      <c r="F977">
        <v>8</v>
      </c>
      <c r="H977" s="1">
        <f t="shared" si="247"/>
        <v>36849.000000000597</v>
      </c>
      <c r="O977">
        <v>323</v>
      </c>
      <c r="P977">
        <v>2400</v>
      </c>
      <c r="Q977">
        <v>0.41199999999999998</v>
      </c>
    </row>
    <row r="978" spans="1:18" x14ac:dyDescent="0.25">
      <c r="A978">
        <v>7</v>
      </c>
      <c r="B978">
        <v>57</v>
      </c>
      <c r="C978">
        <v>84</v>
      </c>
      <c r="D978">
        <v>927</v>
      </c>
      <c r="E978">
        <v>457</v>
      </c>
      <c r="F978">
        <v>845</v>
      </c>
      <c r="G978" t="s">
        <v>5</v>
      </c>
      <c r="H978" s="1">
        <f t="shared" si="247"/>
        <v>36849.020833333932</v>
      </c>
      <c r="I978">
        <f t="shared" ref="I978:J980" si="250">0.4+0.0746*B978</f>
        <v>4.6522000000000006</v>
      </c>
      <c r="J978">
        <f t="shared" si="250"/>
        <v>6.6664000000000003</v>
      </c>
      <c r="K978">
        <f>-2.146+0.1022*D978</f>
        <v>92.593400000000003</v>
      </c>
      <c r="L978">
        <f>-43.84+0.0805*E978+0.00001002*E978^2</f>
        <v>-4.9588330200000037</v>
      </c>
      <c r="M978">
        <f>1.5+0.349*F978</f>
        <v>296.40499999999997</v>
      </c>
      <c r="O978">
        <v>324</v>
      </c>
      <c r="P978">
        <v>30</v>
      </c>
      <c r="Q978">
        <v>0.41499999999999998</v>
      </c>
      <c r="R978">
        <f t="shared" si="249"/>
        <v>-0.411215739637315</v>
      </c>
    </row>
    <row r="979" spans="1:18" x14ac:dyDescent="0.25">
      <c r="A979">
        <v>7</v>
      </c>
      <c r="B979">
        <v>27</v>
      </c>
      <c r="C979">
        <v>76</v>
      </c>
      <c r="D979">
        <v>926</v>
      </c>
      <c r="E979">
        <v>457</v>
      </c>
      <c r="F979">
        <v>857</v>
      </c>
      <c r="G979" t="s">
        <v>5</v>
      </c>
      <c r="H979" s="1">
        <f t="shared" si="247"/>
        <v>36849.041666667268</v>
      </c>
      <c r="I979">
        <f t="shared" si="250"/>
        <v>2.4141999999999997</v>
      </c>
      <c r="J979">
        <f t="shared" si="250"/>
        <v>6.0696000000000003</v>
      </c>
      <c r="K979">
        <f>-2.146+0.1022*D979</f>
        <v>92.491199999999992</v>
      </c>
      <c r="L979">
        <f>-43.84+0.0805*E979+0.00001002*E979^2</f>
        <v>-4.9588330200000037</v>
      </c>
      <c r="M979">
        <f>1.5+0.349*F979</f>
        <v>300.59299999999996</v>
      </c>
      <c r="O979">
        <v>324</v>
      </c>
      <c r="P979">
        <v>100</v>
      </c>
      <c r="Q979">
        <v>0.41499999999999998</v>
      </c>
      <c r="R979">
        <f t="shared" si="249"/>
        <v>-0.411215739637315</v>
      </c>
    </row>
    <row r="980" spans="1:18" x14ac:dyDescent="0.25">
      <c r="A980">
        <v>7</v>
      </c>
      <c r="B980">
        <v>19</v>
      </c>
      <c r="C980">
        <v>40</v>
      </c>
      <c r="D980">
        <v>926</v>
      </c>
      <c r="E980">
        <v>456</v>
      </c>
      <c r="F980">
        <v>817</v>
      </c>
      <c r="G980" t="s">
        <v>5</v>
      </c>
      <c r="H980" s="1">
        <f t="shared" si="247"/>
        <v>36849.062500000604</v>
      </c>
      <c r="I980">
        <f t="shared" si="250"/>
        <v>1.8174000000000001</v>
      </c>
      <c r="J980">
        <f t="shared" si="250"/>
        <v>3.3839999999999999</v>
      </c>
      <c r="K980">
        <f>-2.146+0.1022*D980</f>
        <v>92.491199999999992</v>
      </c>
      <c r="L980">
        <f>-43.84+0.0805*E980+0.00001002*E980^2</f>
        <v>-5.0484812800000043</v>
      </c>
      <c r="M980">
        <f>1.5+0.349*F980</f>
        <v>286.63299999999998</v>
      </c>
      <c r="O980">
        <v>324</v>
      </c>
      <c r="P980">
        <v>130</v>
      </c>
      <c r="Q980">
        <v>0.41499999999999998</v>
      </c>
      <c r="R980">
        <f t="shared" si="249"/>
        <v>-0.41114700535130111</v>
      </c>
    </row>
    <row r="981" spans="1:18" x14ac:dyDescent="0.25">
      <c r="A981">
        <v>7</v>
      </c>
      <c r="B981">
        <v>37</v>
      </c>
      <c r="C981">
        <v>68</v>
      </c>
      <c r="D981">
        <v>926</v>
      </c>
      <c r="E981">
        <v>456</v>
      </c>
      <c r="F981">
        <v>857</v>
      </c>
      <c r="G981" t="s">
        <v>5</v>
      </c>
      <c r="H981" s="1">
        <f t="shared" si="247"/>
        <v>36849.08333333394</v>
      </c>
      <c r="I981">
        <f t="shared" ref="I981:I990" si="251">0.4+0.0746*B981</f>
        <v>3.1602000000000001</v>
      </c>
      <c r="J981">
        <f t="shared" ref="J981:J990" si="252">0.4+0.0746*C981</f>
        <v>5.4728000000000003</v>
      </c>
      <c r="K981">
        <f t="shared" ref="K981:K990" si="253">-2.146+0.1022*D981</f>
        <v>92.491199999999992</v>
      </c>
      <c r="L981">
        <f t="shared" ref="L981:L990" si="254">-43.84+0.0805*E981+0.00001002*E981^2</f>
        <v>-5.0484812800000043</v>
      </c>
      <c r="M981">
        <f t="shared" ref="M981:M990" si="255">1.5+0.349*F981</f>
        <v>300.59299999999996</v>
      </c>
      <c r="O981">
        <v>324</v>
      </c>
      <c r="P981">
        <v>200</v>
      </c>
      <c r="Q981">
        <v>0.41499999999999998</v>
      </c>
      <c r="R981">
        <f t="shared" si="249"/>
        <v>-0.41114700535130111</v>
      </c>
    </row>
    <row r="982" spans="1:18" x14ac:dyDescent="0.25">
      <c r="A982">
        <v>7</v>
      </c>
      <c r="B982">
        <v>24</v>
      </c>
      <c r="C982">
        <v>48</v>
      </c>
      <c r="D982">
        <v>926</v>
      </c>
      <c r="E982">
        <v>455</v>
      </c>
      <c r="F982">
        <v>837</v>
      </c>
      <c r="G982" t="s">
        <v>5</v>
      </c>
      <c r="H982" s="1">
        <f t="shared" si="247"/>
        <v>36849.104166667275</v>
      </c>
      <c r="I982">
        <f t="shared" si="251"/>
        <v>2.1903999999999999</v>
      </c>
      <c r="J982">
        <f t="shared" si="252"/>
        <v>3.9807999999999999</v>
      </c>
      <c r="K982">
        <f t="shared" si="253"/>
        <v>92.491199999999992</v>
      </c>
      <c r="L982">
        <f t="shared" si="254"/>
        <v>-5.1381095000000059</v>
      </c>
      <c r="M982">
        <f t="shared" si="255"/>
        <v>293.613</v>
      </c>
      <c r="O982">
        <v>324</v>
      </c>
      <c r="P982">
        <v>230</v>
      </c>
      <c r="Q982">
        <v>0.41499999999999998</v>
      </c>
      <c r="R982">
        <f t="shared" si="249"/>
        <v>-0.41107827494131777</v>
      </c>
    </row>
    <row r="983" spans="1:18" x14ac:dyDescent="0.25">
      <c r="A983">
        <v>7</v>
      </c>
      <c r="B983">
        <v>20</v>
      </c>
      <c r="C983">
        <v>44</v>
      </c>
      <c r="D983">
        <v>926</v>
      </c>
      <c r="E983">
        <v>454</v>
      </c>
      <c r="F983">
        <v>820</v>
      </c>
      <c r="G983" t="s">
        <v>5</v>
      </c>
      <c r="H983" s="1">
        <f t="shared" si="247"/>
        <v>36849.125000000611</v>
      </c>
      <c r="I983">
        <f t="shared" si="251"/>
        <v>1.8919999999999999</v>
      </c>
      <c r="J983">
        <f t="shared" si="252"/>
        <v>3.6823999999999999</v>
      </c>
      <c r="K983">
        <f t="shared" si="253"/>
        <v>92.491199999999992</v>
      </c>
      <c r="L983">
        <f t="shared" si="254"/>
        <v>-5.2277176799999996</v>
      </c>
      <c r="M983">
        <f t="shared" si="255"/>
        <v>287.68</v>
      </c>
      <c r="O983">
        <v>324</v>
      </c>
      <c r="P983">
        <v>300</v>
      </c>
      <c r="Q983">
        <v>0.41499999999999998</v>
      </c>
      <c r="R983">
        <f t="shared" si="249"/>
        <v>-0.41100954840930931</v>
      </c>
    </row>
    <row r="984" spans="1:18" x14ac:dyDescent="0.25">
      <c r="A984">
        <v>7</v>
      </c>
      <c r="B984">
        <v>43</v>
      </c>
      <c r="C984">
        <v>72</v>
      </c>
      <c r="D984">
        <v>927</v>
      </c>
      <c r="E984">
        <v>452</v>
      </c>
      <c r="F984">
        <v>833</v>
      </c>
      <c r="G984" t="s">
        <v>5</v>
      </c>
      <c r="H984" s="1">
        <f t="shared" si="247"/>
        <v>36849.145833333947</v>
      </c>
      <c r="I984">
        <f t="shared" si="251"/>
        <v>3.6077999999999997</v>
      </c>
      <c r="J984">
        <f t="shared" si="252"/>
        <v>5.7712000000000003</v>
      </c>
      <c r="K984">
        <f t="shared" si="253"/>
        <v>92.593400000000003</v>
      </c>
      <c r="L984">
        <f t="shared" si="254"/>
        <v>-5.4068739200000007</v>
      </c>
      <c r="M984">
        <f t="shared" si="255"/>
        <v>292.21699999999998</v>
      </c>
      <c r="O984">
        <v>324</v>
      </c>
      <c r="P984">
        <v>330</v>
      </c>
      <c r="Q984">
        <v>0.41499999999999998</v>
      </c>
      <c r="R984">
        <f t="shared" si="249"/>
        <v>-0.41087210698700116</v>
      </c>
    </row>
    <row r="985" spans="1:18" x14ac:dyDescent="0.25">
      <c r="A985">
        <v>7</v>
      </c>
      <c r="B985">
        <v>60</v>
      </c>
      <c r="C985">
        <v>96</v>
      </c>
      <c r="D985">
        <v>927</v>
      </c>
      <c r="E985">
        <v>455</v>
      </c>
      <c r="F985">
        <v>856</v>
      </c>
      <c r="G985" t="s">
        <v>5</v>
      </c>
      <c r="H985" s="1">
        <f t="shared" si="247"/>
        <v>36849.166666667283</v>
      </c>
      <c r="I985">
        <f t="shared" si="251"/>
        <v>4.8760000000000003</v>
      </c>
      <c r="J985">
        <f t="shared" si="252"/>
        <v>7.5616000000000003</v>
      </c>
      <c r="K985">
        <f t="shared" si="253"/>
        <v>92.593400000000003</v>
      </c>
      <c r="L985">
        <f t="shared" si="254"/>
        <v>-5.1381095000000059</v>
      </c>
      <c r="M985">
        <f t="shared" si="255"/>
        <v>300.24399999999997</v>
      </c>
      <c r="O985">
        <v>324</v>
      </c>
      <c r="P985">
        <v>400</v>
      </c>
      <c r="Q985">
        <v>0.41499999999999998</v>
      </c>
      <c r="R985">
        <f t="shared" si="249"/>
        <v>-0.41107827494131777</v>
      </c>
    </row>
    <row r="986" spans="1:18" x14ac:dyDescent="0.25">
      <c r="A986">
        <v>7</v>
      </c>
      <c r="B986">
        <v>36</v>
      </c>
      <c r="C986">
        <v>68</v>
      </c>
      <c r="D986">
        <v>926</v>
      </c>
      <c r="E986">
        <v>455</v>
      </c>
      <c r="F986">
        <v>853</v>
      </c>
      <c r="G986" t="s">
        <v>5</v>
      </c>
      <c r="H986" s="1">
        <f t="shared" si="247"/>
        <v>36849.187500000618</v>
      </c>
      <c r="I986">
        <f t="shared" si="251"/>
        <v>3.0855999999999999</v>
      </c>
      <c r="J986">
        <f t="shared" si="252"/>
        <v>5.4728000000000003</v>
      </c>
      <c r="K986">
        <f t="shared" si="253"/>
        <v>92.491199999999992</v>
      </c>
      <c r="L986">
        <f t="shared" si="254"/>
        <v>-5.1381095000000059</v>
      </c>
      <c r="M986">
        <f t="shared" si="255"/>
        <v>299.197</v>
      </c>
      <c r="O986">
        <v>324</v>
      </c>
      <c r="P986">
        <v>430</v>
      </c>
      <c r="Q986">
        <v>0.41499999999999998</v>
      </c>
      <c r="R986">
        <f t="shared" si="249"/>
        <v>-0.41107827494131777</v>
      </c>
    </row>
    <row r="987" spans="1:18" x14ac:dyDescent="0.25">
      <c r="A987">
        <v>7</v>
      </c>
      <c r="B987">
        <v>25</v>
      </c>
      <c r="C987">
        <v>60</v>
      </c>
      <c r="D987">
        <v>927</v>
      </c>
      <c r="E987">
        <v>452</v>
      </c>
      <c r="F987">
        <v>813</v>
      </c>
      <c r="G987" t="s">
        <v>5</v>
      </c>
      <c r="H987" s="1">
        <f t="shared" si="247"/>
        <v>36849.208333333954</v>
      </c>
      <c r="I987">
        <f t="shared" si="251"/>
        <v>2.2650000000000001</v>
      </c>
      <c r="J987">
        <f t="shared" si="252"/>
        <v>4.8760000000000003</v>
      </c>
      <c r="K987">
        <f t="shared" si="253"/>
        <v>92.593400000000003</v>
      </c>
      <c r="L987">
        <f t="shared" si="254"/>
        <v>-5.4068739200000007</v>
      </c>
      <c r="M987">
        <f t="shared" si="255"/>
        <v>285.23699999999997</v>
      </c>
      <c r="O987">
        <v>324</v>
      </c>
      <c r="P987">
        <v>500</v>
      </c>
      <c r="Q987">
        <v>0.41499999999999998</v>
      </c>
      <c r="R987">
        <f t="shared" si="249"/>
        <v>-0.41087210698700116</v>
      </c>
    </row>
    <row r="988" spans="1:18" x14ac:dyDescent="0.25">
      <c r="A988">
        <v>7</v>
      </c>
      <c r="B988">
        <v>54</v>
      </c>
      <c r="C988">
        <v>80</v>
      </c>
      <c r="D988">
        <v>926</v>
      </c>
      <c r="E988">
        <v>452</v>
      </c>
      <c r="F988">
        <v>833</v>
      </c>
      <c r="G988" t="s">
        <v>5</v>
      </c>
      <c r="H988" s="1">
        <f t="shared" si="247"/>
        <v>36849.22916666729</v>
      </c>
      <c r="I988">
        <f t="shared" si="251"/>
        <v>4.4283999999999999</v>
      </c>
      <c r="J988">
        <f t="shared" si="252"/>
        <v>6.3680000000000003</v>
      </c>
      <c r="K988">
        <f t="shared" si="253"/>
        <v>92.491199999999992</v>
      </c>
      <c r="L988">
        <f t="shared" si="254"/>
        <v>-5.4068739200000007</v>
      </c>
      <c r="M988">
        <f t="shared" si="255"/>
        <v>292.21699999999998</v>
      </c>
      <c r="O988">
        <v>324</v>
      </c>
      <c r="P988">
        <v>530</v>
      </c>
      <c r="Q988">
        <v>0.41499999999999998</v>
      </c>
      <c r="R988">
        <f t="shared" si="249"/>
        <v>-0.41087210698700116</v>
      </c>
    </row>
    <row r="989" spans="1:18" x14ac:dyDescent="0.25">
      <c r="A989">
        <v>7</v>
      </c>
      <c r="B989">
        <v>48</v>
      </c>
      <c r="C989">
        <v>84</v>
      </c>
      <c r="D989">
        <v>926</v>
      </c>
      <c r="E989">
        <v>454</v>
      </c>
      <c r="F989">
        <v>848</v>
      </c>
      <c r="G989" t="s">
        <v>5</v>
      </c>
      <c r="H989" s="1">
        <f t="shared" si="247"/>
        <v>36849.250000000626</v>
      </c>
      <c r="I989">
        <f t="shared" si="251"/>
        <v>3.9807999999999999</v>
      </c>
      <c r="J989">
        <f t="shared" si="252"/>
        <v>6.6664000000000003</v>
      </c>
      <c r="K989">
        <f t="shared" si="253"/>
        <v>92.491199999999992</v>
      </c>
      <c r="L989">
        <f t="shared" si="254"/>
        <v>-5.2277176799999996</v>
      </c>
      <c r="M989">
        <f t="shared" si="255"/>
        <v>297.452</v>
      </c>
      <c r="O989">
        <v>324</v>
      </c>
      <c r="P989">
        <v>600</v>
      </c>
      <c r="Q989">
        <v>0.41499999999999998</v>
      </c>
      <c r="R989">
        <f t="shared" si="249"/>
        <v>-0.41100954840930931</v>
      </c>
    </row>
    <row r="990" spans="1:18" x14ac:dyDescent="0.25">
      <c r="A990">
        <v>7</v>
      </c>
      <c r="B990">
        <v>21</v>
      </c>
      <c r="C990">
        <v>60</v>
      </c>
      <c r="D990">
        <v>927</v>
      </c>
      <c r="E990">
        <v>452</v>
      </c>
      <c r="F990">
        <v>869</v>
      </c>
      <c r="G990" t="s">
        <v>5</v>
      </c>
      <c r="H990" s="1">
        <f t="shared" si="247"/>
        <v>36849.270833333961</v>
      </c>
      <c r="I990">
        <f t="shared" si="251"/>
        <v>1.9666000000000001</v>
      </c>
      <c r="J990">
        <f t="shared" si="252"/>
        <v>4.8760000000000003</v>
      </c>
      <c r="K990">
        <f t="shared" si="253"/>
        <v>92.593400000000003</v>
      </c>
      <c r="L990">
        <f t="shared" si="254"/>
        <v>-5.4068739200000007</v>
      </c>
      <c r="M990">
        <f t="shared" si="255"/>
        <v>304.78100000000001</v>
      </c>
      <c r="O990">
        <v>324</v>
      </c>
      <c r="P990">
        <v>630</v>
      </c>
      <c r="Q990">
        <v>0.41499999999999998</v>
      </c>
      <c r="R990">
        <f t="shared" si="249"/>
        <v>-0.41087210698700116</v>
      </c>
    </row>
    <row r="991" spans="1:18" x14ac:dyDescent="0.25">
      <c r="A991">
        <v>7</v>
      </c>
      <c r="B991">
        <v>29</v>
      </c>
      <c r="C991">
        <v>72</v>
      </c>
      <c r="D991">
        <v>926</v>
      </c>
      <c r="E991">
        <v>455</v>
      </c>
      <c r="F991">
        <v>865</v>
      </c>
      <c r="G991" t="s">
        <v>5</v>
      </c>
      <c r="H991" s="1">
        <f t="shared" si="247"/>
        <v>36849.291666667297</v>
      </c>
      <c r="I991">
        <f t="shared" si="242"/>
        <v>2.5634000000000001</v>
      </c>
      <c r="J991">
        <f t="shared" si="243"/>
        <v>5.7712000000000003</v>
      </c>
      <c r="K991">
        <f t="shared" si="244"/>
        <v>92.491199999999992</v>
      </c>
      <c r="L991">
        <f t="shared" si="245"/>
        <v>-5.1381095000000059</v>
      </c>
      <c r="M991">
        <f t="shared" si="246"/>
        <v>303.38499999999999</v>
      </c>
      <c r="O991">
        <v>324</v>
      </c>
      <c r="P991">
        <v>700</v>
      </c>
      <c r="Q991">
        <v>0.41499999999999998</v>
      </c>
      <c r="R991">
        <f t="shared" si="249"/>
        <v>-0.41107827494131777</v>
      </c>
    </row>
    <row r="992" spans="1:18" x14ac:dyDescent="0.25">
      <c r="A992">
        <v>711</v>
      </c>
      <c r="B992">
        <v>16</v>
      </c>
      <c r="C992">
        <v>36</v>
      </c>
      <c r="D992">
        <v>926</v>
      </c>
      <c r="E992">
        <v>455</v>
      </c>
      <c r="F992">
        <v>839</v>
      </c>
      <c r="G992" t="s">
        <v>5</v>
      </c>
      <c r="H992" s="1">
        <f t="shared" si="247"/>
        <v>36849.312500000633</v>
      </c>
      <c r="I992">
        <f t="shared" si="242"/>
        <v>1.5935999999999999</v>
      </c>
      <c r="J992">
        <f t="shared" si="243"/>
        <v>3.0855999999999999</v>
      </c>
      <c r="K992">
        <f t="shared" si="244"/>
        <v>92.491199999999992</v>
      </c>
      <c r="L992">
        <f t="shared" si="245"/>
        <v>-5.1381095000000059</v>
      </c>
      <c r="M992">
        <f t="shared" si="246"/>
        <v>294.31099999999998</v>
      </c>
      <c r="O992">
        <v>324</v>
      </c>
      <c r="P992">
        <v>730</v>
      </c>
      <c r="Q992">
        <v>0.41499999999999998</v>
      </c>
      <c r="R992">
        <f t="shared" si="249"/>
        <v>-0.41107827494131777</v>
      </c>
    </row>
    <row r="993" spans="1:18" x14ac:dyDescent="0.25">
      <c r="A993">
        <v>711</v>
      </c>
      <c r="B993">
        <v>17</v>
      </c>
      <c r="C993">
        <v>36</v>
      </c>
      <c r="D993">
        <v>926</v>
      </c>
      <c r="E993">
        <v>455</v>
      </c>
      <c r="F993">
        <v>853</v>
      </c>
      <c r="G993" t="s">
        <v>5</v>
      </c>
      <c r="H993" s="1">
        <f t="shared" si="247"/>
        <v>36849.333333333969</v>
      </c>
      <c r="I993">
        <f t="shared" si="242"/>
        <v>1.6682000000000001</v>
      </c>
      <c r="J993">
        <f t="shared" si="243"/>
        <v>3.0855999999999999</v>
      </c>
      <c r="K993">
        <f t="shared" si="244"/>
        <v>92.491199999999992</v>
      </c>
      <c r="L993">
        <f t="shared" si="245"/>
        <v>-5.1381095000000059</v>
      </c>
      <c r="M993">
        <f t="shared" si="246"/>
        <v>299.197</v>
      </c>
      <c r="O993">
        <v>324</v>
      </c>
      <c r="P993">
        <v>800</v>
      </c>
      <c r="Q993">
        <v>0.41499999999999998</v>
      </c>
      <c r="R993">
        <f t="shared" si="249"/>
        <v>-0.41107827494131777</v>
      </c>
    </row>
    <row r="994" spans="1:18" x14ac:dyDescent="0.25">
      <c r="A994">
        <v>711</v>
      </c>
      <c r="B994">
        <v>42</v>
      </c>
      <c r="C994">
        <v>68</v>
      </c>
      <c r="D994">
        <v>927</v>
      </c>
      <c r="E994">
        <v>456</v>
      </c>
      <c r="F994">
        <v>855</v>
      </c>
      <c r="G994" t="s">
        <v>5</v>
      </c>
      <c r="H994" s="1">
        <f t="shared" si="247"/>
        <v>36849.354166667305</v>
      </c>
      <c r="I994">
        <f t="shared" si="242"/>
        <v>3.5331999999999999</v>
      </c>
      <c r="J994">
        <f t="shared" si="243"/>
        <v>5.4728000000000003</v>
      </c>
      <c r="K994">
        <f t="shared" si="244"/>
        <v>92.593400000000003</v>
      </c>
      <c r="L994">
        <f t="shared" si="245"/>
        <v>-5.0484812800000043</v>
      </c>
      <c r="M994">
        <f t="shared" si="246"/>
        <v>299.89499999999998</v>
      </c>
      <c r="O994">
        <v>324</v>
      </c>
      <c r="P994">
        <v>830</v>
      </c>
      <c r="Q994">
        <v>0.41499999999999998</v>
      </c>
      <c r="R994">
        <f t="shared" si="249"/>
        <v>-0.41114700535130111</v>
      </c>
    </row>
    <row r="995" spans="1:18" x14ac:dyDescent="0.25">
      <c r="A995">
        <v>711</v>
      </c>
      <c r="B995">
        <v>56</v>
      </c>
      <c r="C995">
        <v>72</v>
      </c>
      <c r="D995">
        <v>926</v>
      </c>
      <c r="E995">
        <v>458</v>
      </c>
      <c r="F995">
        <v>857</v>
      </c>
      <c r="G995" t="s">
        <v>5</v>
      </c>
      <c r="H995" s="1">
        <f t="shared" si="247"/>
        <v>36849.37500000064</v>
      </c>
      <c r="I995">
        <f t="shared" si="242"/>
        <v>4.5776000000000003</v>
      </c>
      <c r="J995">
        <f t="shared" si="243"/>
        <v>5.7712000000000003</v>
      </c>
      <c r="K995">
        <f t="shared" si="244"/>
        <v>92.491199999999992</v>
      </c>
      <c r="L995">
        <f t="shared" si="245"/>
        <v>-4.8691647200000041</v>
      </c>
      <c r="M995">
        <f t="shared" si="246"/>
        <v>300.59299999999996</v>
      </c>
      <c r="O995">
        <v>324</v>
      </c>
      <c r="P995">
        <v>900</v>
      </c>
      <c r="Q995">
        <v>0.41499999999999998</v>
      </c>
      <c r="R995">
        <f t="shared" si="249"/>
        <v>-0.41128447779741595</v>
      </c>
    </row>
    <row r="996" spans="1:18" x14ac:dyDescent="0.25">
      <c r="A996">
        <v>711</v>
      </c>
      <c r="B996">
        <v>24</v>
      </c>
      <c r="C996">
        <v>56</v>
      </c>
      <c r="D996">
        <v>897</v>
      </c>
      <c r="E996">
        <v>471</v>
      </c>
      <c r="F996">
        <v>821</v>
      </c>
      <c r="G996" t="s">
        <v>5</v>
      </c>
      <c r="H996" s="1">
        <f t="shared" si="247"/>
        <v>36849.395833333976</v>
      </c>
      <c r="I996">
        <f t="shared" si="242"/>
        <v>2.1903999999999999</v>
      </c>
      <c r="J996">
        <f t="shared" si="243"/>
        <v>4.5776000000000003</v>
      </c>
      <c r="K996">
        <f t="shared" si="244"/>
        <v>89.5274</v>
      </c>
      <c r="L996">
        <f t="shared" si="245"/>
        <v>-3.7016531800000019</v>
      </c>
      <c r="M996">
        <f t="shared" si="246"/>
        <v>288.029</v>
      </c>
      <c r="O996">
        <v>324</v>
      </c>
      <c r="P996">
        <v>930</v>
      </c>
      <c r="Q996">
        <v>0.42</v>
      </c>
      <c r="R996">
        <f t="shared" si="249"/>
        <v>-0.41714443066559243</v>
      </c>
    </row>
    <row r="997" spans="1:18" x14ac:dyDescent="0.25">
      <c r="A997">
        <v>711</v>
      </c>
      <c r="B997">
        <v>9</v>
      </c>
      <c r="C997">
        <v>28</v>
      </c>
      <c r="D997">
        <v>41</v>
      </c>
      <c r="E997">
        <v>470</v>
      </c>
      <c r="F997">
        <v>777</v>
      </c>
      <c r="G997" t="s">
        <v>5</v>
      </c>
      <c r="H997" s="1">
        <f t="shared" si="247"/>
        <v>36849.416666667312</v>
      </c>
      <c r="I997">
        <f t="shared" si="242"/>
        <v>1.0714000000000001</v>
      </c>
      <c r="J997">
        <f t="shared" si="243"/>
        <v>2.4887999999999999</v>
      </c>
      <c r="K997">
        <f t="shared" si="244"/>
        <v>2.0442</v>
      </c>
      <c r="L997">
        <f t="shared" si="245"/>
        <v>-3.7915820000000022</v>
      </c>
      <c r="M997">
        <f t="shared" si="246"/>
        <v>272.673</v>
      </c>
      <c r="O997">
        <v>324</v>
      </c>
      <c r="P997">
        <v>1000</v>
      </c>
      <c r="Q997">
        <v>0.41699999999999998</v>
      </c>
      <c r="R997">
        <f t="shared" si="249"/>
        <v>-0.41409570773236987</v>
      </c>
    </row>
    <row r="998" spans="1:18" x14ac:dyDescent="0.25">
      <c r="A998">
        <v>711</v>
      </c>
      <c r="B998">
        <v>42</v>
      </c>
      <c r="C998">
        <v>72</v>
      </c>
      <c r="D998">
        <v>33</v>
      </c>
      <c r="E998">
        <v>463</v>
      </c>
      <c r="F998">
        <v>853</v>
      </c>
      <c r="G998" t="s">
        <v>5</v>
      </c>
      <c r="H998" s="1">
        <f t="shared" si="247"/>
        <v>36849.437500000648</v>
      </c>
      <c r="I998">
        <f t="shared" si="242"/>
        <v>3.5331999999999999</v>
      </c>
      <c r="J998">
        <f t="shared" si="243"/>
        <v>5.7712000000000003</v>
      </c>
      <c r="K998">
        <f t="shared" si="244"/>
        <v>1.2265999999999999</v>
      </c>
      <c r="L998">
        <f t="shared" si="245"/>
        <v>-4.4205226199999998</v>
      </c>
      <c r="M998">
        <f t="shared" si="246"/>
        <v>299.197</v>
      </c>
      <c r="O998">
        <v>324</v>
      </c>
      <c r="P998">
        <v>1030</v>
      </c>
      <c r="Q998">
        <v>0.41699999999999998</v>
      </c>
      <c r="R998">
        <f t="shared" si="249"/>
        <v>-0.41361197713113379</v>
      </c>
    </row>
    <row r="999" spans="1:18" x14ac:dyDescent="0.25">
      <c r="A999">
        <v>711</v>
      </c>
      <c r="B999">
        <v>47</v>
      </c>
      <c r="C999">
        <v>76</v>
      </c>
      <c r="D999">
        <v>143</v>
      </c>
      <c r="E999">
        <v>459</v>
      </c>
      <c r="F999">
        <v>877</v>
      </c>
      <c r="G999" t="s">
        <v>5</v>
      </c>
      <c r="H999" s="1">
        <f t="shared" si="247"/>
        <v>36849.458333333983</v>
      </c>
      <c r="I999">
        <f t="shared" si="242"/>
        <v>3.9061999999999997</v>
      </c>
      <c r="J999">
        <f t="shared" si="243"/>
        <v>6.0696000000000003</v>
      </c>
      <c r="K999">
        <f t="shared" si="244"/>
        <v>12.468599999999999</v>
      </c>
      <c r="L999">
        <f t="shared" si="245"/>
        <v>-4.7794763800000029</v>
      </c>
      <c r="M999">
        <f t="shared" si="246"/>
        <v>307.57299999999998</v>
      </c>
      <c r="O999">
        <v>324</v>
      </c>
      <c r="P999">
        <v>1100</v>
      </c>
      <c r="Q999">
        <v>0.41699999999999998</v>
      </c>
      <c r="R999">
        <f t="shared" si="249"/>
        <v>-0.41333564498546765</v>
      </c>
    </row>
    <row r="1000" spans="1:18" x14ac:dyDescent="0.25">
      <c r="A1000">
        <v>711</v>
      </c>
      <c r="B1000">
        <v>32</v>
      </c>
      <c r="C1000">
        <v>76</v>
      </c>
      <c r="D1000">
        <v>284</v>
      </c>
      <c r="E1000">
        <v>462</v>
      </c>
      <c r="F1000">
        <v>833</v>
      </c>
      <c r="G1000" t="s">
        <v>5</v>
      </c>
      <c r="H1000" s="1">
        <f t="shared" si="247"/>
        <v>36849.479166667319</v>
      </c>
      <c r="I1000">
        <f t="shared" si="242"/>
        <v>2.7871999999999999</v>
      </c>
      <c r="J1000">
        <f t="shared" si="243"/>
        <v>6.0696000000000003</v>
      </c>
      <c r="K1000">
        <f t="shared" si="244"/>
        <v>26.878799999999998</v>
      </c>
      <c r="L1000">
        <f t="shared" si="245"/>
        <v>-4.5102911200000007</v>
      </c>
      <c r="M1000">
        <f t="shared" si="246"/>
        <v>292.21699999999998</v>
      </c>
      <c r="O1000">
        <v>324</v>
      </c>
      <c r="P1000">
        <v>1130</v>
      </c>
      <c r="Q1000">
        <v>0.41499999999999998</v>
      </c>
      <c r="R1000">
        <f t="shared" si="249"/>
        <v>-0.41155946913986724</v>
      </c>
    </row>
    <row r="1001" spans="1:18" x14ac:dyDescent="0.25">
      <c r="A1001">
        <v>711</v>
      </c>
      <c r="B1001">
        <v>28</v>
      </c>
      <c r="C1001">
        <v>52</v>
      </c>
      <c r="D1001">
        <v>505</v>
      </c>
      <c r="E1001">
        <v>474</v>
      </c>
      <c r="F1001">
        <v>824</v>
      </c>
      <c r="G1001" t="s">
        <v>5</v>
      </c>
      <c r="H1001" s="1">
        <f t="shared" si="247"/>
        <v>36849.500000000655</v>
      </c>
      <c r="I1001">
        <f t="shared" si="242"/>
        <v>2.4887999999999999</v>
      </c>
      <c r="J1001">
        <f t="shared" si="243"/>
        <v>4.2792000000000003</v>
      </c>
      <c r="K1001">
        <f t="shared" si="244"/>
        <v>49.464999999999996</v>
      </c>
      <c r="L1001">
        <f t="shared" si="245"/>
        <v>-3.4317464799999997</v>
      </c>
      <c r="M1001">
        <f t="shared" si="246"/>
        <v>289.07599999999996</v>
      </c>
      <c r="O1001">
        <v>324</v>
      </c>
      <c r="P1001">
        <v>1200</v>
      </c>
      <c r="Q1001">
        <v>0.41499999999999998</v>
      </c>
      <c r="R1001">
        <f t="shared" si="249"/>
        <v>-0.41238481365375512</v>
      </c>
    </row>
    <row r="1002" spans="1:18" x14ac:dyDescent="0.25">
      <c r="A1002">
        <v>711</v>
      </c>
      <c r="B1002">
        <v>25</v>
      </c>
      <c r="C1002">
        <v>56</v>
      </c>
      <c r="D1002">
        <v>430</v>
      </c>
      <c r="E1002">
        <v>468</v>
      </c>
      <c r="F1002">
        <v>828</v>
      </c>
      <c r="G1002" t="s">
        <v>5</v>
      </c>
      <c r="H1002" s="1">
        <f t="shared" si="247"/>
        <v>36849.520833333991</v>
      </c>
      <c r="I1002">
        <f t="shared" si="242"/>
        <v>2.2650000000000001</v>
      </c>
      <c r="J1002">
        <f t="shared" si="243"/>
        <v>4.5776000000000003</v>
      </c>
      <c r="K1002">
        <f t="shared" si="244"/>
        <v>41.8</v>
      </c>
      <c r="L1002">
        <f t="shared" si="245"/>
        <v>-3.9713795200000037</v>
      </c>
      <c r="M1002">
        <f t="shared" si="246"/>
        <v>290.47199999999998</v>
      </c>
      <c r="O1002">
        <v>324</v>
      </c>
      <c r="P1002">
        <v>1230</v>
      </c>
      <c r="Q1002">
        <v>0.41199999999999998</v>
      </c>
      <c r="R1002">
        <f t="shared" si="249"/>
        <v>-0.40899396068235172</v>
      </c>
    </row>
    <row r="1003" spans="1:18" x14ac:dyDescent="0.25">
      <c r="A1003">
        <v>711</v>
      </c>
      <c r="B1003">
        <v>40</v>
      </c>
      <c r="C1003">
        <v>60</v>
      </c>
      <c r="D1003">
        <v>475</v>
      </c>
      <c r="E1003">
        <v>474</v>
      </c>
      <c r="F1003">
        <v>820</v>
      </c>
      <c r="G1003" t="s">
        <v>5</v>
      </c>
      <c r="H1003" s="1">
        <f t="shared" si="247"/>
        <v>36849.541666667326</v>
      </c>
      <c r="I1003">
        <f t="shared" si="242"/>
        <v>3.3839999999999999</v>
      </c>
      <c r="J1003">
        <f t="shared" si="243"/>
        <v>4.8760000000000003</v>
      </c>
      <c r="K1003">
        <f t="shared" si="244"/>
        <v>46.399000000000001</v>
      </c>
      <c r="L1003">
        <f t="shared" si="245"/>
        <v>-3.4317464799999997</v>
      </c>
      <c r="M1003">
        <f t="shared" si="246"/>
        <v>287.68</v>
      </c>
      <c r="O1003">
        <v>324</v>
      </c>
      <c r="P1003">
        <v>1300</v>
      </c>
      <c r="Q1003">
        <v>0.41199999999999998</v>
      </c>
      <c r="R1003">
        <f t="shared" si="249"/>
        <v>-0.40940371861529423</v>
      </c>
    </row>
    <row r="1004" spans="1:18" x14ac:dyDescent="0.25">
      <c r="A1004">
        <v>711</v>
      </c>
      <c r="B1004">
        <v>26</v>
      </c>
      <c r="C1004">
        <v>60</v>
      </c>
      <c r="D1004">
        <v>513</v>
      </c>
      <c r="E1004">
        <v>484</v>
      </c>
      <c r="F1004">
        <v>761</v>
      </c>
      <c r="G1004" t="s">
        <v>5</v>
      </c>
      <c r="H1004" s="1">
        <f t="shared" si="247"/>
        <v>36849.562500000662</v>
      </c>
      <c r="I1004">
        <f t="shared" si="242"/>
        <v>2.3395999999999999</v>
      </c>
      <c r="J1004">
        <f t="shared" si="243"/>
        <v>4.8760000000000003</v>
      </c>
      <c r="K1004">
        <f t="shared" si="244"/>
        <v>50.282600000000002</v>
      </c>
      <c r="L1004">
        <f t="shared" si="245"/>
        <v>-2.5307548799999999</v>
      </c>
      <c r="M1004">
        <f t="shared" si="246"/>
        <v>267.089</v>
      </c>
      <c r="O1004">
        <v>324</v>
      </c>
      <c r="P1004">
        <v>1330</v>
      </c>
      <c r="Q1004">
        <v>0.41199999999999998</v>
      </c>
      <c r="R1004">
        <f t="shared" si="249"/>
        <v>-0.41008695337767687</v>
      </c>
    </row>
    <row r="1005" spans="1:18" x14ac:dyDescent="0.25">
      <c r="A1005">
        <v>711</v>
      </c>
      <c r="B1005">
        <v>10</v>
      </c>
      <c r="C1005">
        <v>44</v>
      </c>
      <c r="D1005">
        <v>168</v>
      </c>
      <c r="E1005">
        <v>475</v>
      </c>
      <c r="F1005">
        <v>733</v>
      </c>
      <c r="G1005" t="s">
        <v>5</v>
      </c>
      <c r="H1005" s="1">
        <f t="shared" si="247"/>
        <v>36849.583333333998</v>
      </c>
      <c r="I1005">
        <f t="shared" ref="I1005:I1044" si="256">0.4+0.0746*B1005</f>
        <v>1.1459999999999999</v>
      </c>
      <c r="J1005">
        <f t="shared" ref="J1005:J1044" si="257">0.4+0.0746*C1005</f>
        <v>3.6823999999999999</v>
      </c>
      <c r="K1005">
        <f t="shared" ref="K1005:K1044" si="258">-2.146+0.1022*D1005</f>
        <v>15.023599999999998</v>
      </c>
      <c r="L1005">
        <f t="shared" ref="L1005:L1044" si="259">-43.84+0.0805*E1005+0.00001002*E1005^2</f>
        <v>-3.3417374999999989</v>
      </c>
      <c r="M1005">
        <f t="shared" ref="M1005:M1044" si="260">1.5+0.349*F1005</f>
        <v>257.31700000000001</v>
      </c>
      <c r="O1005">
        <v>324</v>
      </c>
      <c r="P1005">
        <v>1400</v>
      </c>
      <c r="Q1005">
        <v>0.41199999999999998</v>
      </c>
      <c r="R1005">
        <f t="shared" si="249"/>
        <v>-0.40947202496238794</v>
      </c>
    </row>
    <row r="1006" spans="1:18" x14ac:dyDescent="0.25">
      <c r="A1006">
        <v>711</v>
      </c>
      <c r="B1006">
        <v>24</v>
      </c>
      <c r="C1006">
        <v>48</v>
      </c>
      <c r="D1006">
        <v>471</v>
      </c>
      <c r="E1006">
        <v>475</v>
      </c>
      <c r="F1006">
        <v>780</v>
      </c>
      <c r="G1006" t="s">
        <v>5</v>
      </c>
      <c r="H1006" s="1">
        <f t="shared" si="247"/>
        <v>36849.604166667334</v>
      </c>
      <c r="I1006">
        <f t="shared" si="256"/>
        <v>2.1903999999999999</v>
      </c>
      <c r="J1006">
        <f t="shared" si="257"/>
        <v>3.9807999999999999</v>
      </c>
      <c r="K1006">
        <f t="shared" si="258"/>
        <v>45.990200000000002</v>
      </c>
      <c r="L1006">
        <f t="shared" si="259"/>
        <v>-3.3417374999999989</v>
      </c>
      <c r="M1006">
        <f t="shared" si="260"/>
        <v>273.71999999999997</v>
      </c>
      <c r="O1006">
        <v>324</v>
      </c>
      <c r="P1006">
        <v>1430</v>
      </c>
      <c r="Q1006">
        <v>0.41</v>
      </c>
      <c r="R1006">
        <f t="shared" si="249"/>
        <v>-0.40748429668587149</v>
      </c>
    </row>
    <row r="1007" spans="1:18" x14ac:dyDescent="0.25">
      <c r="A1007">
        <v>711</v>
      </c>
      <c r="B1007">
        <v>31</v>
      </c>
      <c r="C1007">
        <v>56</v>
      </c>
      <c r="D1007">
        <v>552</v>
      </c>
      <c r="E1007">
        <v>477</v>
      </c>
      <c r="F1007">
        <v>801</v>
      </c>
      <c r="G1007" t="s">
        <v>5</v>
      </c>
      <c r="H1007" s="1">
        <f t="shared" ref="H1007:H1068" si="261">H1006+1/48</f>
        <v>36849.625000000669</v>
      </c>
      <c r="I1007">
        <f t="shared" si="256"/>
        <v>2.7125999999999997</v>
      </c>
      <c r="J1007">
        <f t="shared" si="257"/>
        <v>4.5776000000000003</v>
      </c>
      <c r="K1007">
        <f t="shared" si="258"/>
        <v>54.2684</v>
      </c>
      <c r="L1007">
        <f t="shared" si="259"/>
        <v>-3.1616594200000048</v>
      </c>
      <c r="M1007">
        <f t="shared" si="260"/>
        <v>281.04899999999998</v>
      </c>
      <c r="O1007">
        <v>324</v>
      </c>
      <c r="P1007">
        <v>1500</v>
      </c>
      <c r="Q1007">
        <v>0.41</v>
      </c>
      <c r="R1007">
        <f t="shared" si="249"/>
        <v>-0.40762025758890369</v>
      </c>
    </row>
    <row r="1008" spans="1:18" x14ac:dyDescent="0.25">
      <c r="A1008">
        <v>711</v>
      </c>
      <c r="B1008">
        <v>38</v>
      </c>
      <c r="C1008">
        <v>56</v>
      </c>
      <c r="D1008">
        <v>569</v>
      </c>
      <c r="E1008">
        <v>481</v>
      </c>
      <c r="F1008">
        <v>781</v>
      </c>
      <c r="G1008" t="s">
        <v>5</v>
      </c>
      <c r="H1008" s="1">
        <f t="shared" si="261"/>
        <v>36849.645833334005</v>
      </c>
      <c r="I1008">
        <f t="shared" si="256"/>
        <v>3.2347999999999999</v>
      </c>
      <c r="J1008">
        <f t="shared" si="257"/>
        <v>4.5776000000000003</v>
      </c>
      <c r="K1008">
        <f t="shared" si="258"/>
        <v>56.005800000000001</v>
      </c>
      <c r="L1008">
        <f t="shared" si="259"/>
        <v>-2.8012627800000018</v>
      </c>
      <c r="M1008">
        <f t="shared" si="260"/>
        <v>274.06899999999996</v>
      </c>
      <c r="O1008">
        <v>324</v>
      </c>
      <c r="P1008">
        <v>1530</v>
      </c>
      <c r="Q1008">
        <v>0.41</v>
      </c>
      <c r="R1008">
        <f t="shared" si="249"/>
        <v>-0.40789222485092619</v>
      </c>
    </row>
    <row r="1009" spans="1:18" x14ac:dyDescent="0.25">
      <c r="A1009">
        <v>711</v>
      </c>
      <c r="B1009">
        <v>35</v>
      </c>
      <c r="C1009">
        <v>60</v>
      </c>
      <c r="D1009">
        <v>437</v>
      </c>
      <c r="E1009">
        <v>481</v>
      </c>
      <c r="F1009">
        <v>765</v>
      </c>
      <c r="G1009" t="s">
        <v>5</v>
      </c>
      <c r="H1009" s="1">
        <f t="shared" si="261"/>
        <v>36849.666666667341</v>
      </c>
      <c r="I1009">
        <f t="shared" si="256"/>
        <v>3.0109999999999997</v>
      </c>
      <c r="J1009">
        <f t="shared" si="257"/>
        <v>4.8760000000000003</v>
      </c>
      <c r="K1009">
        <f t="shared" si="258"/>
        <v>42.5154</v>
      </c>
      <c r="L1009">
        <f t="shared" si="259"/>
        <v>-2.8012627800000018</v>
      </c>
      <c r="M1009">
        <f t="shared" si="260"/>
        <v>268.48499999999996</v>
      </c>
      <c r="O1009">
        <v>324</v>
      </c>
      <c r="P1009">
        <v>1600</v>
      </c>
      <c r="Q1009">
        <v>0.41</v>
      </c>
      <c r="R1009">
        <f t="shared" si="249"/>
        <v>-0.40789222485092619</v>
      </c>
    </row>
    <row r="1010" spans="1:18" x14ac:dyDescent="0.25">
      <c r="A1010">
        <v>711</v>
      </c>
      <c r="B1010">
        <v>21</v>
      </c>
      <c r="C1010">
        <v>28</v>
      </c>
      <c r="D1010">
        <v>274</v>
      </c>
      <c r="E1010">
        <v>479</v>
      </c>
      <c r="F1010">
        <v>769</v>
      </c>
      <c r="G1010" t="s">
        <v>5</v>
      </c>
      <c r="H1010" s="1">
        <f t="shared" si="261"/>
        <v>36849.687500000677</v>
      </c>
      <c r="I1010">
        <f t="shared" si="256"/>
        <v>1.9666000000000001</v>
      </c>
      <c r="J1010">
        <f t="shared" si="257"/>
        <v>2.4887999999999999</v>
      </c>
      <c r="K1010">
        <f t="shared" si="258"/>
        <v>25.8568</v>
      </c>
      <c r="L1010">
        <f t="shared" si="259"/>
        <v>-2.9815011800000035</v>
      </c>
      <c r="M1010">
        <f t="shared" si="260"/>
        <v>269.88099999999997</v>
      </c>
      <c r="O1010">
        <v>324</v>
      </c>
      <c r="P1010">
        <v>1630</v>
      </c>
      <c r="Q1010">
        <v>0.41</v>
      </c>
      <c r="R1010">
        <f t="shared" si="249"/>
        <v>-0.40775623364897473</v>
      </c>
    </row>
    <row r="1011" spans="1:18" x14ac:dyDescent="0.25">
      <c r="A1011">
        <v>711</v>
      </c>
      <c r="B1011">
        <v>20</v>
      </c>
      <c r="C1011">
        <v>40</v>
      </c>
      <c r="D1011">
        <v>449</v>
      </c>
      <c r="E1011">
        <v>481</v>
      </c>
      <c r="F1011">
        <v>793</v>
      </c>
      <c r="G1011" t="s">
        <v>5</v>
      </c>
      <c r="H1011" s="1">
        <f t="shared" si="261"/>
        <v>36849.708333334012</v>
      </c>
      <c r="I1011">
        <f t="shared" si="256"/>
        <v>1.8919999999999999</v>
      </c>
      <c r="J1011">
        <f t="shared" si="257"/>
        <v>3.3839999999999999</v>
      </c>
      <c r="K1011">
        <f t="shared" si="258"/>
        <v>43.741799999999998</v>
      </c>
      <c r="L1011">
        <f t="shared" si="259"/>
        <v>-2.8012627800000018</v>
      </c>
      <c r="M1011">
        <f t="shared" si="260"/>
        <v>278.25700000000001</v>
      </c>
      <c r="O1011">
        <v>324</v>
      </c>
      <c r="P1011">
        <v>1700</v>
      </c>
      <c r="Q1011">
        <v>0.41</v>
      </c>
      <c r="R1011">
        <f t="shared" si="249"/>
        <v>-0.40789222485092619</v>
      </c>
    </row>
    <row r="1012" spans="1:18" x14ac:dyDescent="0.25">
      <c r="A1012">
        <v>711</v>
      </c>
      <c r="B1012">
        <v>32</v>
      </c>
      <c r="C1012">
        <v>52</v>
      </c>
      <c r="D1012">
        <v>460</v>
      </c>
      <c r="E1012">
        <v>482</v>
      </c>
      <c r="F1012">
        <v>791</v>
      </c>
      <c r="G1012" t="s">
        <v>5</v>
      </c>
      <c r="H1012" s="1">
        <f t="shared" si="261"/>
        <v>36849.729166667348</v>
      </c>
      <c r="I1012">
        <f t="shared" si="256"/>
        <v>2.7871999999999999</v>
      </c>
      <c r="J1012">
        <f t="shared" si="257"/>
        <v>4.2792000000000003</v>
      </c>
      <c r="K1012">
        <f t="shared" si="258"/>
        <v>44.866</v>
      </c>
      <c r="L1012">
        <f t="shared" si="259"/>
        <v>-2.7111135200000014</v>
      </c>
      <c r="M1012">
        <f t="shared" si="260"/>
        <v>277.55899999999997</v>
      </c>
      <c r="O1012">
        <v>324</v>
      </c>
      <c r="P1012">
        <v>1730</v>
      </c>
      <c r="Q1012">
        <v>0.41</v>
      </c>
      <c r="R1012">
        <f t="shared" si="249"/>
        <v>-0.40796022612537514</v>
      </c>
    </row>
    <row r="1013" spans="1:18" x14ac:dyDescent="0.25">
      <c r="A1013">
        <v>711</v>
      </c>
      <c r="B1013">
        <v>39</v>
      </c>
      <c r="C1013">
        <v>52</v>
      </c>
      <c r="D1013">
        <v>466</v>
      </c>
      <c r="E1013">
        <v>481</v>
      </c>
      <c r="F1013">
        <v>797</v>
      </c>
      <c r="G1013" t="s">
        <v>5</v>
      </c>
      <c r="H1013" s="1">
        <f t="shared" si="261"/>
        <v>36849.750000000684</v>
      </c>
      <c r="I1013">
        <f t="shared" si="256"/>
        <v>3.3093999999999997</v>
      </c>
      <c r="J1013">
        <f t="shared" si="257"/>
        <v>4.2792000000000003</v>
      </c>
      <c r="K1013">
        <f t="shared" si="258"/>
        <v>45.479199999999999</v>
      </c>
      <c r="L1013">
        <f t="shared" si="259"/>
        <v>-2.8012627800000018</v>
      </c>
      <c r="M1013">
        <f t="shared" si="260"/>
        <v>279.65299999999996</v>
      </c>
      <c r="O1013">
        <v>324</v>
      </c>
      <c r="P1013">
        <v>1800</v>
      </c>
      <c r="Q1013">
        <v>0.40699999999999997</v>
      </c>
      <c r="R1013">
        <f t="shared" si="249"/>
        <v>-0.40490764759591941</v>
      </c>
    </row>
    <row r="1014" spans="1:18" x14ac:dyDescent="0.25">
      <c r="A1014">
        <v>711</v>
      </c>
      <c r="B1014">
        <v>50</v>
      </c>
      <c r="C1014">
        <v>68</v>
      </c>
      <c r="D1014">
        <v>509</v>
      </c>
      <c r="E1014">
        <v>478</v>
      </c>
      <c r="F1014">
        <v>824</v>
      </c>
      <c r="G1014" t="s">
        <v>5</v>
      </c>
      <c r="H1014" s="1">
        <f t="shared" si="261"/>
        <v>36849.77083333402</v>
      </c>
      <c r="I1014">
        <f t="shared" si="256"/>
        <v>4.13</v>
      </c>
      <c r="J1014">
        <f t="shared" si="257"/>
        <v>5.4728000000000003</v>
      </c>
      <c r="K1014">
        <f t="shared" si="258"/>
        <v>49.873799999999996</v>
      </c>
      <c r="L1014">
        <f t="shared" si="259"/>
        <v>-3.0715903200000039</v>
      </c>
      <c r="M1014">
        <f t="shared" si="260"/>
        <v>289.07599999999996</v>
      </c>
      <c r="O1014">
        <v>324</v>
      </c>
      <c r="P1014">
        <v>1830</v>
      </c>
      <c r="Q1014">
        <v>0.40699999999999997</v>
      </c>
      <c r="R1014">
        <f t="shared" si="249"/>
        <v>-0.40470515901507237</v>
      </c>
    </row>
    <row r="1015" spans="1:18" x14ac:dyDescent="0.25">
      <c r="A1015">
        <v>711</v>
      </c>
      <c r="B1015">
        <v>43</v>
      </c>
      <c r="C1015">
        <v>64</v>
      </c>
      <c r="D1015">
        <v>509</v>
      </c>
      <c r="E1015">
        <v>476</v>
      </c>
      <c r="F1015">
        <v>828</v>
      </c>
      <c r="G1015" t="s">
        <v>5</v>
      </c>
      <c r="H1015" s="1">
        <f t="shared" si="261"/>
        <v>36849.791666667355</v>
      </c>
      <c r="I1015">
        <f t="shared" si="256"/>
        <v>3.6077999999999997</v>
      </c>
      <c r="J1015">
        <f t="shared" si="257"/>
        <v>5.1744000000000003</v>
      </c>
      <c r="K1015">
        <f t="shared" si="258"/>
        <v>49.873799999999996</v>
      </c>
      <c r="L1015">
        <f t="shared" si="259"/>
        <v>-3.2517084800000053</v>
      </c>
      <c r="M1015">
        <f t="shared" si="260"/>
        <v>290.47199999999998</v>
      </c>
      <c r="O1015">
        <v>324</v>
      </c>
      <c r="P1015">
        <v>1900</v>
      </c>
      <c r="Q1015">
        <v>0.41199999999999998</v>
      </c>
      <c r="R1015">
        <f t="shared" si="249"/>
        <v>-0.40954033512103794</v>
      </c>
    </row>
    <row r="1016" spans="1:18" x14ac:dyDescent="0.25">
      <c r="A1016">
        <v>711</v>
      </c>
      <c r="B1016">
        <v>14</v>
      </c>
      <c r="C1016">
        <v>36</v>
      </c>
      <c r="D1016">
        <v>510</v>
      </c>
      <c r="E1016">
        <v>477</v>
      </c>
      <c r="F1016">
        <v>808</v>
      </c>
      <c r="G1016" t="s">
        <v>5</v>
      </c>
      <c r="H1016" s="1">
        <f t="shared" si="261"/>
        <v>36849.812500000691</v>
      </c>
      <c r="I1016">
        <f t="shared" si="256"/>
        <v>1.4443999999999999</v>
      </c>
      <c r="J1016">
        <f t="shared" si="257"/>
        <v>3.0855999999999999</v>
      </c>
      <c r="K1016">
        <f t="shared" si="258"/>
        <v>49.975999999999999</v>
      </c>
      <c r="L1016">
        <f t="shared" si="259"/>
        <v>-3.1616594200000048</v>
      </c>
      <c r="M1016">
        <f t="shared" si="260"/>
        <v>283.49199999999996</v>
      </c>
      <c r="O1016">
        <v>324</v>
      </c>
      <c r="P1016">
        <v>1930</v>
      </c>
      <c r="Q1016">
        <v>0.41199999999999998</v>
      </c>
      <c r="R1016">
        <f t="shared" si="249"/>
        <v>-0.40960864908933736</v>
      </c>
    </row>
    <row r="1017" spans="1:18" x14ac:dyDescent="0.25">
      <c r="A1017">
        <v>711</v>
      </c>
      <c r="B1017">
        <v>18</v>
      </c>
      <c r="C1017">
        <v>36</v>
      </c>
      <c r="D1017">
        <v>510</v>
      </c>
      <c r="E1017">
        <v>473</v>
      </c>
      <c r="F1017">
        <v>857</v>
      </c>
      <c r="G1017" t="s">
        <v>5</v>
      </c>
      <c r="H1017" s="1">
        <f t="shared" si="261"/>
        <v>36849.833333334027</v>
      </c>
      <c r="I1017">
        <f t="shared" si="256"/>
        <v>1.7427999999999999</v>
      </c>
      <c r="J1017">
        <f t="shared" si="257"/>
        <v>3.0855999999999999</v>
      </c>
      <c r="K1017">
        <f t="shared" si="258"/>
        <v>49.975999999999999</v>
      </c>
      <c r="L1017">
        <f t="shared" si="259"/>
        <v>-3.5217354200000002</v>
      </c>
      <c r="M1017">
        <f t="shared" si="260"/>
        <v>300.59299999999996</v>
      </c>
      <c r="O1017">
        <v>324</v>
      </c>
      <c r="P1017">
        <v>2000</v>
      </c>
      <c r="Q1017">
        <v>0.41199999999999998</v>
      </c>
      <c r="R1017">
        <f t="shared" si="249"/>
        <v>-0.40933541608166502</v>
      </c>
    </row>
    <row r="1018" spans="1:18" x14ac:dyDescent="0.25">
      <c r="A1018">
        <v>711</v>
      </c>
      <c r="B1018">
        <v>15</v>
      </c>
      <c r="C1018">
        <v>28</v>
      </c>
      <c r="D1018">
        <v>510</v>
      </c>
      <c r="E1018">
        <v>475</v>
      </c>
      <c r="F1018">
        <v>793</v>
      </c>
      <c r="G1018" t="s">
        <v>5</v>
      </c>
      <c r="H1018" s="1">
        <f>H1017+1/48</f>
        <v>36849.854166667363</v>
      </c>
      <c r="I1018">
        <f t="shared" si="256"/>
        <v>1.5190000000000001</v>
      </c>
      <c r="J1018">
        <f t="shared" si="257"/>
        <v>2.4887999999999999</v>
      </c>
      <c r="K1018">
        <f t="shared" si="258"/>
        <v>49.975999999999999</v>
      </c>
      <c r="L1018">
        <f t="shared" si="259"/>
        <v>-3.3417374999999989</v>
      </c>
      <c r="M1018">
        <f t="shared" si="260"/>
        <v>278.25700000000001</v>
      </c>
      <c r="O1018">
        <v>324</v>
      </c>
      <c r="P1018">
        <v>2030</v>
      </c>
      <c r="Q1018">
        <v>0.41199999999999998</v>
      </c>
      <c r="R1018">
        <f t="shared" si="249"/>
        <v>-0.40947202496238794</v>
      </c>
    </row>
    <row r="1019" spans="1:18" x14ac:dyDescent="0.25">
      <c r="A1019">
        <v>711</v>
      </c>
      <c r="B1019">
        <v>26</v>
      </c>
      <c r="C1019">
        <v>48</v>
      </c>
      <c r="D1019">
        <v>510</v>
      </c>
      <c r="E1019">
        <v>474</v>
      </c>
      <c r="F1019">
        <v>757</v>
      </c>
      <c r="G1019" t="s">
        <v>5</v>
      </c>
      <c r="H1019" s="1">
        <f t="shared" si="261"/>
        <v>36849.875000000698</v>
      </c>
      <c r="I1019">
        <f t="shared" si="256"/>
        <v>2.3395999999999999</v>
      </c>
      <c r="J1019">
        <f t="shared" si="257"/>
        <v>3.9807999999999999</v>
      </c>
      <c r="K1019">
        <f t="shared" si="258"/>
        <v>49.975999999999999</v>
      </c>
      <c r="L1019">
        <f t="shared" si="259"/>
        <v>-3.4317464799999997</v>
      </c>
      <c r="M1019">
        <f t="shared" si="260"/>
        <v>265.69299999999998</v>
      </c>
      <c r="O1019">
        <v>324</v>
      </c>
      <c r="P1019">
        <v>2100</v>
      </c>
      <c r="Q1019">
        <v>0.41199999999999998</v>
      </c>
      <c r="R1019">
        <f t="shared" si="249"/>
        <v>-0.40940371861529423</v>
      </c>
    </row>
    <row r="1020" spans="1:18" x14ac:dyDescent="0.25">
      <c r="A1020">
        <v>711</v>
      </c>
      <c r="B1020">
        <v>14</v>
      </c>
      <c r="C1020">
        <v>40</v>
      </c>
      <c r="D1020">
        <v>510</v>
      </c>
      <c r="E1020">
        <v>472</v>
      </c>
      <c r="F1020">
        <v>749</v>
      </c>
      <c r="G1020" t="s">
        <v>5</v>
      </c>
      <c r="H1020" s="1">
        <f t="shared" si="261"/>
        <v>36849.895833334034</v>
      </c>
      <c r="I1020">
        <f t="shared" si="256"/>
        <v>1.4443999999999999</v>
      </c>
      <c r="J1020">
        <f t="shared" si="257"/>
        <v>3.3839999999999999</v>
      </c>
      <c r="K1020">
        <f t="shared" si="258"/>
        <v>49.975999999999999</v>
      </c>
      <c r="L1020">
        <f t="shared" si="259"/>
        <v>-3.6117043200000012</v>
      </c>
      <c r="M1020">
        <f t="shared" si="260"/>
        <v>262.90100000000001</v>
      </c>
      <c r="O1020">
        <v>324</v>
      </c>
      <c r="P1020">
        <v>2130</v>
      </c>
      <c r="Q1020">
        <v>0.41199999999999998</v>
      </c>
      <c r="R1020">
        <f t="shared" si="249"/>
        <v>-0.40926711736340954</v>
      </c>
    </row>
    <row r="1021" spans="1:18" x14ac:dyDescent="0.25">
      <c r="A1021">
        <v>711</v>
      </c>
      <c r="B1021">
        <v>16</v>
      </c>
      <c r="C1021">
        <v>56</v>
      </c>
      <c r="D1021">
        <v>510</v>
      </c>
      <c r="E1021">
        <v>472</v>
      </c>
      <c r="F1021">
        <v>780</v>
      </c>
      <c r="G1021" t="s">
        <v>5</v>
      </c>
      <c r="H1021" s="1">
        <f t="shared" si="261"/>
        <v>36849.91666666737</v>
      </c>
      <c r="I1021">
        <f t="shared" si="256"/>
        <v>1.5935999999999999</v>
      </c>
      <c r="J1021">
        <f t="shared" si="257"/>
        <v>4.5776000000000003</v>
      </c>
      <c r="K1021">
        <f t="shared" si="258"/>
        <v>49.975999999999999</v>
      </c>
      <c r="L1021">
        <f t="shared" si="259"/>
        <v>-3.6117043200000012</v>
      </c>
      <c r="M1021">
        <f t="shared" si="260"/>
        <v>273.71999999999997</v>
      </c>
      <c r="O1021">
        <v>324</v>
      </c>
      <c r="P1021">
        <v>2200</v>
      </c>
      <c r="Q1021">
        <v>0.41199999999999998</v>
      </c>
      <c r="R1021">
        <f t="shared" si="249"/>
        <v>-0.40926711736340954</v>
      </c>
    </row>
    <row r="1022" spans="1:18" x14ac:dyDescent="0.25">
      <c r="A1022">
        <v>711</v>
      </c>
      <c r="B1022">
        <v>27</v>
      </c>
      <c r="C1022">
        <v>80</v>
      </c>
      <c r="D1022">
        <v>511</v>
      </c>
      <c r="E1022">
        <v>474</v>
      </c>
      <c r="F1022">
        <v>761</v>
      </c>
      <c r="G1022" t="s">
        <v>5</v>
      </c>
      <c r="H1022" s="1">
        <f t="shared" si="261"/>
        <v>36849.937500000706</v>
      </c>
      <c r="I1022">
        <f t="shared" si="256"/>
        <v>2.4141999999999997</v>
      </c>
      <c r="J1022">
        <f t="shared" si="257"/>
        <v>6.3680000000000003</v>
      </c>
      <c r="K1022">
        <f t="shared" si="258"/>
        <v>50.078199999999995</v>
      </c>
      <c r="L1022">
        <f t="shared" si="259"/>
        <v>-3.4317464799999997</v>
      </c>
      <c r="M1022">
        <f t="shared" si="260"/>
        <v>267.089</v>
      </c>
      <c r="O1022">
        <v>324</v>
      </c>
      <c r="P1022">
        <v>2230</v>
      </c>
      <c r="Q1022">
        <v>0.41199999999999998</v>
      </c>
      <c r="R1022">
        <f t="shared" si="249"/>
        <v>-0.40940371861529423</v>
      </c>
    </row>
    <row r="1023" spans="1:18" x14ac:dyDescent="0.25">
      <c r="A1023">
        <v>711</v>
      </c>
      <c r="B1023">
        <v>29</v>
      </c>
      <c r="C1023">
        <v>88</v>
      </c>
      <c r="D1023">
        <v>511</v>
      </c>
      <c r="E1023">
        <v>468</v>
      </c>
      <c r="F1023">
        <v>777</v>
      </c>
      <c r="G1023" t="s">
        <v>5</v>
      </c>
      <c r="H1023" s="1">
        <f t="shared" si="261"/>
        <v>36849.958333334042</v>
      </c>
      <c r="I1023">
        <f t="shared" si="256"/>
        <v>2.5634000000000001</v>
      </c>
      <c r="J1023">
        <f t="shared" si="257"/>
        <v>6.9648000000000003</v>
      </c>
      <c r="K1023">
        <f t="shared" si="258"/>
        <v>50.078199999999995</v>
      </c>
      <c r="L1023">
        <f t="shared" si="259"/>
        <v>-3.9713795200000037</v>
      </c>
      <c r="M1023">
        <f t="shared" si="260"/>
        <v>272.673</v>
      </c>
      <c r="O1023">
        <v>324</v>
      </c>
      <c r="P1023">
        <v>2300</v>
      </c>
      <c r="Q1023">
        <v>0.41</v>
      </c>
      <c r="R1023">
        <f t="shared" si="249"/>
        <v>-0.4070085531062238</v>
      </c>
    </row>
    <row r="1024" spans="1:18" x14ac:dyDescent="0.25">
      <c r="A1024">
        <v>711</v>
      </c>
      <c r="B1024">
        <v>38</v>
      </c>
      <c r="C1024">
        <v>84</v>
      </c>
      <c r="D1024">
        <v>510</v>
      </c>
      <c r="E1024">
        <v>466</v>
      </c>
      <c r="F1024">
        <v>757</v>
      </c>
      <c r="G1024" t="s">
        <v>5</v>
      </c>
      <c r="H1024" s="1">
        <f t="shared" si="261"/>
        <v>36849.979166667377</v>
      </c>
      <c r="I1024">
        <f t="shared" si="256"/>
        <v>3.2347999999999999</v>
      </c>
      <c r="J1024">
        <f t="shared" si="257"/>
        <v>6.6664000000000003</v>
      </c>
      <c r="K1024">
        <f t="shared" si="258"/>
        <v>49.975999999999999</v>
      </c>
      <c r="L1024">
        <f t="shared" si="259"/>
        <v>-4.1510968800000052</v>
      </c>
      <c r="M1024">
        <f t="shared" si="260"/>
        <v>265.69299999999998</v>
      </c>
      <c r="O1024">
        <v>324</v>
      </c>
      <c r="P1024">
        <v>2330</v>
      </c>
      <c r="Q1024">
        <v>0.41</v>
      </c>
      <c r="R1024">
        <f t="shared" si="249"/>
        <v>-0.40687266059794897</v>
      </c>
    </row>
    <row r="1025" spans="1:18" x14ac:dyDescent="0.25">
      <c r="A1025">
        <v>711</v>
      </c>
      <c r="B1025">
        <v>64</v>
      </c>
      <c r="C1025">
        <v>152</v>
      </c>
      <c r="D1025">
        <v>859</v>
      </c>
      <c r="E1025">
        <v>475</v>
      </c>
      <c r="F1025">
        <v>856</v>
      </c>
      <c r="G1025" t="s">
        <v>5</v>
      </c>
      <c r="H1025" s="1">
        <f t="shared" si="261"/>
        <v>36850.000000000713</v>
      </c>
      <c r="I1025">
        <f t="shared" si="256"/>
        <v>5.1744000000000003</v>
      </c>
      <c r="J1025">
        <f t="shared" si="257"/>
        <v>11.7392</v>
      </c>
      <c r="K1025">
        <f t="shared" si="258"/>
        <v>85.643799999999999</v>
      </c>
      <c r="L1025">
        <f t="shared" si="259"/>
        <v>-3.3417374999999989</v>
      </c>
      <c r="M1025">
        <f t="shared" si="260"/>
        <v>300.24399999999997</v>
      </c>
      <c r="O1025">
        <v>324</v>
      </c>
      <c r="P1025">
        <v>2400</v>
      </c>
      <c r="Q1025">
        <v>0.41</v>
      </c>
      <c r="R1025">
        <f t="shared" si="249"/>
        <v>-0.40748429668587149</v>
      </c>
    </row>
    <row r="1026" spans="1:18" x14ac:dyDescent="0.25">
      <c r="A1026">
        <v>711</v>
      </c>
      <c r="B1026">
        <v>74</v>
      </c>
      <c r="C1026">
        <v>140</v>
      </c>
      <c r="D1026">
        <v>981</v>
      </c>
      <c r="E1026">
        <v>478</v>
      </c>
      <c r="F1026">
        <v>893</v>
      </c>
      <c r="G1026" t="s">
        <v>5</v>
      </c>
      <c r="H1026" s="1">
        <f t="shared" si="261"/>
        <v>36850.020833334049</v>
      </c>
      <c r="I1026">
        <f t="shared" si="256"/>
        <v>5.9204000000000008</v>
      </c>
      <c r="J1026">
        <f t="shared" si="257"/>
        <v>10.843999999999999</v>
      </c>
      <c r="K1026">
        <f t="shared" si="258"/>
        <v>98.112200000000001</v>
      </c>
      <c r="L1026">
        <f t="shared" si="259"/>
        <v>-3.0715903200000039</v>
      </c>
      <c r="M1026">
        <f t="shared" si="260"/>
        <v>313.15699999999998</v>
      </c>
      <c r="O1026">
        <v>325</v>
      </c>
      <c r="P1026">
        <v>30</v>
      </c>
      <c r="Q1026">
        <v>0.41199999999999998</v>
      </c>
      <c r="R1026">
        <f t="shared" si="249"/>
        <v>-0.40967696686538041</v>
      </c>
    </row>
    <row r="1027" spans="1:18" x14ac:dyDescent="0.25">
      <c r="A1027">
        <v>711</v>
      </c>
      <c r="B1027">
        <v>114</v>
      </c>
      <c r="C1027">
        <v>216</v>
      </c>
      <c r="D1027">
        <v>923</v>
      </c>
      <c r="E1027">
        <v>478</v>
      </c>
      <c r="F1027">
        <v>901</v>
      </c>
      <c r="G1027" t="s">
        <v>5</v>
      </c>
      <c r="H1027" s="1">
        <f t="shared" si="261"/>
        <v>36850.041666667385</v>
      </c>
      <c r="I1027">
        <f t="shared" si="256"/>
        <v>8.9044000000000008</v>
      </c>
      <c r="J1027">
        <f t="shared" si="257"/>
        <v>16.513599999999997</v>
      </c>
      <c r="K1027">
        <f t="shared" si="258"/>
        <v>92.184600000000003</v>
      </c>
      <c r="L1027">
        <f t="shared" si="259"/>
        <v>-3.0715903200000039</v>
      </c>
      <c r="M1027">
        <f t="shared" si="260"/>
        <v>315.94899999999996</v>
      </c>
      <c r="O1027">
        <v>325</v>
      </c>
      <c r="P1027">
        <v>100</v>
      </c>
      <c r="Q1027">
        <v>0.41</v>
      </c>
      <c r="R1027">
        <f t="shared" si="249"/>
        <v>-0.40768824372525719</v>
      </c>
    </row>
    <row r="1028" spans="1:18" x14ac:dyDescent="0.25">
      <c r="A1028">
        <v>711</v>
      </c>
      <c r="B1028">
        <v>118</v>
      </c>
      <c r="C1028">
        <v>200</v>
      </c>
      <c r="D1028">
        <v>916</v>
      </c>
      <c r="E1028">
        <v>477</v>
      </c>
      <c r="F1028">
        <v>905</v>
      </c>
      <c r="G1028" t="s">
        <v>5</v>
      </c>
      <c r="H1028" s="1">
        <f t="shared" si="261"/>
        <v>36850.06250000072</v>
      </c>
      <c r="I1028">
        <f t="shared" si="256"/>
        <v>9.2027999999999999</v>
      </c>
      <c r="J1028">
        <f t="shared" si="257"/>
        <v>15.32</v>
      </c>
      <c r="K1028">
        <f t="shared" si="258"/>
        <v>91.469200000000001</v>
      </c>
      <c r="L1028">
        <f t="shared" si="259"/>
        <v>-3.1616594200000048</v>
      </c>
      <c r="M1028">
        <f t="shared" si="260"/>
        <v>317.34499999999997</v>
      </c>
      <c r="O1028">
        <v>325</v>
      </c>
      <c r="P1028">
        <v>130</v>
      </c>
      <c r="Q1028">
        <v>0.41</v>
      </c>
      <c r="R1028">
        <f t="shared" si="249"/>
        <v>-0.40762025758890369</v>
      </c>
    </row>
    <row r="1029" spans="1:18" x14ac:dyDescent="0.25">
      <c r="A1029">
        <v>711</v>
      </c>
      <c r="B1029">
        <v>112</v>
      </c>
      <c r="C1029">
        <v>184</v>
      </c>
      <c r="D1029">
        <v>912</v>
      </c>
      <c r="E1029">
        <v>477</v>
      </c>
      <c r="F1029">
        <v>905</v>
      </c>
      <c r="G1029" t="s">
        <v>5</v>
      </c>
      <c r="H1029" s="1">
        <f t="shared" si="261"/>
        <v>36850.083333334056</v>
      </c>
      <c r="I1029">
        <f t="shared" si="256"/>
        <v>8.7552000000000003</v>
      </c>
      <c r="J1029">
        <f t="shared" si="257"/>
        <v>14.1264</v>
      </c>
      <c r="K1029">
        <f t="shared" si="258"/>
        <v>91.060400000000001</v>
      </c>
      <c r="L1029">
        <f t="shared" si="259"/>
        <v>-3.1616594200000048</v>
      </c>
      <c r="M1029">
        <f t="shared" si="260"/>
        <v>317.34499999999997</v>
      </c>
      <c r="O1029">
        <v>325</v>
      </c>
      <c r="P1029">
        <v>200</v>
      </c>
      <c r="Q1029">
        <v>0.41199999999999998</v>
      </c>
      <c r="R1029">
        <f t="shared" si="249"/>
        <v>-0.40960864908933736</v>
      </c>
    </row>
    <row r="1030" spans="1:18" x14ac:dyDescent="0.25">
      <c r="A1030">
        <v>711</v>
      </c>
      <c r="B1030">
        <v>114</v>
      </c>
      <c r="C1030">
        <v>208</v>
      </c>
      <c r="D1030">
        <v>916</v>
      </c>
      <c r="E1030">
        <v>477</v>
      </c>
      <c r="F1030">
        <v>905</v>
      </c>
      <c r="G1030" t="s">
        <v>5</v>
      </c>
      <c r="H1030" s="1">
        <f t="shared" si="261"/>
        <v>36850.104166667392</v>
      </c>
      <c r="I1030">
        <f t="shared" si="256"/>
        <v>8.9044000000000008</v>
      </c>
      <c r="J1030">
        <f t="shared" si="257"/>
        <v>15.9168</v>
      </c>
      <c r="K1030">
        <f t="shared" si="258"/>
        <v>91.469200000000001</v>
      </c>
      <c r="L1030">
        <f t="shared" si="259"/>
        <v>-3.1616594200000048</v>
      </c>
      <c r="M1030">
        <f t="shared" si="260"/>
        <v>317.34499999999997</v>
      </c>
      <c r="O1030">
        <v>325</v>
      </c>
      <c r="P1030">
        <v>230</v>
      </c>
      <c r="Q1030">
        <v>0.41</v>
      </c>
      <c r="R1030">
        <f t="shared" si="249"/>
        <v>-0.40762025758890369</v>
      </c>
    </row>
    <row r="1031" spans="1:18" x14ac:dyDescent="0.25">
      <c r="A1031">
        <v>711</v>
      </c>
      <c r="B1031">
        <v>124</v>
      </c>
      <c r="C1031">
        <v>212</v>
      </c>
      <c r="D1031">
        <v>923</v>
      </c>
      <c r="E1031">
        <v>476</v>
      </c>
      <c r="F1031">
        <v>909</v>
      </c>
      <c r="G1031" t="s">
        <v>5</v>
      </c>
      <c r="H1031" s="1">
        <f t="shared" si="261"/>
        <v>36850.125000000728</v>
      </c>
      <c r="I1031">
        <f t="shared" si="256"/>
        <v>9.6503999999999994</v>
      </c>
      <c r="J1031">
        <f t="shared" si="257"/>
        <v>16.215199999999999</v>
      </c>
      <c r="K1031">
        <f t="shared" si="258"/>
        <v>92.184600000000003</v>
      </c>
      <c r="L1031">
        <f t="shared" si="259"/>
        <v>-3.2517084800000053</v>
      </c>
      <c r="M1031">
        <f t="shared" si="260"/>
        <v>318.74099999999999</v>
      </c>
      <c r="O1031">
        <v>325</v>
      </c>
      <c r="P1031">
        <v>300</v>
      </c>
      <c r="Q1031">
        <v>0.41199999999999998</v>
      </c>
      <c r="R1031">
        <f t="shared" ref="R1031:R1094" si="262">-SQRT((L1031+273.15)/273.15)*Q1031</f>
        <v>-0.40954033512103794</v>
      </c>
    </row>
    <row r="1032" spans="1:18" x14ac:dyDescent="0.25">
      <c r="A1032">
        <v>711</v>
      </c>
      <c r="B1032">
        <v>110</v>
      </c>
      <c r="C1032">
        <v>204</v>
      </c>
      <c r="D1032">
        <v>916</v>
      </c>
      <c r="E1032">
        <v>480</v>
      </c>
      <c r="F1032">
        <v>913</v>
      </c>
      <c r="G1032" t="s">
        <v>5</v>
      </c>
      <c r="H1032" s="1">
        <f t="shared" si="261"/>
        <v>36850.145833334063</v>
      </c>
      <c r="I1032">
        <f t="shared" si="256"/>
        <v>8.6059999999999999</v>
      </c>
      <c r="J1032">
        <f t="shared" si="257"/>
        <v>15.618399999999999</v>
      </c>
      <c r="K1032">
        <f t="shared" si="258"/>
        <v>91.469200000000001</v>
      </c>
      <c r="L1032">
        <f t="shared" si="259"/>
        <v>-2.8913920000000028</v>
      </c>
      <c r="M1032">
        <f t="shared" si="260"/>
        <v>320.137</v>
      </c>
      <c r="O1032">
        <v>325</v>
      </c>
      <c r="P1032">
        <v>330</v>
      </c>
      <c r="Q1032">
        <v>0.41199999999999998</v>
      </c>
      <c r="R1032">
        <f t="shared" si="262"/>
        <v>-0.4098136138330799</v>
      </c>
    </row>
    <row r="1033" spans="1:18" x14ac:dyDescent="0.25">
      <c r="A1033">
        <v>711</v>
      </c>
      <c r="B1033">
        <v>79</v>
      </c>
      <c r="C1033">
        <v>172</v>
      </c>
      <c r="D1033">
        <v>850</v>
      </c>
      <c r="E1033">
        <v>483</v>
      </c>
      <c r="F1033">
        <v>912</v>
      </c>
      <c r="G1033" t="s">
        <v>5</v>
      </c>
      <c r="H1033" s="1">
        <f t="shared" si="261"/>
        <v>36850.166666667399</v>
      </c>
      <c r="I1033">
        <f t="shared" si="256"/>
        <v>6.2934000000000001</v>
      </c>
      <c r="J1033">
        <f t="shared" si="257"/>
        <v>13.231199999999999</v>
      </c>
      <c r="K1033">
        <f t="shared" si="258"/>
        <v>84.724000000000004</v>
      </c>
      <c r="L1033">
        <f t="shared" si="259"/>
        <v>-2.6209442200000006</v>
      </c>
      <c r="M1033">
        <f t="shared" si="260"/>
        <v>319.78799999999995</v>
      </c>
      <c r="O1033">
        <v>325</v>
      </c>
      <c r="P1033">
        <v>400</v>
      </c>
      <c r="Q1033">
        <v>0.41</v>
      </c>
      <c r="R1033">
        <f t="shared" si="262"/>
        <v>-0.40802823117961823</v>
      </c>
    </row>
    <row r="1034" spans="1:18" x14ac:dyDescent="0.25">
      <c r="A1034">
        <v>711</v>
      </c>
      <c r="B1034">
        <v>106</v>
      </c>
      <c r="C1034">
        <v>180</v>
      </c>
      <c r="D1034">
        <v>858</v>
      </c>
      <c r="E1034">
        <v>486</v>
      </c>
      <c r="F1034">
        <v>916</v>
      </c>
      <c r="G1034" t="s">
        <v>5</v>
      </c>
      <c r="H1034" s="1">
        <f t="shared" si="261"/>
        <v>36850.187500000735</v>
      </c>
      <c r="I1034">
        <f t="shared" si="256"/>
        <v>8.3076000000000008</v>
      </c>
      <c r="J1034">
        <f t="shared" si="257"/>
        <v>13.828000000000001</v>
      </c>
      <c r="K1034">
        <f t="shared" si="258"/>
        <v>85.541600000000003</v>
      </c>
      <c r="L1034">
        <f t="shared" si="259"/>
        <v>-2.3503160800000056</v>
      </c>
      <c r="M1034">
        <f t="shared" si="260"/>
        <v>321.18399999999997</v>
      </c>
      <c r="O1034">
        <v>325</v>
      </c>
      <c r="P1034">
        <v>430</v>
      </c>
      <c r="Q1034">
        <v>0.41</v>
      </c>
      <c r="R1034">
        <f t="shared" si="262"/>
        <v>-0.40823226900222198</v>
      </c>
    </row>
    <row r="1035" spans="1:18" x14ac:dyDescent="0.25">
      <c r="A1035">
        <v>711</v>
      </c>
      <c r="B1035">
        <v>106</v>
      </c>
      <c r="C1035">
        <v>184</v>
      </c>
      <c r="D1035">
        <v>878</v>
      </c>
      <c r="E1035">
        <v>486</v>
      </c>
      <c r="F1035">
        <v>917</v>
      </c>
      <c r="G1035" t="s">
        <v>5</v>
      </c>
      <c r="H1035" s="1">
        <f t="shared" si="261"/>
        <v>36850.208333334071</v>
      </c>
      <c r="I1035">
        <f t="shared" si="256"/>
        <v>8.3076000000000008</v>
      </c>
      <c r="J1035">
        <f t="shared" si="257"/>
        <v>14.1264</v>
      </c>
      <c r="K1035">
        <f t="shared" si="258"/>
        <v>87.585599999999999</v>
      </c>
      <c r="L1035">
        <f t="shared" si="259"/>
        <v>-2.3503160800000056</v>
      </c>
      <c r="M1035">
        <f t="shared" si="260"/>
        <v>321.53299999999996</v>
      </c>
      <c r="O1035">
        <v>325</v>
      </c>
      <c r="P1035">
        <v>500</v>
      </c>
      <c r="Q1035">
        <v>0.41</v>
      </c>
      <c r="R1035">
        <f t="shared" si="262"/>
        <v>-0.40823226900222198</v>
      </c>
    </row>
    <row r="1036" spans="1:18" x14ac:dyDescent="0.25">
      <c r="A1036">
        <v>711</v>
      </c>
      <c r="B1036">
        <v>60</v>
      </c>
      <c r="C1036">
        <v>232</v>
      </c>
      <c r="D1036">
        <v>803</v>
      </c>
      <c r="E1036">
        <v>471</v>
      </c>
      <c r="F1036">
        <v>859</v>
      </c>
      <c r="G1036" t="s">
        <v>5</v>
      </c>
      <c r="H1036" s="1">
        <f t="shared" si="261"/>
        <v>36850.229166667406</v>
      </c>
      <c r="I1036">
        <f t="shared" si="256"/>
        <v>4.8760000000000003</v>
      </c>
      <c r="J1036">
        <f t="shared" si="257"/>
        <v>17.7072</v>
      </c>
      <c r="K1036">
        <f t="shared" si="258"/>
        <v>79.920599999999993</v>
      </c>
      <c r="L1036">
        <f t="shared" si="259"/>
        <v>-3.7016531800000019</v>
      </c>
      <c r="M1036">
        <f t="shared" si="260"/>
        <v>301.291</v>
      </c>
      <c r="O1036">
        <v>325</v>
      </c>
      <c r="P1036">
        <v>530</v>
      </c>
      <c r="Q1036">
        <v>0.41</v>
      </c>
      <c r="R1036">
        <f t="shared" si="262"/>
        <v>-0.40721242041164973</v>
      </c>
    </row>
    <row r="1037" spans="1:18" x14ac:dyDescent="0.25">
      <c r="A1037">
        <v>711</v>
      </c>
      <c r="B1037">
        <v>35</v>
      </c>
      <c r="C1037">
        <v>68</v>
      </c>
      <c r="D1037">
        <v>625</v>
      </c>
      <c r="E1037">
        <v>466</v>
      </c>
      <c r="F1037">
        <v>857</v>
      </c>
      <c r="G1037" t="s">
        <v>5</v>
      </c>
      <c r="H1037" s="1">
        <f t="shared" si="261"/>
        <v>36850.250000000742</v>
      </c>
      <c r="I1037">
        <f t="shared" si="256"/>
        <v>3.0109999999999997</v>
      </c>
      <c r="J1037">
        <f t="shared" si="257"/>
        <v>5.4728000000000003</v>
      </c>
      <c r="K1037">
        <f t="shared" si="258"/>
        <v>61.728999999999999</v>
      </c>
      <c r="L1037">
        <f t="shared" si="259"/>
        <v>-4.1510968800000052</v>
      </c>
      <c r="M1037">
        <f t="shared" si="260"/>
        <v>300.59299999999996</v>
      </c>
      <c r="O1037">
        <v>325</v>
      </c>
      <c r="P1037">
        <v>600</v>
      </c>
      <c r="Q1037">
        <v>0.41</v>
      </c>
      <c r="R1037">
        <f t="shared" si="262"/>
        <v>-0.40687266059794897</v>
      </c>
    </row>
    <row r="1038" spans="1:18" x14ac:dyDescent="0.25">
      <c r="A1038">
        <v>711</v>
      </c>
      <c r="B1038">
        <v>48</v>
      </c>
      <c r="C1038">
        <v>92</v>
      </c>
      <c r="D1038">
        <v>622</v>
      </c>
      <c r="E1038">
        <v>466</v>
      </c>
      <c r="F1038">
        <v>845</v>
      </c>
      <c r="G1038" t="s">
        <v>5</v>
      </c>
      <c r="H1038" s="1">
        <f t="shared" si="261"/>
        <v>36850.270833334078</v>
      </c>
      <c r="I1038">
        <f t="shared" si="256"/>
        <v>3.9807999999999999</v>
      </c>
      <c r="J1038">
        <f t="shared" si="257"/>
        <v>7.2632000000000003</v>
      </c>
      <c r="K1038">
        <f t="shared" si="258"/>
        <v>61.422399999999996</v>
      </c>
      <c r="L1038">
        <f t="shared" si="259"/>
        <v>-4.1510968800000052</v>
      </c>
      <c r="M1038">
        <f t="shared" si="260"/>
        <v>296.40499999999997</v>
      </c>
      <c r="O1038">
        <v>325</v>
      </c>
      <c r="P1038">
        <v>630</v>
      </c>
      <c r="Q1038">
        <v>0.41199999999999998</v>
      </c>
      <c r="R1038">
        <f t="shared" si="262"/>
        <v>-0.40885740528379266</v>
      </c>
    </row>
    <row r="1039" spans="1:18" x14ac:dyDescent="0.25">
      <c r="A1039">
        <v>711</v>
      </c>
      <c r="B1039">
        <v>33</v>
      </c>
      <c r="C1039">
        <v>56</v>
      </c>
      <c r="D1039">
        <v>457</v>
      </c>
      <c r="E1039">
        <v>483</v>
      </c>
      <c r="F1039">
        <v>825</v>
      </c>
      <c r="G1039" t="s">
        <v>5</v>
      </c>
      <c r="H1039" s="1">
        <f t="shared" si="261"/>
        <v>36850.291666667414</v>
      </c>
      <c r="I1039">
        <f t="shared" si="256"/>
        <v>2.8618000000000001</v>
      </c>
      <c r="J1039">
        <f t="shared" si="257"/>
        <v>4.5776000000000003</v>
      </c>
      <c r="K1039">
        <f t="shared" si="258"/>
        <v>44.559399999999997</v>
      </c>
      <c r="L1039">
        <f t="shared" si="259"/>
        <v>-2.6209442200000006</v>
      </c>
      <c r="M1039">
        <f t="shared" si="260"/>
        <v>289.42499999999995</v>
      </c>
      <c r="O1039">
        <v>325</v>
      </c>
      <c r="P1039">
        <v>700</v>
      </c>
      <c r="Q1039">
        <v>0.40500000000000003</v>
      </c>
      <c r="R1039">
        <f t="shared" si="262"/>
        <v>-0.40305227714084241</v>
      </c>
    </row>
    <row r="1040" spans="1:18" x14ac:dyDescent="0.25">
      <c r="A1040">
        <v>711</v>
      </c>
      <c r="B1040">
        <v>41</v>
      </c>
      <c r="C1040">
        <v>64</v>
      </c>
      <c r="D1040">
        <v>358</v>
      </c>
      <c r="E1040">
        <v>485</v>
      </c>
      <c r="F1040">
        <v>872</v>
      </c>
      <c r="G1040" t="s">
        <v>5</v>
      </c>
      <c r="H1040" s="1">
        <f t="shared" si="261"/>
        <v>36850.312500000749</v>
      </c>
      <c r="I1040">
        <f t="shared" si="256"/>
        <v>3.4586000000000001</v>
      </c>
      <c r="J1040">
        <f t="shared" si="257"/>
        <v>5.1744000000000003</v>
      </c>
      <c r="K1040">
        <f t="shared" si="258"/>
        <v>34.441600000000001</v>
      </c>
      <c r="L1040">
        <f t="shared" si="259"/>
        <v>-2.4405454999999994</v>
      </c>
      <c r="M1040">
        <f t="shared" si="260"/>
        <v>305.82799999999997</v>
      </c>
      <c r="O1040">
        <v>325</v>
      </c>
      <c r="P1040">
        <v>730</v>
      </c>
      <c r="Q1040">
        <v>0.40200000000000002</v>
      </c>
      <c r="R1040">
        <f t="shared" si="262"/>
        <v>-0.40020007208100411</v>
      </c>
    </row>
    <row r="1041" spans="1:18" x14ac:dyDescent="0.25">
      <c r="A1041">
        <v>711</v>
      </c>
      <c r="B1041">
        <v>31</v>
      </c>
      <c r="C1041">
        <v>52</v>
      </c>
      <c r="D1041">
        <v>588</v>
      </c>
      <c r="E1041">
        <v>487</v>
      </c>
      <c r="F1041">
        <v>875</v>
      </c>
      <c r="G1041" t="s">
        <v>5</v>
      </c>
      <c r="H1041" s="1">
        <f t="shared" si="261"/>
        <v>36850.333333334085</v>
      </c>
      <c r="I1041">
        <f t="shared" si="256"/>
        <v>2.7125999999999997</v>
      </c>
      <c r="J1041">
        <f t="shared" si="257"/>
        <v>4.2792000000000003</v>
      </c>
      <c r="K1041">
        <f t="shared" si="258"/>
        <v>57.947600000000001</v>
      </c>
      <c r="L1041">
        <f t="shared" si="259"/>
        <v>-2.2600666200000052</v>
      </c>
      <c r="M1041">
        <f t="shared" si="260"/>
        <v>306.875</v>
      </c>
      <c r="O1041">
        <v>325</v>
      </c>
      <c r="P1041">
        <v>800</v>
      </c>
      <c r="Q1041">
        <v>0.40200000000000002</v>
      </c>
      <c r="R1041">
        <f t="shared" si="262"/>
        <v>-0.40033345424638139</v>
      </c>
    </row>
    <row r="1042" spans="1:18" x14ac:dyDescent="0.25">
      <c r="A1042">
        <v>711</v>
      </c>
      <c r="B1042">
        <v>48</v>
      </c>
      <c r="C1042">
        <v>88</v>
      </c>
      <c r="D1042">
        <v>516</v>
      </c>
      <c r="E1042">
        <v>491</v>
      </c>
      <c r="F1042">
        <v>853</v>
      </c>
      <c r="G1042" t="s">
        <v>5</v>
      </c>
      <c r="H1042" s="1">
        <f t="shared" si="261"/>
        <v>36850.354166667421</v>
      </c>
      <c r="I1042">
        <f t="shared" si="256"/>
        <v>3.9807999999999999</v>
      </c>
      <c r="J1042">
        <f t="shared" si="257"/>
        <v>6.9648000000000003</v>
      </c>
      <c r="K1042">
        <f t="shared" si="258"/>
        <v>50.589199999999998</v>
      </c>
      <c r="L1042">
        <f t="shared" si="259"/>
        <v>-1.8988683800000024</v>
      </c>
      <c r="M1042">
        <f t="shared" si="260"/>
        <v>299.197</v>
      </c>
      <c r="O1042">
        <v>325</v>
      </c>
      <c r="P1042">
        <v>830</v>
      </c>
      <c r="Q1042">
        <v>0.40200000000000002</v>
      </c>
      <c r="R1042">
        <f t="shared" si="262"/>
        <v>-0.4006002629238441</v>
      </c>
    </row>
    <row r="1043" spans="1:18" x14ac:dyDescent="0.25">
      <c r="A1043">
        <v>711</v>
      </c>
      <c r="B1043">
        <v>30</v>
      </c>
      <c r="C1043">
        <v>52</v>
      </c>
      <c r="D1043">
        <v>224</v>
      </c>
      <c r="E1043">
        <v>489</v>
      </c>
      <c r="F1043">
        <v>852</v>
      </c>
      <c r="G1043" t="s">
        <v>5</v>
      </c>
      <c r="H1043" s="1">
        <f t="shared" si="261"/>
        <v>36850.375000000757</v>
      </c>
      <c r="I1043">
        <f t="shared" si="256"/>
        <v>2.6379999999999999</v>
      </c>
      <c r="J1043">
        <f t="shared" si="257"/>
        <v>4.2792000000000003</v>
      </c>
      <c r="K1043">
        <f t="shared" si="258"/>
        <v>20.7468</v>
      </c>
      <c r="L1043">
        <f t="shared" si="259"/>
        <v>-2.0795075800000036</v>
      </c>
      <c r="M1043">
        <f t="shared" si="260"/>
        <v>298.84799999999996</v>
      </c>
      <c r="O1043">
        <v>325</v>
      </c>
      <c r="P1043">
        <v>900</v>
      </c>
      <c r="Q1043">
        <v>0.4</v>
      </c>
      <c r="R1043">
        <f t="shared" si="262"/>
        <v>-0.39847447880489434</v>
      </c>
    </row>
    <row r="1044" spans="1:18" x14ac:dyDescent="0.25">
      <c r="A1044">
        <v>711</v>
      </c>
      <c r="B1044">
        <v>83</v>
      </c>
      <c r="C1044">
        <v>140</v>
      </c>
      <c r="D1044">
        <v>495</v>
      </c>
      <c r="E1044">
        <v>490</v>
      </c>
      <c r="F1044">
        <v>896</v>
      </c>
      <c r="G1044" t="s">
        <v>5</v>
      </c>
      <c r="H1044" s="1">
        <f t="shared" si="261"/>
        <v>36850.395833334092</v>
      </c>
      <c r="I1044">
        <f t="shared" si="256"/>
        <v>6.5918000000000001</v>
      </c>
      <c r="J1044">
        <f t="shared" si="257"/>
        <v>10.843999999999999</v>
      </c>
      <c r="K1044">
        <f t="shared" si="258"/>
        <v>48.442999999999998</v>
      </c>
      <c r="L1044">
        <f t="shared" si="259"/>
        <v>-1.9891980000000031</v>
      </c>
      <c r="M1044">
        <f t="shared" si="260"/>
        <v>314.20399999999995</v>
      </c>
      <c r="O1044">
        <v>325</v>
      </c>
      <c r="P1044">
        <v>930</v>
      </c>
      <c r="Q1044">
        <v>0.40200000000000002</v>
      </c>
      <c r="R1044">
        <f t="shared" si="262"/>
        <v>-0.40053355521575551</v>
      </c>
    </row>
    <row r="1045" spans="1:18" x14ac:dyDescent="0.25">
      <c r="A1045">
        <v>711</v>
      </c>
      <c r="B1045">
        <v>84</v>
      </c>
      <c r="C1045">
        <v>120</v>
      </c>
      <c r="D1045">
        <v>356</v>
      </c>
      <c r="E1045">
        <v>485</v>
      </c>
      <c r="F1045">
        <v>816</v>
      </c>
      <c r="G1045" t="s">
        <v>5</v>
      </c>
      <c r="H1045" s="1">
        <f t="shared" si="261"/>
        <v>36850.416666667428</v>
      </c>
      <c r="I1045">
        <f t="shared" ref="I1045:I1058" si="263">0.4+0.0746*B1045</f>
        <v>6.6664000000000003</v>
      </c>
      <c r="J1045">
        <f t="shared" ref="J1045:J1058" si="264">0.4+0.0746*C1045</f>
        <v>9.3520000000000003</v>
      </c>
      <c r="K1045">
        <f t="shared" ref="K1045:K1058" si="265">-2.146+0.1022*D1045</f>
        <v>34.237200000000001</v>
      </c>
      <c r="L1045">
        <f t="shared" ref="L1045:L1058" si="266">-43.84+0.0805*E1045+0.00001002*E1045^2</f>
        <v>-2.4405454999999994</v>
      </c>
      <c r="M1045">
        <f t="shared" ref="M1045:M1058" si="267">1.5+0.349*F1045</f>
        <v>286.28399999999999</v>
      </c>
      <c r="O1045">
        <v>325</v>
      </c>
      <c r="P1045">
        <v>1000</v>
      </c>
      <c r="Q1045">
        <v>0.38</v>
      </c>
      <c r="R1045">
        <f t="shared" si="262"/>
        <v>-0.37829857559895907</v>
      </c>
    </row>
    <row r="1046" spans="1:18" x14ac:dyDescent="0.25">
      <c r="A1046">
        <v>11</v>
      </c>
      <c r="B1046">
        <v>60</v>
      </c>
      <c r="C1046">
        <v>116</v>
      </c>
      <c r="D1046">
        <v>508</v>
      </c>
      <c r="E1046">
        <v>488</v>
      </c>
      <c r="F1046">
        <v>841</v>
      </c>
      <c r="G1046" t="s">
        <v>5</v>
      </c>
      <c r="H1046" s="1">
        <f t="shared" si="261"/>
        <v>36850.437500000764</v>
      </c>
      <c r="I1046">
        <f t="shared" si="263"/>
        <v>4.8760000000000003</v>
      </c>
      <c r="J1046">
        <f t="shared" si="264"/>
        <v>9.0536000000000012</v>
      </c>
      <c r="K1046">
        <f t="shared" si="265"/>
        <v>49.771599999999999</v>
      </c>
      <c r="L1046">
        <f t="shared" si="266"/>
        <v>-2.1697971200000041</v>
      </c>
      <c r="M1046">
        <f t="shared" si="267"/>
        <v>295.00899999999996</v>
      </c>
      <c r="O1046">
        <v>325</v>
      </c>
      <c r="P1046">
        <v>1030</v>
      </c>
      <c r="Q1046">
        <v>0.38200000000000001</v>
      </c>
      <c r="R1046">
        <f t="shared" si="262"/>
        <v>-0.3804797453590007</v>
      </c>
    </row>
    <row r="1047" spans="1:18" x14ac:dyDescent="0.25">
      <c r="A1047">
        <v>11</v>
      </c>
      <c r="B1047">
        <v>63</v>
      </c>
      <c r="C1047">
        <v>136</v>
      </c>
      <c r="D1047">
        <v>540</v>
      </c>
      <c r="E1047">
        <v>491</v>
      </c>
      <c r="F1047">
        <v>836</v>
      </c>
      <c r="G1047" t="s">
        <v>5</v>
      </c>
      <c r="H1047" s="1">
        <f t="shared" si="261"/>
        <v>36850.4583333341</v>
      </c>
      <c r="I1047">
        <f t="shared" si="263"/>
        <v>5.0998000000000001</v>
      </c>
      <c r="J1047">
        <f t="shared" si="264"/>
        <v>10.5456</v>
      </c>
      <c r="K1047">
        <f t="shared" si="265"/>
        <v>53.042000000000002</v>
      </c>
      <c r="L1047">
        <f t="shared" si="266"/>
        <v>-1.8988683800000024</v>
      </c>
      <c r="M1047">
        <f t="shared" si="267"/>
        <v>293.26399999999995</v>
      </c>
      <c r="O1047">
        <v>325</v>
      </c>
      <c r="P1047">
        <v>1100</v>
      </c>
      <c r="Q1047">
        <v>0.38</v>
      </c>
      <c r="R1047">
        <f t="shared" si="262"/>
        <v>-0.37867686545039991</v>
      </c>
    </row>
    <row r="1048" spans="1:18" x14ac:dyDescent="0.25">
      <c r="A1048">
        <v>11</v>
      </c>
      <c r="B1048">
        <v>71</v>
      </c>
      <c r="C1048">
        <v>124</v>
      </c>
      <c r="D1048">
        <v>296</v>
      </c>
      <c r="E1048">
        <v>485</v>
      </c>
      <c r="F1048">
        <v>909</v>
      </c>
      <c r="G1048" t="s">
        <v>5</v>
      </c>
      <c r="H1048" s="1">
        <f t="shared" si="261"/>
        <v>36850.479166667435</v>
      </c>
      <c r="I1048">
        <f t="shared" si="263"/>
        <v>5.6966000000000001</v>
      </c>
      <c r="J1048">
        <f t="shared" si="264"/>
        <v>9.6503999999999994</v>
      </c>
      <c r="K1048">
        <f t="shared" si="265"/>
        <v>28.1052</v>
      </c>
      <c r="L1048">
        <f t="shared" si="266"/>
        <v>-2.4405454999999994</v>
      </c>
      <c r="M1048">
        <f t="shared" si="267"/>
        <v>318.74099999999999</v>
      </c>
      <c r="O1048">
        <v>325</v>
      </c>
      <c r="P1048">
        <v>1130</v>
      </c>
      <c r="Q1048">
        <v>0.38200000000000001</v>
      </c>
      <c r="R1048">
        <f t="shared" si="262"/>
        <v>-0.38028962073369044</v>
      </c>
    </row>
    <row r="1049" spans="1:18" x14ac:dyDescent="0.25">
      <c r="A1049">
        <v>11</v>
      </c>
      <c r="B1049">
        <v>32</v>
      </c>
      <c r="C1049">
        <v>68</v>
      </c>
      <c r="D1049">
        <v>588</v>
      </c>
      <c r="E1049">
        <v>492</v>
      </c>
      <c r="F1049">
        <v>884</v>
      </c>
      <c r="G1049" t="s">
        <v>5</v>
      </c>
      <c r="H1049" s="1">
        <f t="shared" si="261"/>
        <v>36850.500000000771</v>
      </c>
      <c r="I1049">
        <f t="shared" si="263"/>
        <v>2.7871999999999999</v>
      </c>
      <c r="J1049">
        <f t="shared" si="264"/>
        <v>5.4728000000000003</v>
      </c>
      <c r="K1049">
        <f t="shared" si="265"/>
        <v>57.947600000000001</v>
      </c>
      <c r="L1049">
        <f t="shared" si="266"/>
        <v>-1.8085187200000017</v>
      </c>
      <c r="M1049">
        <f t="shared" si="267"/>
        <v>310.01599999999996</v>
      </c>
      <c r="O1049">
        <v>325</v>
      </c>
      <c r="P1049">
        <v>1200</v>
      </c>
      <c r="Q1049">
        <v>0.38200000000000001</v>
      </c>
      <c r="R1049">
        <f t="shared" si="262"/>
        <v>-0.38073329400684641</v>
      </c>
    </row>
    <row r="1050" spans="1:18" x14ac:dyDescent="0.25">
      <c r="A1050">
        <v>11</v>
      </c>
      <c r="B1050">
        <v>73</v>
      </c>
      <c r="C1050">
        <v>132</v>
      </c>
      <c r="D1050">
        <v>542</v>
      </c>
      <c r="E1050">
        <v>496</v>
      </c>
      <c r="F1050">
        <v>839</v>
      </c>
      <c r="G1050" t="s">
        <v>5</v>
      </c>
      <c r="H1050" s="1">
        <f t="shared" si="261"/>
        <v>36850.520833334107</v>
      </c>
      <c r="I1050">
        <f t="shared" si="263"/>
        <v>5.8458000000000006</v>
      </c>
      <c r="J1050">
        <f t="shared" si="264"/>
        <v>10.247200000000001</v>
      </c>
      <c r="K1050">
        <f t="shared" si="265"/>
        <v>53.246400000000001</v>
      </c>
      <c r="L1050">
        <f t="shared" si="266"/>
        <v>-1.4469196799999988</v>
      </c>
      <c r="M1050">
        <f t="shared" si="267"/>
        <v>294.31099999999998</v>
      </c>
      <c r="O1050">
        <v>325</v>
      </c>
      <c r="P1050">
        <v>1230</v>
      </c>
      <c r="Q1050">
        <v>0.38</v>
      </c>
      <c r="R1050">
        <f t="shared" si="262"/>
        <v>-0.37899220291556956</v>
      </c>
    </row>
    <row r="1051" spans="1:18" x14ac:dyDescent="0.25">
      <c r="A1051">
        <v>11</v>
      </c>
      <c r="B1051">
        <v>50</v>
      </c>
      <c r="C1051">
        <v>108</v>
      </c>
      <c r="D1051">
        <v>147</v>
      </c>
      <c r="E1051">
        <v>492</v>
      </c>
      <c r="F1051">
        <v>813</v>
      </c>
      <c r="G1051" t="s">
        <v>5</v>
      </c>
      <c r="H1051" s="1">
        <f t="shared" si="261"/>
        <v>36850.541666667443</v>
      </c>
      <c r="I1051">
        <f t="shared" si="263"/>
        <v>4.13</v>
      </c>
      <c r="J1051">
        <f t="shared" si="264"/>
        <v>8.4567999999999994</v>
      </c>
      <c r="K1051">
        <f t="shared" si="265"/>
        <v>12.877400000000002</v>
      </c>
      <c r="L1051">
        <f t="shared" si="266"/>
        <v>-1.8085187200000017</v>
      </c>
      <c r="M1051">
        <f t="shared" si="267"/>
        <v>285.23699999999997</v>
      </c>
      <c r="O1051">
        <v>325</v>
      </c>
      <c r="P1051">
        <v>1300</v>
      </c>
      <c r="Q1051">
        <v>0.38200000000000001</v>
      </c>
      <c r="R1051">
        <f t="shared" si="262"/>
        <v>-0.38073329400684641</v>
      </c>
    </row>
    <row r="1052" spans="1:18" x14ac:dyDescent="0.25">
      <c r="A1052">
        <v>11</v>
      </c>
      <c r="B1052">
        <v>53</v>
      </c>
      <c r="C1052">
        <v>140</v>
      </c>
      <c r="D1052">
        <v>615</v>
      </c>
      <c r="E1052">
        <v>490</v>
      </c>
      <c r="F1052">
        <v>855</v>
      </c>
      <c r="G1052" t="s">
        <v>5</v>
      </c>
      <c r="H1052" s="1">
        <f t="shared" si="261"/>
        <v>36850.562500000779</v>
      </c>
      <c r="I1052">
        <f t="shared" si="263"/>
        <v>4.3538000000000006</v>
      </c>
      <c r="J1052">
        <f t="shared" si="264"/>
        <v>10.843999999999999</v>
      </c>
      <c r="K1052">
        <f t="shared" si="265"/>
        <v>60.707000000000001</v>
      </c>
      <c r="L1052">
        <f t="shared" si="266"/>
        <v>-1.9891980000000031</v>
      </c>
      <c r="M1052">
        <f t="shared" si="267"/>
        <v>299.89499999999998</v>
      </c>
      <c r="O1052">
        <v>325</v>
      </c>
      <c r="P1052">
        <v>1330</v>
      </c>
      <c r="Q1052">
        <v>0.38200000000000001</v>
      </c>
      <c r="R1052">
        <f t="shared" si="262"/>
        <v>-0.38060651266770795</v>
      </c>
    </row>
    <row r="1053" spans="1:18" x14ac:dyDescent="0.25">
      <c r="A1053">
        <v>11</v>
      </c>
      <c r="B1053">
        <v>113</v>
      </c>
      <c r="C1053">
        <v>208</v>
      </c>
      <c r="D1053">
        <v>567</v>
      </c>
      <c r="E1053">
        <v>487</v>
      </c>
      <c r="F1053">
        <v>877</v>
      </c>
      <c r="G1053" t="s">
        <v>5</v>
      </c>
      <c r="H1053" s="1">
        <f t="shared" si="261"/>
        <v>36850.583333334114</v>
      </c>
      <c r="I1053">
        <f t="shared" si="263"/>
        <v>8.8298000000000005</v>
      </c>
      <c r="J1053">
        <f t="shared" si="264"/>
        <v>15.9168</v>
      </c>
      <c r="K1053">
        <f t="shared" si="265"/>
        <v>55.801400000000001</v>
      </c>
      <c r="L1053">
        <f t="shared" si="266"/>
        <v>-2.2600666200000052</v>
      </c>
      <c r="M1053">
        <f t="shared" si="267"/>
        <v>307.57299999999998</v>
      </c>
      <c r="O1053">
        <v>325</v>
      </c>
      <c r="P1053">
        <v>1400</v>
      </c>
      <c r="Q1053">
        <v>0.38200000000000001</v>
      </c>
      <c r="R1053">
        <f t="shared" si="262"/>
        <v>-0.38041636697044201</v>
      </c>
    </row>
    <row r="1054" spans="1:18" x14ac:dyDescent="0.25">
      <c r="A1054">
        <v>11</v>
      </c>
      <c r="B1054">
        <v>102</v>
      </c>
      <c r="C1054">
        <v>200</v>
      </c>
      <c r="D1054">
        <v>932</v>
      </c>
      <c r="E1054">
        <v>498</v>
      </c>
      <c r="F1054">
        <v>817</v>
      </c>
      <c r="G1054" t="s">
        <v>5</v>
      </c>
      <c r="H1054" s="1">
        <f t="shared" si="261"/>
        <v>36850.60416666745</v>
      </c>
      <c r="I1054">
        <f t="shared" si="263"/>
        <v>8.0091999999999999</v>
      </c>
      <c r="J1054">
        <f t="shared" si="264"/>
        <v>15.32</v>
      </c>
      <c r="K1054">
        <f t="shared" si="265"/>
        <v>93.104399999999998</v>
      </c>
      <c r="L1054">
        <f t="shared" si="266"/>
        <v>-1.2659999200000045</v>
      </c>
      <c r="M1054">
        <f t="shared" si="267"/>
        <v>286.63299999999998</v>
      </c>
      <c r="O1054">
        <v>325</v>
      </c>
      <c r="P1054">
        <v>1430</v>
      </c>
      <c r="Q1054">
        <v>0.38500000000000001</v>
      </c>
      <c r="R1054">
        <f t="shared" si="262"/>
        <v>-0.38410676176891573</v>
      </c>
    </row>
    <row r="1055" spans="1:18" x14ac:dyDescent="0.25">
      <c r="A1055">
        <v>11</v>
      </c>
      <c r="B1055">
        <v>55</v>
      </c>
      <c r="C1055">
        <v>120</v>
      </c>
      <c r="D1055">
        <v>252</v>
      </c>
      <c r="E1055">
        <v>488</v>
      </c>
      <c r="F1055">
        <v>840</v>
      </c>
      <c r="G1055" t="s">
        <v>5</v>
      </c>
      <c r="H1055" s="1">
        <f t="shared" si="261"/>
        <v>36850.625000000786</v>
      </c>
      <c r="I1055">
        <f t="shared" si="263"/>
        <v>4.5030000000000001</v>
      </c>
      <c r="J1055">
        <f t="shared" si="264"/>
        <v>9.3520000000000003</v>
      </c>
      <c r="K1055">
        <f t="shared" si="265"/>
        <v>23.6084</v>
      </c>
      <c r="L1055">
        <f t="shared" si="266"/>
        <v>-2.1697971200000041</v>
      </c>
      <c r="M1055">
        <f t="shared" si="267"/>
        <v>294.65999999999997</v>
      </c>
      <c r="O1055">
        <v>325</v>
      </c>
      <c r="P1055">
        <v>1500</v>
      </c>
      <c r="Q1055">
        <v>0.38500000000000001</v>
      </c>
      <c r="R1055">
        <f t="shared" si="262"/>
        <v>-0.38346780618642745</v>
      </c>
    </row>
    <row r="1056" spans="1:18" x14ac:dyDescent="0.25">
      <c r="A1056">
        <v>11</v>
      </c>
      <c r="B1056">
        <v>31</v>
      </c>
      <c r="C1056">
        <v>72</v>
      </c>
      <c r="D1056">
        <v>516</v>
      </c>
      <c r="E1056">
        <v>501</v>
      </c>
      <c r="F1056">
        <v>767</v>
      </c>
      <c r="G1056" t="s">
        <v>5</v>
      </c>
      <c r="H1056" s="1">
        <f t="shared" si="261"/>
        <v>36850.645833334122</v>
      </c>
      <c r="I1056">
        <f t="shared" si="263"/>
        <v>2.7125999999999997</v>
      </c>
      <c r="J1056">
        <f t="shared" si="264"/>
        <v>5.7712000000000003</v>
      </c>
      <c r="K1056">
        <f t="shared" si="265"/>
        <v>50.589199999999998</v>
      </c>
      <c r="L1056">
        <f t="shared" si="266"/>
        <v>-0.99446998000000253</v>
      </c>
      <c r="M1056">
        <f t="shared" si="267"/>
        <v>269.18299999999999</v>
      </c>
      <c r="O1056">
        <v>325</v>
      </c>
      <c r="P1056">
        <v>1530</v>
      </c>
      <c r="Q1056">
        <v>0.38500000000000001</v>
      </c>
      <c r="R1056">
        <f t="shared" si="262"/>
        <v>-0.38429851718441371</v>
      </c>
    </row>
    <row r="1057" spans="1:18" x14ac:dyDescent="0.25">
      <c r="A1057">
        <v>11</v>
      </c>
      <c r="B1057">
        <v>47</v>
      </c>
      <c r="C1057">
        <v>132</v>
      </c>
      <c r="D1057">
        <v>494</v>
      </c>
      <c r="E1057">
        <v>502</v>
      </c>
      <c r="F1057">
        <v>753</v>
      </c>
      <c r="G1057" t="s">
        <v>5</v>
      </c>
      <c r="H1057" s="1">
        <f t="shared" si="261"/>
        <v>36850.666666667457</v>
      </c>
      <c r="I1057">
        <f t="shared" si="263"/>
        <v>3.9061999999999997</v>
      </c>
      <c r="J1057">
        <f t="shared" si="264"/>
        <v>10.247200000000001</v>
      </c>
      <c r="K1057">
        <f t="shared" si="265"/>
        <v>48.340800000000002</v>
      </c>
      <c r="L1057">
        <f t="shared" si="266"/>
        <v>-0.9039199200000021</v>
      </c>
      <c r="M1057">
        <f t="shared" si="267"/>
        <v>264.29699999999997</v>
      </c>
      <c r="O1057">
        <v>325</v>
      </c>
      <c r="P1057">
        <v>1600</v>
      </c>
      <c r="Q1057">
        <v>0.38500000000000001</v>
      </c>
      <c r="R1057">
        <f t="shared" si="262"/>
        <v>-0.38436244269016756</v>
      </c>
    </row>
    <row r="1058" spans="1:18" x14ac:dyDescent="0.25">
      <c r="A1058">
        <v>11</v>
      </c>
      <c r="B1058">
        <v>38</v>
      </c>
      <c r="C1058">
        <v>80</v>
      </c>
      <c r="D1058">
        <v>209</v>
      </c>
      <c r="E1058">
        <v>498</v>
      </c>
      <c r="F1058">
        <v>753</v>
      </c>
      <c r="G1058" t="s">
        <v>5</v>
      </c>
      <c r="H1058" s="1">
        <f t="shared" si="261"/>
        <v>36850.687500000793</v>
      </c>
      <c r="I1058">
        <f t="shared" si="263"/>
        <v>3.2347999999999999</v>
      </c>
      <c r="J1058">
        <f t="shared" si="264"/>
        <v>6.3680000000000003</v>
      </c>
      <c r="K1058">
        <f t="shared" si="265"/>
        <v>19.213799999999999</v>
      </c>
      <c r="L1058">
        <f t="shared" si="266"/>
        <v>-1.2659999200000045</v>
      </c>
      <c r="M1058">
        <f t="shared" si="267"/>
        <v>264.29699999999997</v>
      </c>
      <c r="O1058">
        <v>325</v>
      </c>
      <c r="P1058">
        <v>1630</v>
      </c>
      <c r="Q1058">
        <v>0.38500000000000001</v>
      </c>
      <c r="R1058">
        <f t="shared" si="262"/>
        <v>-0.38410676176891573</v>
      </c>
    </row>
    <row r="1059" spans="1:18" x14ac:dyDescent="0.25">
      <c r="A1059">
        <v>711</v>
      </c>
      <c r="B1059">
        <v>15</v>
      </c>
      <c r="C1059">
        <v>44</v>
      </c>
      <c r="D1059">
        <v>727</v>
      </c>
      <c r="E1059">
        <v>505</v>
      </c>
      <c r="F1059">
        <v>737</v>
      </c>
      <c r="G1059" t="s">
        <v>5</v>
      </c>
      <c r="H1059" s="1">
        <f t="shared" si="261"/>
        <v>36850.708333334129</v>
      </c>
      <c r="I1059">
        <f t="shared" ref="I1059:J1061" si="268">0.4+0.0746*B1059</f>
        <v>1.5190000000000001</v>
      </c>
      <c r="J1059">
        <f t="shared" si="268"/>
        <v>3.6823999999999999</v>
      </c>
      <c r="K1059">
        <f t="shared" ref="K1059:K1077" si="269">-2.146+0.1022*D1059</f>
        <v>72.153400000000005</v>
      </c>
      <c r="L1059">
        <f t="shared" ref="L1059:L1077" si="270">-43.84+0.0805*E1059+0.00001002*E1059^2</f>
        <v>-0.6321494999999997</v>
      </c>
      <c r="M1059">
        <f t="shared" ref="M1059:M1077" si="271">1.5+0.349*F1059</f>
        <v>258.71299999999997</v>
      </c>
      <c r="O1059">
        <v>325</v>
      </c>
      <c r="P1059">
        <v>1700</v>
      </c>
      <c r="Q1059">
        <v>0.38500000000000001</v>
      </c>
      <c r="R1059">
        <f t="shared" si="262"/>
        <v>-0.38455424028463797</v>
      </c>
    </row>
    <row r="1060" spans="1:18" x14ac:dyDescent="0.25">
      <c r="A1060">
        <v>7</v>
      </c>
      <c r="B1060">
        <v>35</v>
      </c>
      <c r="C1060">
        <v>92</v>
      </c>
      <c r="D1060">
        <v>981</v>
      </c>
      <c r="E1060">
        <v>505</v>
      </c>
      <c r="F1060">
        <v>832</v>
      </c>
      <c r="G1060" t="s">
        <v>5</v>
      </c>
      <c r="H1060" s="1">
        <f t="shared" si="261"/>
        <v>36850.729166667465</v>
      </c>
      <c r="I1060">
        <f t="shared" si="268"/>
        <v>3.0109999999999997</v>
      </c>
      <c r="J1060">
        <f t="shared" si="268"/>
        <v>7.2632000000000003</v>
      </c>
      <c r="K1060">
        <f t="shared" si="269"/>
        <v>98.112200000000001</v>
      </c>
      <c r="L1060">
        <f t="shared" si="270"/>
        <v>-0.6321494999999997</v>
      </c>
      <c r="M1060">
        <f t="shared" si="271"/>
        <v>291.86799999999999</v>
      </c>
      <c r="O1060">
        <v>325</v>
      </c>
      <c r="P1060">
        <v>1730</v>
      </c>
      <c r="Q1060">
        <v>0.38500000000000001</v>
      </c>
      <c r="R1060">
        <f t="shared" si="262"/>
        <v>-0.38455424028463797</v>
      </c>
    </row>
    <row r="1061" spans="1:18" x14ac:dyDescent="0.25">
      <c r="A1061">
        <v>7</v>
      </c>
      <c r="B1061">
        <v>59</v>
      </c>
      <c r="C1061">
        <v>120</v>
      </c>
      <c r="D1061">
        <v>848</v>
      </c>
      <c r="E1061">
        <v>516</v>
      </c>
      <c r="F1061">
        <v>812</v>
      </c>
      <c r="G1061" t="s">
        <v>5</v>
      </c>
      <c r="H1061" s="1">
        <f t="shared" si="261"/>
        <v>36850.7500000008</v>
      </c>
      <c r="I1061">
        <f t="shared" si="268"/>
        <v>4.8014000000000001</v>
      </c>
      <c r="J1061">
        <f t="shared" si="268"/>
        <v>9.3520000000000003</v>
      </c>
      <c r="K1061">
        <f t="shared" si="269"/>
        <v>84.519599999999997</v>
      </c>
      <c r="L1061">
        <f t="shared" si="270"/>
        <v>0.36588512000000062</v>
      </c>
      <c r="M1061">
        <f t="shared" si="271"/>
        <v>284.88799999999998</v>
      </c>
      <c r="O1061">
        <v>325</v>
      </c>
      <c r="P1061">
        <v>1800</v>
      </c>
      <c r="Q1061">
        <v>0.38500000000000001</v>
      </c>
      <c r="R1061">
        <f t="shared" si="262"/>
        <v>-0.38525776794847649</v>
      </c>
    </row>
    <row r="1062" spans="1:18" x14ac:dyDescent="0.25">
      <c r="A1062">
        <v>7</v>
      </c>
      <c r="B1062">
        <v>49</v>
      </c>
      <c r="C1062">
        <v>108</v>
      </c>
      <c r="D1062">
        <v>800</v>
      </c>
      <c r="E1062">
        <v>513</v>
      </c>
      <c r="F1062">
        <v>857</v>
      </c>
      <c r="G1062" t="s">
        <v>5</v>
      </c>
      <c r="H1062" s="1">
        <f t="shared" si="261"/>
        <v>36850.770833334136</v>
      </c>
      <c r="I1062">
        <f t="shared" ref="I1062:I1074" si="272">0.4+0.0746*B1062</f>
        <v>4.0554000000000006</v>
      </c>
      <c r="J1062">
        <f t="shared" ref="J1062:J1074" si="273">0.4+0.0746*C1062</f>
        <v>8.4567999999999994</v>
      </c>
      <c r="K1062">
        <f t="shared" si="269"/>
        <v>79.614000000000004</v>
      </c>
      <c r="L1062">
        <f t="shared" si="270"/>
        <v>9.3453379999998365E-2</v>
      </c>
      <c r="M1062">
        <f t="shared" si="271"/>
        <v>300.59299999999996</v>
      </c>
      <c r="O1062">
        <v>325</v>
      </c>
      <c r="P1062">
        <v>1830</v>
      </c>
      <c r="Q1062">
        <v>0.38500000000000001</v>
      </c>
      <c r="R1062">
        <f t="shared" si="262"/>
        <v>-0.38506585479477679</v>
      </c>
    </row>
    <row r="1063" spans="1:18" x14ac:dyDescent="0.25">
      <c r="A1063">
        <v>7</v>
      </c>
      <c r="B1063">
        <v>122</v>
      </c>
      <c r="C1063">
        <v>288</v>
      </c>
      <c r="D1063">
        <v>910</v>
      </c>
      <c r="E1063">
        <v>513</v>
      </c>
      <c r="F1063">
        <v>865</v>
      </c>
      <c r="G1063" t="s">
        <v>5</v>
      </c>
      <c r="H1063" s="1">
        <f t="shared" si="261"/>
        <v>36850.791666667472</v>
      </c>
      <c r="I1063">
        <f t="shared" si="272"/>
        <v>9.5012000000000008</v>
      </c>
      <c r="J1063">
        <f t="shared" si="273"/>
        <v>21.884799999999998</v>
      </c>
      <c r="K1063">
        <f t="shared" si="269"/>
        <v>90.855999999999995</v>
      </c>
      <c r="L1063">
        <f t="shared" si="270"/>
        <v>9.3453379999998365E-2</v>
      </c>
      <c r="M1063">
        <f t="shared" si="271"/>
        <v>303.38499999999999</v>
      </c>
      <c r="O1063">
        <v>325</v>
      </c>
      <c r="P1063">
        <v>1900</v>
      </c>
      <c r="Q1063">
        <v>0.38200000000000001</v>
      </c>
      <c r="R1063">
        <f t="shared" si="262"/>
        <v>-0.3820653416405318</v>
      </c>
    </row>
    <row r="1064" spans="1:18" x14ac:dyDescent="0.25">
      <c r="A1064">
        <v>7</v>
      </c>
      <c r="B1064">
        <v>169</v>
      </c>
      <c r="C1064">
        <v>276</v>
      </c>
      <c r="D1064">
        <v>927</v>
      </c>
      <c r="E1064">
        <v>516</v>
      </c>
      <c r="F1064">
        <v>857</v>
      </c>
      <c r="G1064" t="s">
        <v>5</v>
      </c>
      <c r="H1064" s="1">
        <f t="shared" si="261"/>
        <v>36850.812500000808</v>
      </c>
      <c r="I1064">
        <f t="shared" si="272"/>
        <v>13.007400000000001</v>
      </c>
      <c r="J1064">
        <f t="shared" si="273"/>
        <v>20.989599999999999</v>
      </c>
      <c r="K1064">
        <f t="shared" si="269"/>
        <v>92.593400000000003</v>
      </c>
      <c r="L1064">
        <f t="shared" si="270"/>
        <v>0.36588512000000062</v>
      </c>
      <c r="M1064">
        <f t="shared" si="271"/>
        <v>300.59299999999996</v>
      </c>
      <c r="O1064">
        <v>325</v>
      </c>
      <c r="P1064">
        <v>1930</v>
      </c>
      <c r="Q1064">
        <v>0.38700000000000001</v>
      </c>
      <c r="R1064">
        <f t="shared" si="262"/>
        <v>-0.38725910700275429</v>
      </c>
    </row>
    <row r="1065" spans="1:18" x14ac:dyDescent="0.25">
      <c r="A1065">
        <v>7</v>
      </c>
      <c r="B1065">
        <v>158</v>
      </c>
      <c r="C1065">
        <v>248</v>
      </c>
      <c r="D1065">
        <v>902</v>
      </c>
      <c r="E1065">
        <v>515</v>
      </c>
      <c r="F1065">
        <v>901</v>
      </c>
      <c r="G1065" t="s">
        <v>5</v>
      </c>
      <c r="H1065" s="1">
        <f t="shared" si="261"/>
        <v>36850.833333334143</v>
      </c>
      <c r="I1065">
        <f t="shared" si="272"/>
        <v>12.1868</v>
      </c>
      <c r="J1065">
        <f t="shared" si="273"/>
        <v>18.900799999999997</v>
      </c>
      <c r="K1065">
        <f t="shared" si="269"/>
        <v>90.038399999999996</v>
      </c>
      <c r="L1065">
        <f t="shared" si="270"/>
        <v>0.27505449999999998</v>
      </c>
      <c r="M1065">
        <f t="shared" si="271"/>
        <v>315.94899999999996</v>
      </c>
      <c r="O1065">
        <v>325</v>
      </c>
      <c r="P1065">
        <v>2000</v>
      </c>
      <c r="Q1065">
        <v>0.38500000000000001</v>
      </c>
      <c r="R1065">
        <f t="shared" si="262"/>
        <v>-0.38519379340533033</v>
      </c>
    </row>
    <row r="1066" spans="1:18" x14ac:dyDescent="0.25">
      <c r="A1066">
        <v>7</v>
      </c>
      <c r="B1066">
        <v>157</v>
      </c>
      <c r="C1066">
        <v>232</v>
      </c>
      <c r="D1066">
        <v>899</v>
      </c>
      <c r="E1066">
        <v>507</v>
      </c>
      <c r="F1066">
        <v>917</v>
      </c>
      <c r="G1066" t="s">
        <v>5</v>
      </c>
      <c r="H1066" s="1">
        <f>H1065+1/48</f>
        <v>36850.854166667479</v>
      </c>
      <c r="I1066">
        <f t="shared" si="272"/>
        <v>12.1122</v>
      </c>
      <c r="J1066">
        <f t="shared" si="273"/>
        <v>17.7072</v>
      </c>
      <c r="K1066">
        <f t="shared" si="269"/>
        <v>89.731799999999993</v>
      </c>
      <c r="L1066">
        <f t="shared" si="270"/>
        <v>-0.45086902000000562</v>
      </c>
      <c r="M1066">
        <f t="shared" si="271"/>
        <v>321.53299999999996</v>
      </c>
      <c r="O1066">
        <v>325</v>
      </c>
      <c r="P1066">
        <v>2030</v>
      </c>
      <c r="Q1066">
        <v>0.38700000000000001</v>
      </c>
      <c r="R1066">
        <f t="shared" si="262"/>
        <v>-0.3866804715848049</v>
      </c>
    </row>
    <row r="1067" spans="1:18" x14ac:dyDescent="0.25">
      <c r="A1067">
        <v>7</v>
      </c>
      <c r="B1067">
        <v>170</v>
      </c>
      <c r="C1067">
        <v>244</v>
      </c>
      <c r="D1067">
        <v>884</v>
      </c>
      <c r="E1067">
        <v>511</v>
      </c>
      <c r="F1067">
        <v>929</v>
      </c>
      <c r="G1067" t="s">
        <v>5</v>
      </c>
      <c r="H1067" s="1">
        <f t="shared" si="261"/>
        <v>36850.875000000815</v>
      </c>
      <c r="I1067">
        <f t="shared" si="272"/>
        <v>13.082000000000001</v>
      </c>
      <c r="J1067">
        <f t="shared" si="273"/>
        <v>18.602399999999999</v>
      </c>
      <c r="K1067">
        <f t="shared" si="269"/>
        <v>88.198799999999991</v>
      </c>
      <c r="L1067">
        <f t="shared" si="270"/>
        <v>-8.806758000000281E-2</v>
      </c>
      <c r="M1067">
        <f t="shared" si="271"/>
        <v>325.721</v>
      </c>
      <c r="O1067">
        <v>325</v>
      </c>
      <c r="P1067">
        <v>2100</v>
      </c>
      <c r="Q1067">
        <v>0.38</v>
      </c>
      <c r="R1067">
        <f t="shared" si="262"/>
        <v>-0.37993873626525371</v>
      </c>
    </row>
    <row r="1068" spans="1:18" x14ac:dyDescent="0.25">
      <c r="A1068">
        <v>7</v>
      </c>
      <c r="B1068">
        <v>191</v>
      </c>
      <c r="C1068">
        <v>276</v>
      </c>
      <c r="D1068">
        <v>896</v>
      </c>
      <c r="E1068">
        <v>512</v>
      </c>
      <c r="F1068">
        <v>932</v>
      </c>
      <c r="G1068" t="s">
        <v>5</v>
      </c>
      <c r="H1068" s="1">
        <f t="shared" si="261"/>
        <v>36850.895833334151</v>
      </c>
      <c r="I1068">
        <f t="shared" si="272"/>
        <v>14.6486</v>
      </c>
      <c r="J1068">
        <f t="shared" si="273"/>
        <v>20.989599999999999</v>
      </c>
      <c r="K1068">
        <f t="shared" si="269"/>
        <v>89.425200000000004</v>
      </c>
      <c r="L1068">
        <f t="shared" si="270"/>
        <v>2.6828799999978337E-3</v>
      </c>
      <c r="M1068">
        <f t="shared" si="271"/>
        <v>326.76799999999997</v>
      </c>
      <c r="O1068">
        <v>325</v>
      </c>
      <c r="P1068">
        <v>2130</v>
      </c>
      <c r="Q1068">
        <v>0.377</v>
      </c>
      <c r="R1068">
        <f t="shared" si="262"/>
        <v>-0.37700185144293691</v>
      </c>
    </row>
    <row r="1069" spans="1:18" x14ac:dyDescent="0.25">
      <c r="A1069">
        <v>7</v>
      </c>
      <c r="B1069">
        <v>160</v>
      </c>
      <c r="C1069">
        <v>280</v>
      </c>
      <c r="D1069">
        <v>520</v>
      </c>
      <c r="E1069">
        <v>522</v>
      </c>
      <c r="F1069">
        <v>929</v>
      </c>
      <c r="G1069" t="s">
        <v>5</v>
      </c>
      <c r="H1069" s="1">
        <f t="shared" ref="H1069:H1131" si="274">H1068+1/48</f>
        <v>36850.916666667486</v>
      </c>
      <c r="I1069">
        <f t="shared" si="272"/>
        <v>12.336</v>
      </c>
      <c r="J1069">
        <f t="shared" si="273"/>
        <v>21.287999999999997</v>
      </c>
      <c r="K1069">
        <f t="shared" si="269"/>
        <v>50.997999999999998</v>
      </c>
      <c r="L1069">
        <f t="shared" si="270"/>
        <v>0.91128967999999766</v>
      </c>
      <c r="M1069">
        <f t="shared" si="271"/>
        <v>325.721</v>
      </c>
      <c r="O1069">
        <v>325</v>
      </c>
      <c r="P1069">
        <v>2200</v>
      </c>
      <c r="Q1069">
        <v>0.40200000000000002</v>
      </c>
      <c r="R1069">
        <f t="shared" si="262"/>
        <v>-0.40267002272226071</v>
      </c>
    </row>
    <row r="1070" spans="1:18" x14ac:dyDescent="0.25">
      <c r="A1070">
        <v>7</v>
      </c>
      <c r="B1070">
        <v>44</v>
      </c>
      <c r="C1070">
        <v>88</v>
      </c>
      <c r="D1070">
        <v>417</v>
      </c>
      <c r="E1070">
        <v>519</v>
      </c>
      <c r="F1070">
        <v>916</v>
      </c>
      <c r="G1070" t="s">
        <v>5</v>
      </c>
      <c r="H1070" s="1">
        <f t="shared" si="274"/>
        <v>36850.937500000822</v>
      </c>
      <c r="I1070">
        <f t="shared" si="272"/>
        <v>3.6823999999999999</v>
      </c>
      <c r="J1070">
        <f t="shared" si="273"/>
        <v>6.9648000000000003</v>
      </c>
      <c r="K1070">
        <f t="shared" si="269"/>
        <v>40.471399999999996</v>
      </c>
      <c r="L1070">
        <f t="shared" si="270"/>
        <v>0.63849721999999565</v>
      </c>
      <c r="M1070">
        <f t="shared" si="271"/>
        <v>321.18399999999997</v>
      </c>
      <c r="O1070">
        <v>325</v>
      </c>
      <c r="P1070">
        <v>2230</v>
      </c>
      <c r="Q1070">
        <v>0.39</v>
      </c>
      <c r="R1070">
        <f t="shared" si="262"/>
        <v>-0.3904555529307166</v>
      </c>
    </row>
    <row r="1071" spans="1:18" x14ac:dyDescent="0.25">
      <c r="A1071">
        <v>7</v>
      </c>
      <c r="B1071">
        <v>65</v>
      </c>
      <c r="C1071">
        <v>104</v>
      </c>
      <c r="D1071">
        <v>464</v>
      </c>
      <c r="E1071">
        <v>522</v>
      </c>
      <c r="F1071">
        <v>905</v>
      </c>
      <c r="G1071" t="s">
        <v>5</v>
      </c>
      <c r="H1071" s="1">
        <f t="shared" si="274"/>
        <v>36850.958333334158</v>
      </c>
      <c r="I1071">
        <f t="shared" si="272"/>
        <v>5.2490000000000006</v>
      </c>
      <c r="J1071">
        <f t="shared" si="273"/>
        <v>8.1584000000000003</v>
      </c>
      <c r="K1071">
        <f t="shared" si="269"/>
        <v>45.274799999999999</v>
      </c>
      <c r="L1071">
        <f t="shared" si="270"/>
        <v>0.91128967999999766</v>
      </c>
      <c r="M1071">
        <f t="shared" si="271"/>
        <v>317.34499999999997</v>
      </c>
      <c r="O1071">
        <v>325</v>
      </c>
      <c r="P1071">
        <v>2300</v>
      </c>
      <c r="Q1071">
        <v>0.38200000000000001</v>
      </c>
      <c r="R1071">
        <f t="shared" si="262"/>
        <v>-0.38263668825846664</v>
      </c>
    </row>
    <row r="1072" spans="1:18" x14ac:dyDescent="0.25">
      <c r="A1072">
        <v>71</v>
      </c>
      <c r="B1072">
        <v>54</v>
      </c>
      <c r="C1072">
        <v>96</v>
      </c>
      <c r="D1072">
        <v>646</v>
      </c>
      <c r="E1072">
        <v>525</v>
      </c>
      <c r="F1072">
        <v>885</v>
      </c>
      <c r="G1072" t="s">
        <v>5</v>
      </c>
      <c r="H1072" s="1">
        <f t="shared" si="274"/>
        <v>36850.979166667494</v>
      </c>
      <c r="I1072">
        <f t="shared" si="272"/>
        <v>4.4283999999999999</v>
      </c>
      <c r="J1072">
        <f t="shared" si="273"/>
        <v>7.5616000000000003</v>
      </c>
      <c r="K1072">
        <f t="shared" si="269"/>
        <v>63.875199999999992</v>
      </c>
      <c r="L1072">
        <f t="shared" si="270"/>
        <v>1.1842624999999996</v>
      </c>
      <c r="M1072">
        <f t="shared" si="271"/>
        <v>310.36499999999995</v>
      </c>
      <c r="O1072">
        <v>325</v>
      </c>
      <c r="P1072">
        <v>2330</v>
      </c>
      <c r="Q1072">
        <v>0.38</v>
      </c>
      <c r="R1072">
        <f t="shared" si="262"/>
        <v>-0.38082286844382407</v>
      </c>
    </row>
    <row r="1073" spans="1:18" x14ac:dyDescent="0.25">
      <c r="A1073">
        <v>71</v>
      </c>
      <c r="B1073">
        <v>66</v>
      </c>
      <c r="C1073">
        <v>116</v>
      </c>
      <c r="D1073">
        <v>471</v>
      </c>
      <c r="E1073">
        <v>534</v>
      </c>
      <c r="F1073">
        <v>844</v>
      </c>
      <c r="G1073" t="s">
        <v>5</v>
      </c>
      <c r="H1073" s="1">
        <f t="shared" si="274"/>
        <v>36851.000000000829</v>
      </c>
      <c r="I1073">
        <f t="shared" si="272"/>
        <v>5.3236000000000008</v>
      </c>
      <c r="J1073">
        <f t="shared" si="273"/>
        <v>9.0536000000000012</v>
      </c>
      <c r="K1073">
        <f t="shared" si="269"/>
        <v>45.990200000000002</v>
      </c>
      <c r="L1073">
        <f t="shared" si="270"/>
        <v>2.0042631199999987</v>
      </c>
      <c r="M1073">
        <f t="shared" si="271"/>
        <v>296.05599999999998</v>
      </c>
      <c r="O1073">
        <v>325</v>
      </c>
      <c r="P1073">
        <v>2400</v>
      </c>
      <c r="Q1073">
        <v>0.377</v>
      </c>
      <c r="R1073">
        <f t="shared" si="262"/>
        <v>-0.3783806080433128</v>
      </c>
    </row>
    <row r="1074" spans="1:18" x14ac:dyDescent="0.25">
      <c r="A1074">
        <v>71</v>
      </c>
      <c r="B1074">
        <v>50</v>
      </c>
      <c r="C1074">
        <v>84</v>
      </c>
      <c r="D1074">
        <v>583</v>
      </c>
      <c r="E1074">
        <v>518</v>
      </c>
      <c r="F1074">
        <v>913</v>
      </c>
      <c r="G1074" t="s">
        <v>5</v>
      </c>
      <c r="H1074" s="1">
        <f t="shared" si="274"/>
        <v>36851.020833334165</v>
      </c>
      <c r="I1074">
        <f t="shared" si="272"/>
        <v>4.13</v>
      </c>
      <c r="J1074">
        <f t="shared" si="273"/>
        <v>6.6664000000000003</v>
      </c>
      <c r="K1074">
        <f t="shared" si="269"/>
        <v>57.436599999999999</v>
      </c>
      <c r="L1074">
        <f t="shared" si="270"/>
        <v>0.5476064799999949</v>
      </c>
      <c r="M1074">
        <f t="shared" si="271"/>
        <v>320.137</v>
      </c>
      <c r="O1074">
        <v>326</v>
      </c>
      <c r="P1074">
        <v>30</v>
      </c>
      <c r="Q1074">
        <v>0.377</v>
      </c>
      <c r="R1074">
        <f t="shared" si="262"/>
        <v>-0.37737771238489187</v>
      </c>
    </row>
    <row r="1075" spans="1:18" x14ac:dyDescent="0.25">
      <c r="A1075">
        <v>71</v>
      </c>
      <c r="B1075">
        <v>56</v>
      </c>
      <c r="C1075">
        <v>140</v>
      </c>
      <c r="D1075">
        <v>426</v>
      </c>
      <c r="E1075">
        <v>530</v>
      </c>
      <c r="F1075">
        <v>844</v>
      </c>
      <c r="G1075" t="s">
        <v>5</v>
      </c>
      <c r="H1075" s="1">
        <f t="shared" si="274"/>
        <v>36851.041666667501</v>
      </c>
      <c r="I1075">
        <f t="shared" ref="I1075:J1077" si="275">0.4+0.0746*B1075</f>
        <v>4.5776000000000003</v>
      </c>
      <c r="J1075">
        <f t="shared" si="275"/>
        <v>10.843999999999999</v>
      </c>
      <c r="K1075">
        <f t="shared" si="269"/>
        <v>41.391199999999998</v>
      </c>
      <c r="L1075">
        <f t="shared" si="270"/>
        <v>1.639617999999996</v>
      </c>
      <c r="M1075">
        <f t="shared" si="271"/>
        <v>296.05599999999998</v>
      </c>
      <c r="O1075">
        <v>326</v>
      </c>
      <c r="P1075">
        <v>100</v>
      </c>
      <c r="Q1075">
        <v>0.38</v>
      </c>
      <c r="R1075">
        <f t="shared" si="262"/>
        <v>-0.38113879305147502</v>
      </c>
    </row>
    <row r="1076" spans="1:18" x14ac:dyDescent="0.25">
      <c r="A1076">
        <v>71</v>
      </c>
      <c r="B1076">
        <v>66</v>
      </c>
      <c r="C1076">
        <v>124</v>
      </c>
      <c r="D1076">
        <v>449</v>
      </c>
      <c r="E1076">
        <v>519</v>
      </c>
      <c r="F1076">
        <v>920</v>
      </c>
      <c r="G1076" t="s">
        <v>5</v>
      </c>
      <c r="H1076" s="1">
        <f t="shared" si="274"/>
        <v>36851.062500000837</v>
      </c>
      <c r="I1076">
        <f t="shared" si="275"/>
        <v>5.3236000000000008</v>
      </c>
      <c r="J1076">
        <f t="shared" si="275"/>
        <v>9.6503999999999994</v>
      </c>
      <c r="K1076">
        <f t="shared" si="269"/>
        <v>43.741799999999998</v>
      </c>
      <c r="L1076">
        <f t="shared" si="270"/>
        <v>0.63849721999999565</v>
      </c>
      <c r="M1076">
        <f t="shared" si="271"/>
        <v>322.58</v>
      </c>
      <c r="O1076">
        <v>326</v>
      </c>
      <c r="P1076">
        <v>130</v>
      </c>
      <c r="Q1076">
        <v>0.38</v>
      </c>
      <c r="R1076">
        <f t="shared" si="262"/>
        <v>-0.38044387208633923</v>
      </c>
    </row>
    <row r="1077" spans="1:18" x14ac:dyDescent="0.25">
      <c r="A1077">
        <v>71</v>
      </c>
      <c r="B1077">
        <v>111</v>
      </c>
      <c r="C1077">
        <v>224</v>
      </c>
      <c r="D1077">
        <v>368</v>
      </c>
      <c r="E1077">
        <v>519</v>
      </c>
      <c r="F1077">
        <v>873</v>
      </c>
      <c r="G1077" t="s">
        <v>5</v>
      </c>
      <c r="H1077" s="1">
        <f t="shared" si="274"/>
        <v>36851.083333334172</v>
      </c>
      <c r="I1077">
        <f t="shared" si="275"/>
        <v>8.6806000000000001</v>
      </c>
      <c r="J1077">
        <f t="shared" si="275"/>
        <v>17.110399999999998</v>
      </c>
      <c r="K1077">
        <f t="shared" si="269"/>
        <v>35.4636</v>
      </c>
      <c r="L1077">
        <f t="shared" si="270"/>
        <v>0.63849721999999565</v>
      </c>
      <c r="M1077">
        <f t="shared" si="271"/>
        <v>306.17699999999996</v>
      </c>
      <c r="O1077">
        <v>326</v>
      </c>
      <c r="P1077">
        <v>200</v>
      </c>
      <c r="Q1077">
        <v>0.38</v>
      </c>
      <c r="R1077">
        <f t="shared" si="262"/>
        <v>-0.38044387208633923</v>
      </c>
    </row>
    <row r="1078" spans="1:18" x14ac:dyDescent="0.25">
      <c r="A1078">
        <v>71</v>
      </c>
      <c r="B1078">
        <v>80</v>
      </c>
      <c r="C1078">
        <v>172</v>
      </c>
      <c r="D1078">
        <v>571</v>
      </c>
      <c r="E1078">
        <v>541</v>
      </c>
      <c r="F1078">
        <v>868</v>
      </c>
      <c r="G1078" t="s">
        <v>5</v>
      </c>
      <c r="H1078" s="1">
        <f t="shared" si="274"/>
        <v>36851.104166667508</v>
      </c>
      <c r="I1078">
        <f t="shared" ref="I1078:J1085" si="276">0.4+0.0746*B1078</f>
        <v>6.3680000000000003</v>
      </c>
      <c r="J1078">
        <f t="shared" si="276"/>
        <v>13.231199999999999</v>
      </c>
      <c r="K1078">
        <f t="shared" ref="K1078:K1085" si="277">-2.146+0.1022*D1078</f>
        <v>56.2102</v>
      </c>
      <c r="L1078">
        <f t="shared" ref="L1078:L1085" si="278">-43.84+0.0805*E1078+0.00001002*E1078^2</f>
        <v>2.6431636199999962</v>
      </c>
      <c r="M1078">
        <f t="shared" ref="M1078:M1085" si="279">1.5+0.349*F1078</f>
        <v>304.43199999999996</v>
      </c>
      <c r="O1078">
        <v>326</v>
      </c>
      <c r="P1078">
        <v>230</v>
      </c>
      <c r="Q1078">
        <v>0.38200000000000001</v>
      </c>
      <c r="R1078">
        <f t="shared" si="262"/>
        <v>-0.38384378118538637</v>
      </c>
    </row>
    <row r="1079" spans="1:18" x14ac:dyDescent="0.25">
      <c r="A1079">
        <v>71</v>
      </c>
      <c r="B1079">
        <v>116</v>
      </c>
      <c r="C1079">
        <v>256</v>
      </c>
      <c r="D1079">
        <v>284</v>
      </c>
      <c r="E1079">
        <v>508</v>
      </c>
      <c r="F1079">
        <v>909</v>
      </c>
      <c r="G1079" t="s">
        <v>5</v>
      </c>
      <c r="H1079" s="1">
        <f t="shared" si="274"/>
        <v>36851.125000000844</v>
      </c>
      <c r="I1079">
        <f t="shared" si="276"/>
        <v>9.0536000000000012</v>
      </c>
      <c r="J1079">
        <f t="shared" si="276"/>
        <v>19.497599999999998</v>
      </c>
      <c r="K1079">
        <f t="shared" si="277"/>
        <v>26.878799999999998</v>
      </c>
      <c r="L1079">
        <f t="shared" si="278"/>
        <v>-0.36019872000000497</v>
      </c>
      <c r="M1079">
        <f t="shared" si="279"/>
        <v>318.74099999999999</v>
      </c>
      <c r="O1079">
        <v>326</v>
      </c>
      <c r="P1079">
        <v>300</v>
      </c>
      <c r="Q1079">
        <v>0.38</v>
      </c>
      <c r="R1079">
        <f t="shared" si="262"/>
        <v>-0.37974936725739095</v>
      </c>
    </row>
    <row r="1080" spans="1:18" x14ac:dyDescent="0.25">
      <c r="A1080">
        <v>71</v>
      </c>
      <c r="B1080">
        <v>118</v>
      </c>
      <c r="C1080">
        <v>272</v>
      </c>
      <c r="D1080">
        <v>550</v>
      </c>
      <c r="E1080">
        <v>526</v>
      </c>
      <c r="F1080">
        <v>793</v>
      </c>
      <c r="G1080" t="s">
        <v>5</v>
      </c>
      <c r="H1080" s="1">
        <f t="shared" si="274"/>
        <v>36851.14583333418</v>
      </c>
      <c r="I1080">
        <f t="shared" si="276"/>
        <v>9.2027999999999999</v>
      </c>
      <c r="J1080">
        <f t="shared" si="276"/>
        <v>20.691199999999998</v>
      </c>
      <c r="K1080">
        <f t="shared" si="277"/>
        <v>54.064</v>
      </c>
      <c r="L1080">
        <f t="shared" si="278"/>
        <v>1.2752935200000004</v>
      </c>
      <c r="M1080">
        <f t="shared" si="279"/>
        <v>278.25700000000001</v>
      </c>
      <c r="O1080">
        <v>326</v>
      </c>
      <c r="P1080">
        <v>330</v>
      </c>
      <c r="Q1080">
        <v>0.38200000000000001</v>
      </c>
      <c r="R1080">
        <f t="shared" si="262"/>
        <v>-0.38289070991713475</v>
      </c>
    </row>
    <row r="1081" spans="1:18" x14ac:dyDescent="0.25">
      <c r="A1081">
        <v>71</v>
      </c>
      <c r="B1081">
        <v>106</v>
      </c>
      <c r="C1081">
        <v>212</v>
      </c>
      <c r="D1081">
        <v>543</v>
      </c>
      <c r="E1081">
        <v>507</v>
      </c>
      <c r="F1081">
        <v>892</v>
      </c>
      <c r="G1081" t="s">
        <v>5</v>
      </c>
      <c r="H1081" s="1">
        <f t="shared" si="274"/>
        <v>36851.166666667516</v>
      </c>
      <c r="I1081">
        <f t="shared" si="276"/>
        <v>8.3076000000000008</v>
      </c>
      <c r="J1081">
        <f t="shared" si="276"/>
        <v>16.215199999999999</v>
      </c>
      <c r="K1081">
        <f t="shared" si="277"/>
        <v>53.348599999999998</v>
      </c>
      <c r="L1081">
        <f t="shared" si="278"/>
        <v>-0.45086902000000562</v>
      </c>
      <c r="M1081">
        <f t="shared" si="279"/>
        <v>312.80799999999999</v>
      </c>
      <c r="O1081">
        <v>326</v>
      </c>
      <c r="P1081">
        <v>400</v>
      </c>
      <c r="Q1081">
        <v>0.38200000000000001</v>
      </c>
      <c r="R1081">
        <f t="shared" si="262"/>
        <v>-0.38168459985890302</v>
      </c>
    </row>
    <row r="1082" spans="1:18" x14ac:dyDescent="0.25">
      <c r="A1082">
        <v>71</v>
      </c>
      <c r="B1082">
        <v>144</v>
      </c>
      <c r="C1082">
        <v>248</v>
      </c>
      <c r="D1082">
        <v>584</v>
      </c>
      <c r="E1082">
        <v>503</v>
      </c>
      <c r="F1082">
        <v>901</v>
      </c>
      <c r="G1082" t="s">
        <v>5</v>
      </c>
      <c r="H1082" s="1">
        <f t="shared" si="274"/>
        <v>36851.187500000851</v>
      </c>
      <c r="I1082">
        <f t="shared" si="276"/>
        <v>11.1424</v>
      </c>
      <c r="J1082">
        <f t="shared" si="276"/>
        <v>18.900799999999997</v>
      </c>
      <c r="K1082">
        <f t="shared" si="277"/>
        <v>57.538800000000002</v>
      </c>
      <c r="L1082">
        <f t="shared" si="278"/>
        <v>-0.81334982000000133</v>
      </c>
      <c r="M1082">
        <f t="shared" si="279"/>
        <v>315.94899999999996</v>
      </c>
      <c r="O1082">
        <v>326</v>
      </c>
      <c r="P1082">
        <v>430</v>
      </c>
      <c r="Q1082">
        <v>0.38200000000000001</v>
      </c>
      <c r="R1082">
        <f t="shared" si="262"/>
        <v>-0.38143084154078943</v>
      </c>
    </row>
    <row r="1083" spans="1:18" x14ac:dyDescent="0.25">
      <c r="A1083">
        <v>71</v>
      </c>
      <c r="B1083">
        <v>87</v>
      </c>
      <c r="C1083">
        <v>204</v>
      </c>
      <c r="D1083">
        <v>661</v>
      </c>
      <c r="E1083">
        <v>508</v>
      </c>
      <c r="F1083">
        <v>865</v>
      </c>
      <c r="G1083" t="s">
        <v>5</v>
      </c>
      <c r="H1083" s="1">
        <f t="shared" si="274"/>
        <v>36851.208333334187</v>
      </c>
      <c r="I1083">
        <f t="shared" si="276"/>
        <v>6.8902000000000001</v>
      </c>
      <c r="J1083">
        <f t="shared" si="276"/>
        <v>15.618399999999999</v>
      </c>
      <c r="K1083">
        <f t="shared" si="277"/>
        <v>65.408199999999994</v>
      </c>
      <c r="L1083">
        <f t="shared" si="278"/>
        <v>-0.36019872000000497</v>
      </c>
      <c r="M1083">
        <f t="shared" si="279"/>
        <v>303.38499999999999</v>
      </c>
      <c r="O1083">
        <v>326</v>
      </c>
      <c r="P1083">
        <v>500</v>
      </c>
      <c r="Q1083">
        <v>0.38500000000000001</v>
      </c>
      <c r="R1083">
        <f t="shared" si="262"/>
        <v>-0.3847460694581461</v>
      </c>
    </row>
    <row r="1084" spans="1:18" x14ac:dyDescent="0.25">
      <c r="A1084">
        <v>71</v>
      </c>
      <c r="B1084">
        <v>105</v>
      </c>
      <c r="C1084">
        <v>196</v>
      </c>
      <c r="D1084">
        <v>198</v>
      </c>
      <c r="E1084">
        <v>501</v>
      </c>
      <c r="F1084">
        <v>904</v>
      </c>
      <c r="G1084" t="s">
        <v>5</v>
      </c>
      <c r="H1084" s="1">
        <f t="shared" si="274"/>
        <v>36851.229166667523</v>
      </c>
      <c r="I1084">
        <f t="shared" si="276"/>
        <v>8.2330000000000005</v>
      </c>
      <c r="J1084">
        <f t="shared" si="276"/>
        <v>15.021600000000001</v>
      </c>
      <c r="K1084">
        <f t="shared" si="277"/>
        <v>18.089600000000001</v>
      </c>
      <c r="L1084">
        <f t="shared" si="278"/>
        <v>-0.99446998000000253</v>
      </c>
      <c r="M1084">
        <f t="shared" si="279"/>
        <v>316.99599999999998</v>
      </c>
      <c r="O1084">
        <v>326</v>
      </c>
      <c r="P1084">
        <v>530</v>
      </c>
      <c r="Q1084">
        <v>0.38500000000000001</v>
      </c>
      <c r="R1084">
        <f t="shared" si="262"/>
        <v>-0.38429851718441371</v>
      </c>
    </row>
    <row r="1085" spans="1:18" x14ac:dyDescent="0.25">
      <c r="A1085">
        <v>71</v>
      </c>
      <c r="B1085">
        <v>88</v>
      </c>
      <c r="C1085">
        <v>140</v>
      </c>
      <c r="D1085">
        <v>563</v>
      </c>
      <c r="E1085">
        <v>516</v>
      </c>
      <c r="F1085">
        <v>797</v>
      </c>
      <c r="G1085" t="s">
        <v>5</v>
      </c>
      <c r="H1085" s="1">
        <f t="shared" si="274"/>
        <v>36851.250000000859</v>
      </c>
      <c r="I1085">
        <f t="shared" si="276"/>
        <v>6.9648000000000003</v>
      </c>
      <c r="J1085">
        <f t="shared" si="276"/>
        <v>10.843999999999999</v>
      </c>
      <c r="K1085">
        <f t="shared" si="277"/>
        <v>55.392600000000002</v>
      </c>
      <c r="L1085">
        <f t="shared" si="278"/>
        <v>0.36588512000000062</v>
      </c>
      <c r="M1085">
        <f t="shared" si="279"/>
        <v>279.65299999999996</v>
      </c>
      <c r="O1085">
        <v>326</v>
      </c>
      <c r="P1085">
        <v>600</v>
      </c>
      <c r="Q1085">
        <v>0.38500000000000001</v>
      </c>
      <c r="R1085">
        <f t="shared" si="262"/>
        <v>-0.38525776794847649</v>
      </c>
    </row>
    <row r="1086" spans="1:18" x14ac:dyDescent="0.25">
      <c r="A1086">
        <v>711</v>
      </c>
      <c r="B1086">
        <v>63</v>
      </c>
      <c r="C1086">
        <v>136</v>
      </c>
      <c r="D1086">
        <v>561</v>
      </c>
      <c r="E1086">
        <v>502</v>
      </c>
      <c r="F1086">
        <v>897</v>
      </c>
      <c r="G1086" t="s">
        <v>5</v>
      </c>
      <c r="H1086" s="1">
        <f t="shared" si="274"/>
        <v>36851.270833334194</v>
      </c>
      <c r="I1086">
        <f t="shared" ref="I1086:I1129" si="280">0.4+0.0746*B1086</f>
        <v>5.0998000000000001</v>
      </c>
      <c r="J1086">
        <f t="shared" ref="J1086:J1129" si="281">0.4+0.0746*C1086</f>
        <v>10.5456</v>
      </c>
      <c r="K1086">
        <f t="shared" ref="K1086:K1129" si="282">-2.146+0.1022*D1086</f>
        <v>55.188200000000002</v>
      </c>
      <c r="L1086">
        <f t="shared" ref="L1086:L1129" si="283">-43.84+0.0805*E1086+0.00001002*E1086^2</f>
        <v>-0.9039199200000021</v>
      </c>
      <c r="M1086">
        <f t="shared" ref="M1086:M1129" si="284">1.5+0.349*F1086</f>
        <v>314.553</v>
      </c>
      <c r="O1086">
        <v>326</v>
      </c>
      <c r="P1086">
        <v>630</v>
      </c>
      <c r="Q1086">
        <v>0.38500000000000001</v>
      </c>
      <c r="R1086">
        <f t="shared" si="262"/>
        <v>-0.38436244269016756</v>
      </c>
    </row>
    <row r="1087" spans="1:18" x14ac:dyDescent="0.25">
      <c r="A1087">
        <v>711</v>
      </c>
      <c r="B1087">
        <v>66</v>
      </c>
      <c r="C1087">
        <v>132</v>
      </c>
      <c r="D1087">
        <v>175</v>
      </c>
      <c r="E1087">
        <v>497</v>
      </c>
      <c r="F1087">
        <v>901</v>
      </c>
      <c r="G1087" t="s">
        <v>5</v>
      </c>
      <c r="H1087" s="1">
        <f t="shared" si="274"/>
        <v>36851.29166666753</v>
      </c>
      <c r="I1087">
        <f t="shared" si="280"/>
        <v>5.3236000000000008</v>
      </c>
      <c r="J1087">
        <f t="shared" si="281"/>
        <v>10.247200000000001</v>
      </c>
      <c r="K1087">
        <f t="shared" si="282"/>
        <v>15.739000000000001</v>
      </c>
      <c r="L1087">
        <f t="shared" si="283"/>
        <v>-1.3564698200000054</v>
      </c>
      <c r="M1087">
        <f t="shared" si="284"/>
        <v>315.94899999999996</v>
      </c>
      <c r="O1087">
        <v>326</v>
      </c>
      <c r="P1087">
        <v>700</v>
      </c>
      <c r="Q1087">
        <v>0.38500000000000001</v>
      </c>
      <c r="R1087">
        <f t="shared" si="262"/>
        <v>-0.38404285033685776</v>
      </c>
    </row>
    <row r="1088" spans="1:18" x14ac:dyDescent="0.25">
      <c r="A1088">
        <v>711</v>
      </c>
      <c r="B1088">
        <v>41</v>
      </c>
      <c r="C1088">
        <v>96</v>
      </c>
      <c r="D1088">
        <v>517</v>
      </c>
      <c r="E1088">
        <v>501</v>
      </c>
      <c r="F1088">
        <v>912</v>
      </c>
      <c r="G1088" t="s">
        <v>5</v>
      </c>
      <c r="H1088" s="1">
        <f t="shared" si="274"/>
        <v>36851.312500000866</v>
      </c>
      <c r="I1088">
        <f t="shared" si="280"/>
        <v>3.4586000000000001</v>
      </c>
      <c r="J1088">
        <f t="shared" si="281"/>
        <v>7.5616000000000003</v>
      </c>
      <c r="K1088">
        <f t="shared" si="282"/>
        <v>50.691400000000002</v>
      </c>
      <c r="L1088">
        <f t="shared" si="283"/>
        <v>-0.99446998000000253</v>
      </c>
      <c r="M1088">
        <f t="shared" si="284"/>
        <v>319.78799999999995</v>
      </c>
      <c r="O1088">
        <v>326</v>
      </c>
      <c r="P1088">
        <v>730</v>
      </c>
      <c r="Q1088">
        <v>0.38700000000000001</v>
      </c>
      <c r="R1088">
        <f t="shared" si="262"/>
        <v>-0.38629487311783922</v>
      </c>
    </row>
    <row r="1089" spans="1:18" x14ac:dyDescent="0.25">
      <c r="A1089">
        <v>711</v>
      </c>
      <c r="B1089">
        <v>47</v>
      </c>
      <c r="C1089">
        <v>116</v>
      </c>
      <c r="D1089">
        <v>104</v>
      </c>
      <c r="E1089">
        <v>499</v>
      </c>
      <c r="F1089">
        <v>916</v>
      </c>
      <c r="G1089" t="s">
        <v>5</v>
      </c>
      <c r="H1089" s="1">
        <f t="shared" si="274"/>
        <v>36851.333333334202</v>
      </c>
      <c r="I1089">
        <f t="shared" si="280"/>
        <v>3.9061999999999997</v>
      </c>
      <c r="J1089">
        <f t="shared" si="281"/>
        <v>9.0536000000000012</v>
      </c>
      <c r="K1089">
        <f t="shared" si="282"/>
        <v>8.482800000000001</v>
      </c>
      <c r="L1089">
        <f t="shared" si="283"/>
        <v>-1.1755099800000037</v>
      </c>
      <c r="M1089">
        <f t="shared" si="284"/>
        <v>321.18399999999997</v>
      </c>
      <c r="O1089">
        <v>326</v>
      </c>
      <c r="P1089">
        <v>800</v>
      </c>
      <c r="Q1089">
        <v>0.38700000000000001</v>
      </c>
      <c r="R1089">
        <f t="shared" si="262"/>
        <v>-0.38616636854915976</v>
      </c>
    </row>
    <row r="1090" spans="1:18" x14ac:dyDescent="0.25">
      <c r="A1090">
        <v>711</v>
      </c>
      <c r="B1090">
        <v>37</v>
      </c>
      <c r="C1090">
        <v>84</v>
      </c>
      <c r="D1090">
        <v>539</v>
      </c>
      <c r="E1090">
        <v>502</v>
      </c>
      <c r="F1090">
        <v>920</v>
      </c>
      <c r="G1090" t="s">
        <v>5</v>
      </c>
      <c r="H1090" s="1">
        <f t="shared" si="274"/>
        <v>36851.354166667537</v>
      </c>
      <c r="I1090">
        <f t="shared" si="280"/>
        <v>3.1602000000000001</v>
      </c>
      <c r="J1090">
        <f t="shared" si="281"/>
        <v>6.6664000000000003</v>
      </c>
      <c r="K1090">
        <f t="shared" si="282"/>
        <v>52.939799999999998</v>
      </c>
      <c r="L1090">
        <f t="shared" si="283"/>
        <v>-0.9039199200000021</v>
      </c>
      <c r="M1090">
        <f t="shared" si="284"/>
        <v>322.58</v>
      </c>
      <c r="O1090">
        <v>326</v>
      </c>
      <c r="P1090">
        <v>830</v>
      </c>
      <c r="Q1090">
        <v>0.38700000000000001</v>
      </c>
      <c r="R1090">
        <f t="shared" si="262"/>
        <v>-0.38635913070414246</v>
      </c>
    </row>
    <row r="1091" spans="1:18" x14ac:dyDescent="0.25">
      <c r="A1091">
        <v>711</v>
      </c>
      <c r="B1091">
        <v>54</v>
      </c>
      <c r="C1091">
        <v>104</v>
      </c>
      <c r="D1091">
        <v>121</v>
      </c>
      <c r="E1091">
        <v>505</v>
      </c>
      <c r="F1091">
        <v>909</v>
      </c>
      <c r="G1091" t="s">
        <v>5</v>
      </c>
      <c r="H1091" s="1">
        <f t="shared" si="274"/>
        <v>36851.375000000873</v>
      </c>
      <c r="I1091">
        <f t="shared" si="280"/>
        <v>4.4283999999999999</v>
      </c>
      <c r="J1091">
        <f t="shared" si="281"/>
        <v>8.1584000000000003</v>
      </c>
      <c r="K1091">
        <f t="shared" si="282"/>
        <v>10.220199999999998</v>
      </c>
      <c r="L1091">
        <f t="shared" si="283"/>
        <v>-0.6321494999999997</v>
      </c>
      <c r="M1091">
        <f t="shared" si="284"/>
        <v>318.74099999999999</v>
      </c>
      <c r="O1091">
        <v>326</v>
      </c>
      <c r="P1091">
        <v>900</v>
      </c>
      <c r="Q1091">
        <v>0.39</v>
      </c>
      <c r="R1091">
        <f t="shared" si="262"/>
        <v>-0.38954845119742548</v>
      </c>
    </row>
    <row r="1092" spans="1:18" x14ac:dyDescent="0.25">
      <c r="A1092">
        <v>711</v>
      </c>
      <c r="B1092">
        <v>31</v>
      </c>
      <c r="C1092">
        <v>68</v>
      </c>
      <c r="D1092">
        <v>1015</v>
      </c>
      <c r="E1092">
        <v>501</v>
      </c>
      <c r="F1092">
        <v>921</v>
      </c>
      <c r="G1092" t="s">
        <v>5</v>
      </c>
      <c r="H1092" s="1">
        <f t="shared" si="274"/>
        <v>36851.395833334209</v>
      </c>
      <c r="I1092">
        <f t="shared" si="280"/>
        <v>2.7125999999999997</v>
      </c>
      <c r="J1092">
        <f t="shared" si="281"/>
        <v>5.4728000000000003</v>
      </c>
      <c r="K1092">
        <f t="shared" si="282"/>
        <v>101.587</v>
      </c>
      <c r="L1092">
        <f t="shared" si="283"/>
        <v>-0.99446998000000253</v>
      </c>
      <c r="M1092">
        <f t="shared" si="284"/>
        <v>322.92899999999997</v>
      </c>
      <c r="O1092">
        <v>326</v>
      </c>
      <c r="P1092">
        <v>930</v>
      </c>
      <c r="Q1092">
        <v>0.39</v>
      </c>
      <c r="R1092">
        <f t="shared" si="262"/>
        <v>-0.38928940701797754</v>
      </c>
    </row>
    <row r="1093" spans="1:18" x14ac:dyDescent="0.25">
      <c r="A1093">
        <v>711</v>
      </c>
      <c r="B1093">
        <v>38</v>
      </c>
      <c r="C1093">
        <v>68</v>
      </c>
      <c r="D1093">
        <v>510</v>
      </c>
      <c r="E1093">
        <v>501</v>
      </c>
      <c r="F1093">
        <v>919</v>
      </c>
      <c r="G1093" t="s">
        <v>5</v>
      </c>
      <c r="H1093" s="1">
        <f t="shared" si="274"/>
        <v>36851.416666667545</v>
      </c>
      <c r="I1093">
        <f t="shared" si="280"/>
        <v>3.2347999999999999</v>
      </c>
      <c r="J1093">
        <f t="shared" si="281"/>
        <v>5.4728000000000003</v>
      </c>
      <c r="K1093">
        <f t="shared" si="282"/>
        <v>49.975999999999999</v>
      </c>
      <c r="L1093">
        <f t="shared" si="283"/>
        <v>-0.99446998000000253</v>
      </c>
      <c r="M1093">
        <f t="shared" si="284"/>
        <v>322.23099999999999</v>
      </c>
      <c r="O1093">
        <v>326</v>
      </c>
      <c r="P1093">
        <v>1000</v>
      </c>
      <c r="Q1093">
        <v>0.39</v>
      </c>
      <c r="R1093">
        <f t="shared" si="262"/>
        <v>-0.38928940701797754</v>
      </c>
    </row>
    <row r="1094" spans="1:18" x14ac:dyDescent="0.25">
      <c r="A1094">
        <v>711</v>
      </c>
      <c r="B1094">
        <v>37</v>
      </c>
      <c r="C1094">
        <v>92</v>
      </c>
      <c r="D1094">
        <v>751</v>
      </c>
      <c r="E1094">
        <v>505</v>
      </c>
      <c r="F1094">
        <v>905</v>
      </c>
      <c r="G1094" t="s">
        <v>5</v>
      </c>
      <c r="H1094" s="1">
        <f t="shared" si="274"/>
        <v>36851.43750000088</v>
      </c>
      <c r="I1094">
        <f t="shared" si="280"/>
        <v>3.1602000000000001</v>
      </c>
      <c r="J1094">
        <f t="shared" si="281"/>
        <v>7.2632000000000003</v>
      </c>
      <c r="K1094">
        <f t="shared" si="282"/>
        <v>74.606200000000001</v>
      </c>
      <c r="L1094">
        <f t="shared" si="283"/>
        <v>-0.6321494999999997</v>
      </c>
      <c r="M1094">
        <f t="shared" si="284"/>
        <v>317.34499999999997</v>
      </c>
      <c r="O1094">
        <v>326</v>
      </c>
      <c r="P1094">
        <v>1030</v>
      </c>
      <c r="Q1094">
        <v>0.39200000000000002</v>
      </c>
      <c r="R1094">
        <f t="shared" si="262"/>
        <v>-0.39154613556254048</v>
      </c>
    </row>
    <row r="1095" spans="1:18" x14ac:dyDescent="0.25">
      <c r="A1095">
        <v>711</v>
      </c>
      <c r="B1095">
        <v>31</v>
      </c>
      <c r="C1095">
        <v>64</v>
      </c>
      <c r="D1095">
        <v>103</v>
      </c>
      <c r="E1095">
        <v>506</v>
      </c>
      <c r="F1095">
        <v>909</v>
      </c>
      <c r="G1095" t="s">
        <v>5</v>
      </c>
      <c r="H1095" s="1">
        <f t="shared" si="274"/>
        <v>36851.458333334216</v>
      </c>
      <c r="I1095">
        <f t="shared" si="280"/>
        <v>2.7125999999999997</v>
      </c>
      <c r="J1095">
        <f t="shared" si="281"/>
        <v>5.1744000000000003</v>
      </c>
      <c r="K1095">
        <f t="shared" si="282"/>
        <v>8.3806000000000012</v>
      </c>
      <c r="L1095">
        <f t="shared" si="283"/>
        <v>-0.54151927999999927</v>
      </c>
      <c r="M1095">
        <f t="shared" si="284"/>
        <v>318.74099999999999</v>
      </c>
      <c r="O1095">
        <v>326</v>
      </c>
      <c r="P1095">
        <v>1100</v>
      </c>
      <c r="Q1095">
        <v>0.39200000000000002</v>
      </c>
      <c r="R1095">
        <f t="shared" ref="R1095:R1158" si="285">-SQRT((L1095+273.15)/273.15)*Q1095</f>
        <v>-0.39161123765122574</v>
      </c>
    </row>
    <row r="1096" spans="1:18" x14ac:dyDescent="0.25">
      <c r="A1096">
        <v>711</v>
      </c>
      <c r="B1096">
        <v>17</v>
      </c>
      <c r="C1096">
        <v>36</v>
      </c>
      <c r="D1096">
        <v>586</v>
      </c>
      <c r="E1096">
        <v>526</v>
      </c>
      <c r="F1096">
        <v>817</v>
      </c>
      <c r="G1096" t="s">
        <v>5</v>
      </c>
      <c r="H1096" s="1">
        <f t="shared" si="274"/>
        <v>36851.479166667552</v>
      </c>
      <c r="I1096">
        <f t="shared" si="280"/>
        <v>1.6682000000000001</v>
      </c>
      <c r="J1096">
        <f t="shared" si="281"/>
        <v>3.0855999999999999</v>
      </c>
      <c r="K1096">
        <f t="shared" si="282"/>
        <v>57.743200000000002</v>
      </c>
      <c r="L1096">
        <f t="shared" si="283"/>
        <v>1.2752935200000004</v>
      </c>
      <c r="M1096">
        <f t="shared" si="284"/>
        <v>286.63299999999998</v>
      </c>
      <c r="O1096">
        <v>326</v>
      </c>
      <c r="P1096">
        <v>1130</v>
      </c>
      <c r="Q1096">
        <v>0.39200000000000002</v>
      </c>
      <c r="R1096">
        <f t="shared" si="285"/>
        <v>-0.39291402693067229</v>
      </c>
    </row>
    <row r="1097" spans="1:18" x14ac:dyDescent="0.25">
      <c r="A1097">
        <v>711</v>
      </c>
      <c r="B1097">
        <v>14</v>
      </c>
      <c r="C1097">
        <v>36</v>
      </c>
      <c r="D1097">
        <v>737</v>
      </c>
      <c r="E1097">
        <v>520</v>
      </c>
      <c r="F1097">
        <v>785</v>
      </c>
      <c r="G1097" t="s">
        <v>5</v>
      </c>
      <c r="H1097" s="1">
        <f t="shared" si="274"/>
        <v>36851.500000000888</v>
      </c>
      <c r="I1097">
        <f t="shared" si="280"/>
        <v>1.4443999999999999</v>
      </c>
      <c r="J1097">
        <f t="shared" si="281"/>
        <v>3.0855999999999999</v>
      </c>
      <c r="K1097">
        <f t="shared" si="282"/>
        <v>73.175399999999996</v>
      </c>
      <c r="L1097">
        <f t="shared" si="283"/>
        <v>0.72940799999999628</v>
      </c>
      <c r="M1097">
        <f t="shared" si="284"/>
        <v>275.46499999999997</v>
      </c>
      <c r="O1097">
        <v>326</v>
      </c>
      <c r="P1097">
        <v>1200</v>
      </c>
      <c r="Q1097">
        <v>0.39200000000000002</v>
      </c>
      <c r="R1097">
        <f t="shared" si="285"/>
        <v>-0.3925230410178015</v>
      </c>
    </row>
    <row r="1098" spans="1:18" x14ac:dyDescent="0.25">
      <c r="A1098">
        <v>711</v>
      </c>
      <c r="B1098">
        <v>61</v>
      </c>
      <c r="C1098">
        <v>228</v>
      </c>
      <c r="D1098">
        <v>541</v>
      </c>
      <c r="E1098">
        <v>501</v>
      </c>
      <c r="F1098">
        <v>869</v>
      </c>
      <c r="G1098" t="s">
        <v>5</v>
      </c>
      <c r="H1098" s="1">
        <f t="shared" si="274"/>
        <v>36851.520833334223</v>
      </c>
      <c r="I1098">
        <f t="shared" si="280"/>
        <v>4.9506000000000006</v>
      </c>
      <c r="J1098">
        <f t="shared" si="281"/>
        <v>17.408799999999999</v>
      </c>
      <c r="K1098">
        <f t="shared" si="282"/>
        <v>53.144199999999998</v>
      </c>
      <c r="L1098">
        <f t="shared" si="283"/>
        <v>-0.99446998000000253</v>
      </c>
      <c r="M1098">
        <f t="shared" si="284"/>
        <v>304.78100000000001</v>
      </c>
      <c r="O1098">
        <v>326</v>
      </c>
      <c r="P1098">
        <v>1230</v>
      </c>
      <c r="Q1098">
        <v>0.39</v>
      </c>
      <c r="R1098">
        <f t="shared" si="285"/>
        <v>-0.38928940701797754</v>
      </c>
    </row>
    <row r="1099" spans="1:18" x14ac:dyDescent="0.25">
      <c r="A1099">
        <v>711</v>
      </c>
      <c r="B1099">
        <v>161</v>
      </c>
      <c r="C1099">
        <v>232</v>
      </c>
      <c r="D1099">
        <v>556</v>
      </c>
      <c r="E1099">
        <v>495</v>
      </c>
      <c r="F1099">
        <v>896</v>
      </c>
      <c r="G1099" t="s">
        <v>5</v>
      </c>
      <c r="H1099" s="1">
        <f t="shared" si="274"/>
        <v>36851.541666667559</v>
      </c>
      <c r="I1099">
        <f t="shared" si="280"/>
        <v>12.410600000000001</v>
      </c>
      <c r="J1099">
        <f t="shared" si="281"/>
        <v>17.7072</v>
      </c>
      <c r="K1099">
        <f t="shared" si="282"/>
        <v>54.677199999999999</v>
      </c>
      <c r="L1099">
        <f t="shared" si="283"/>
        <v>-1.5373494999999995</v>
      </c>
      <c r="M1099">
        <f t="shared" si="284"/>
        <v>314.20399999999995</v>
      </c>
      <c r="O1099">
        <v>326</v>
      </c>
      <c r="P1099">
        <v>1300</v>
      </c>
      <c r="Q1099">
        <v>0.39500000000000002</v>
      </c>
      <c r="R1099">
        <f t="shared" si="285"/>
        <v>-0.39388685721289818</v>
      </c>
    </row>
    <row r="1100" spans="1:18" x14ac:dyDescent="0.25">
      <c r="A1100">
        <v>711</v>
      </c>
      <c r="B1100">
        <v>163</v>
      </c>
      <c r="C1100">
        <v>224</v>
      </c>
      <c r="D1100">
        <v>562</v>
      </c>
      <c r="E1100">
        <v>490</v>
      </c>
      <c r="F1100">
        <v>893</v>
      </c>
      <c r="G1100" t="s">
        <v>5</v>
      </c>
      <c r="H1100" s="1">
        <f t="shared" si="274"/>
        <v>36851.562500000895</v>
      </c>
      <c r="I1100">
        <f t="shared" si="280"/>
        <v>12.559800000000001</v>
      </c>
      <c r="J1100">
        <f t="shared" si="281"/>
        <v>17.110399999999998</v>
      </c>
      <c r="K1100">
        <f t="shared" si="282"/>
        <v>55.290399999999998</v>
      </c>
      <c r="L1100">
        <f t="shared" si="283"/>
        <v>-1.9891980000000031</v>
      </c>
      <c r="M1100">
        <f t="shared" si="284"/>
        <v>313.15699999999998</v>
      </c>
      <c r="O1100">
        <v>326</v>
      </c>
      <c r="P1100">
        <v>1330</v>
      </c>
      <c r="Q1100">
        <v>0.39200000000000002</v>
      </c>
      <c r="R1100">
        <f t="shared" si="285"/>
        <v>-0.39057003394173173</v>
      </c>
    </row>
    <row r="1101" spans="1:18" x14ac:dyDescent="0.25">
      <c r="A1101">
        <v>711</v>
      </c>
      <c r="B1101">
        <v>181</v>
      </c>
      <c r="C1101">
        <v>260</v>
      </c>
      <c r="D1101">
        <v>566</v>
      </c>
      <c r="E1101">
        <v>478</v>
      </c>
      <c r="F1101">
        <v>905</v>
      </c>
      <c r="G1101" t="s">
        <v>5</v>
      </c>
      <c r="H1101" s="1">
        <f t="shared" si="274"/>
        <v>36851.583333334231</v>
      </c>
      <c r="I1101">
        <f t="shared" si="280"/>
        <v>13.9026</v>
      </c>
      <c r="J1101">
        <f t="shared" si="281"/>
        <v>19.795999999999999</v>
      </c>
      <c r="K1101">
        <f t="shared" si="282"/>
        <v>55.699199999999998</v>
      </c>
      <c r="L1101">
        <f t="shared" si="283"/>
        <v>-3.0715903200000039</v>
      </c>
      <c r="M1101">
        <f t="shared" si="284"/>
        <v>317.34499999999997</v>
      </c>
      <c r="O1101">
        <v>326</v>
      </c>
      <c r="P1101">
        <v>1400</v>
      </c>
      <c r="Q1101">
        <v>0.39200000000000002</v>
      </c>
      <c r="R1101">
        <f t="shared" si="285"/>
        <v>-0.38978973546414836</v>
      </c>
    </row>
    <row r="1102" spans="1:18" x14ac:dyDescent="0.25">
      <c r="A1102">
        <v>711</v>
      </c>
      <c r="B1102">
        <v>170</v>
      </c>
      <c r="C1102">
        <v>260</v>
      </c>
      <c r="D1102">
        <v>533</v>
      </c>
      <c r="E1102">
        <v>475</v>
      </c>
      <c r="F1102">
        <v>905</v>
      </c>
      <c r="G1102" t="s">
        <v>5</v>
      </c>
      <c r="H1102" s="1">
        <f t="shared" si="274"/>
        <v>36851.604166667566</v>
      </c>
      <c r="I1102">
        <f t="shared" si="280"/>
        <v>13.082000000000001</v>
      </c>
      <c r="J1102">
        <f t="shared" si="281"/>
        <v>19.795999999999999</v>
      </c>
      <c r="K1102">
        <f t="shared" si="282"/>
        <v>52.326599999999999</v>
      </c>
      <c r="L1102">
        <f t="shared" si="283"/>
        <v>-3.3417374999999989</v>
      </c>
      <c r="M1102">
        <f t="shared" si="284"/>
        <v>317.34499999999997</v>
      </c>
      <c r="O1102">
        <v>326</v>
      </c>
      <c r="P1102">
        <v>1430</v>
      </c>
      <c r="Q1102">
        <v>0.39</v>
      </c>
      <c r="R1102">
        <f t="shared" si="285"/>
        <v>-0.38760701392070707</v>
      </c>
    </row>
    <row r="1103" spans="1:18" x14ac:dyDescent="0.25">
      <c r="A1103">
        <v>711</v>
      </c>
      <c r="B1103">
        <v>178</v>
      </c>
      <c r="C1103">
        <v>252</v>
      </c>
      <c r="D1103">
        <v>579</v>
      </c>
      <c r="E1103">
        <v>476</v>
      </c>
      <c r="F1103">
        <v>901</v>
      </c>
      <c r="G1103" t="s">
        <v>5</v>
      </c>
      <c r="H1103" s="1">
        <f t="shared" si="274"/>
        <v>36851.625000000902</v>
      </c>
      <c r="I1103">
        <f t="shared" si="280"/>
        <v>13.678800000000001</v>
      </c>
      <c r="J1103">
        <f t="shared" si="281"/>
        <v>19.199199999999998</v>
      </c>
      <c r="K1103">
        <f t="shared" si="282"/>
        <v>57.027799999999999</v>
      </c>
      <c r="L1103">
        <f t="shared" si="283"/>
        <v>-3.2517084800000053</v>
      </c>
      <c r="M1103">
        <f t="shared" si="284"/>
        <v>315.94899999999996</v>
      </c>
      <c r="O1103">
        <v>326</v>
      </c>
      <c r="P1103">
        <v>1500</v>
      </c>
      <c r="Q1103">
        <v>0.39</v>
      </c>
      <c r="R1103">
        <f t="shared" si="285"/>
        <v>-0.38767167644952627</v>
      </c>
    </row>
    <row r="1104" spans="1:18" x14ac:dyDescent="0.25">
      <c r="A1104">
        <v>711</v>
      </c>
      <c r="B1104">
        <v>171</v>
      </c>
      <c r="C1104">
        <v>280</v>
      </c>
      <c r="D1104">
        <v>590</v>
      </c>
      <c r="E1104">
        <v>477</v>
      </c>
      <c r="F1104">
        <v>900</v>
      </c>
      <c r="G1104" t="s">
        <v>5</v>
      </c>
      <c r="H1104" s="1">
        <f t="shared" si="274"/>
        <v>36851.645833334238</v>
      </c>
      <c r="I1104">
        <f t="shared" si="280"/>
        <v>13.156600000000001</v>
      </c>
      <c r="J1104">
        <f t="shared" si="281"/>
        <v>21.287999999999997</v>
      </c>
      <c r="K1104">
        <f t="shared" si="282"/>
        <v>58.152000000000001</v>
      </c>
      <c r="L1104">
        <f t="shared" si="283"/>
        <v>-3.1616594200000048</v>
      </c>
      <c r="M1104">
        <f t="shared" si="284"/>
        <v>315.59999999999997</v>
      </c>
      <c r="O1104">
        <v>326</v>
      </c>
      <c r="P1104">
        <v>1530</v>
      </c>
      <c r="Q1104">
        <v>0.39</v>
      </c>
      <c r="R1104">
        <f t="shared" si="285"/>
        <v>-0.38773634258456696</v>
      </c>
    </row>
    <row r="1105" spans="1:18" x14ac:dyDescent="0.25">
      <c r="A1105">
        <v>711</v>
      </c>
      <c r="B1105">
        <v>139</v>
      </c>
      <c r="C1105">
        <v>252</v>
      </c>
      <c r="D1105">
        <v>616</v>
      </c>
      <c r="E1105">
        <v>487</v>
      </c>
      <c r="F1105">
        <v>852</v>
      </c>
      <c r="G1105" t="s">
        <v>5</v>
      </c>
      <c r="H1105" s="1">
        <f t="shared" si="274"/>
        <v>36851.666666667574</v>
      </c>
      <c r="I1105">
        <f t="shared" si="280"/>
        <v>10.769400000000001</v>
      </c>
      <c r="J1105">
        <f t="shared" si="281"/>
        <v>19.199199999999998</v>
      </c>
      <c r="K1105">
        <f t="shared" si="282"/>
        <v>60.809199999999997</v>
      </c>
      <c r="L1105">
        <f t="shared" si="283"/>
        <v>-2.2600666200000052</v>
      </c>
      <c r="M1105">
        <f t="shared" si="284"/>
        <v>298.84799999999996</v>
      </c>
      <c r="O1105">
        <v>326</v>
      </c>
      <c r="P1105">
        <v>1600</v>
      </c>
      <c r="Q1105">
        <v>0.39</v>
      </c>
      <c r="R1105">
        <f t="shared" si="285"/>
        <v>-0.38838320188081776</v>
      </c>
    </row>
    <row r="1106" spans="1:18" x14ac:dyDescent="0.25">
      <c r="A1106">
        <v>711</v>
      </c>
      <c r="B1106">
        <v>112</v>
      </c>
      <c r="C1106">
        <v>248</v>
      </c>
      <c r="D1106">
        <v>561</v>
      </c>
      <c r="E1106">
        <v>496</v>
      </c>
      <c r="F1106">
        <v>757</v>
      </c>
      <c r="G1106" t="s">
        <v>5</v>
      </c>
      <c r="H1106" s="1">
        <f t="shared" si="274"/>
        <v>36851.687500000909</v>
      </c>
      <c r="I1106">
        <f t="shared" si="280"/>
        <v>8.7552000000000003</v>
      </c>
      <c r="J1106">
        <f t="shared" si="281"/>
        <v>18.900799999999997</v>
      </c>
      <c r="K1106">
        <f t="shared" si="282"/>
        <v>55.188200000000002</v>
      </c>
      <c r="L1106">
        <f t="shared" si="283"/>
        <v>-1.4469196799999988</v>
      </c>
      <c r="M1106">
        <f t="shared" si="284"/>
        <v>265.69299999999998</v>
      </c>
      <c r="O1106">
        <v>326</v>
      </c>
      <c r="P1106">
        <v>1630</v>
      </c>
      <c r="Q1106">
        <v>0.39</v>
      </c>
      <c r="R1106">
        <f t="shared" si="285"/>
        <v>-0.38896568193966352</v>
      </c>
    </row>
    <row r="1107" spans="1:18" x14ac:dyDescent="0.25">
      <c r="A1107">
        <v>711</v>
      </c>
      <c r="B1107">
        <v>60</v>
      </c>
      <c r="C1107">
        <v>160</v>
      </c>
      <c r="D1107">
        <v>870</v>
      </c>
      <c r="E1107">
        <v>496</v>
      </c>
      <c r="F1107">
        <v>808</v>
      </c>
      <c r="G1107" t="s">
        <v>5</v>
      </c>
      <c r="H1107" s="1">
        <f t="shared" si="274"/>
        <v>36851.708333334245</v>
      </c>
      <c r="I1107">
        <f t="shared" si="280"/>
        <v>4.8760000000000003</v>
      </c>
      <c r="J1107">
        <f t="shared" si="281"/>
        <v>12.336</v>
      </c>
      <c r="K1107">
        <f t="shared" si="282"/>
        <v>86.768000000000001</v>
      </c>
      <c r="L1107">
        <f t="shared" si="283"/>
        <v>-1.4469196799999988</v>
      </c>
      <c r="M1107">
        <f t="shared" si="284"/>
        <v>283.49199999999996</v>
      </c>
      <c r="O1107">
        <v>326</v>
      </c>
      <c r="P1107">
        <v>1700</v>
      </c>
      <c r="Q1107">
        <v>0.39</v>
      </c>
      <c r="R1107">
        <f t="shared" si="285"/>
        <v>-0.38896568193966352</v>
      </c>
    </row>
    <row r="1108" spans="1:18" x14ac:dyDescent="0.25">
      <c r="A1108">
        <v>711</v>
      </c>
      <c r="B1108">
        <v>70</v>
      </c>
      <c r="C1108">
        <v>256</v>
      </c>
      <c r="D1108">
        <v>473</v>
      </c>
      <c r="E1108">
        <v>506</v>
      </c>
      <c r="F1108">
        <v>725</v>
      </c>
      <c r="G1108" t="s">
        <v>5</v>
      </c>
      <c r="H1108" s="1">
        <f t="shared" si="274"/>
        <v>36851.729166667581</v>
      </c>
      <c r="I1108">
        <f t="shared" si="280"/>
        <v>5.6219999999999999</v>
      </c>
      <c r="J1108">
        <f t="shared" si="281"/>
        <v>19.497599999999998</v>
      </c>
      <c r="K1108">
        <f t="shared" si="282"/>
        <v>46.194600000000001</v>
      </c>
      <c r="L1108">
        <f t="shared" si="283"/>
        <v>-0.54151927999999927</v>
      </c>
      <c r="M1108">
        <f t="shared" si="284"/>
        <v>254.52499999999998</v>
      </c>
      <c r="O1108">
        <v>326</v>
      </c>
      <c r="P1108">
        <v>1730</v>
      </c>
      <c r="Q1108">
        <v>0.39200000000000002</v>
      </c>
      <c r="R1108">
        <f t="shared" si="285"/>
        <v>-0.39161123765122574</v>
      </c>
    </row>
    <row r="1109" spans="1:18" x14ac:dyDescent="0.25">
      <c r="A1109">
        <v>711</v>
      </c>
      <c r="B1109">
        <v>42</v>
      </c>
      <c r="C1109">
        <v>112</v>
      </c>
      <c r="D1109">
        <v>925</v>
      </c>
      <c r="E1109">
        <v>489</v>
      </c>
      <c r="F1109">
        <v>788</v>
      </c>
      <c r="G1109" t="s">
        <v>5</v>
      </c>
      <c r="H1109" s="1">
        <f t="shared" si="274"/>
        <v>36851.750000000917</v>
      </c>
      <c r="I1109">
        <f t="shared" si="280"/>
        <v>3.5331999999999999</v>
      </c>
      <c r="J1109">
        <f t="shared" si="281"/>
        <v>8.7552000000000003</v>
      </c>
      <c r="K1109">
        <f t="shared" si="282"/>
        <v>92.388999999999996</v>
      </c>
      <c r="L1109">
        <f t="shared" si="283"/>
        <v>-2.0795075800000036</v>
      </c>
      <c r="M1109">
        <f t="shared" si="284"/>
        <v>276.512</v>
      </c>
      <c r="O1109">
        <v>326</v>
      </c>
      <c r="P1109">
        <v>1800</v>
      </c>
      <c r="Q1109">
        <v>0.39200000000000002</v>
      </c>
      <c r="R1109">
        <f t="shared" si="285"/>
        <v>-0.39050498922879645</v>
      </c>
    </row>
    <row r="1110" spans="1:18" x14ac:dyDescent="0.25">
      <c r="A1110">
        <v>711</v>
      </c>
      <c r="B1110">
        <v>58</v>
      </c>
      <c r="C1110">
        <v>192</v>
      </c>
      <c r="D1110">
        <v>9</v>
      </c>
      <c r="E1110">
        <v>494</v>
      </c>
      <c r="F1110">
        <v>725</v>
      </c>
      <c r="G1110" t="s">
        <v>5</v>
      </c>
      <c r="H1110" s="1">
        <f t="shared" si="274"/>
        <v>36851.770833334253</v>
      </c>
      <c r="I1110">
        <f t="shared" si="280"/>
        <v>4.7268000000000008</v>
      </c>
      <c r="J1110">
        <f t="shared" si="281"/>
        <v>14.7232</v>
      </c>
      <c r="K1110">
        <f t="shared" si="282"/>
        <v>-1.2262</v>
      </c>
      <c r="L1110">
        <f t="shared" si="283"/>
        <v>-1.6277592800000003</v>
      </c>
      <c r="M1110">
        <f t="shared" si="284"/>
        <v>254.52499999999998</v>
      </c>
      <c r="O1110">
        <v>326</v>
      </c>
      <c r="P1110">
        <v>1830</v>
      </c>
      <c r="Q1110">
        <v>0.39200000000000002</v>
      </c>
      <c r="R1110">
        <f t="shared" si="285"/>
        <v>-0.39083024876979749</v>
      </c>
    </row>
    <row r="1111" spans="1:18" x14ac:dyDescent="0.25">
      <c r="A1111">
        <v>711</v>
      </c>
      <c r="B1111">
        <v>57</v>
      </c>
      <c r="C1111">
        <v>268</v>
      </c>
      <c r="D1111">
        <v>89</v>
      </c>
      <c r="E1111">
        <v>484</v>
      </c>
      <c r="F1111">
        <v>701</v>
      </c>
      <c r="G1111" t="s">
        <v>5</v>
      </c>
      <c r="H1111" s="1">
        <f t="shared" si="274"/>
        <v>36851.791666667588</v>
      </c>
      <c r="I1111">
        <f t="shared" si="280"/>
        <v>4.6522000000000006</v>
      </c>
      <c r="J1111">
        <f t="shared" si="281"/>
        <v>20.392799999999998</v>
      </c>
      <c r="K1111">
        <f t="shared" si="282"/>
        <v>6.9498000000000006</v>
      </c>
      <c r="L1111">
        <f t="shared" si="283"/>
        <v>-2.5307548799999999</v>
      </c>
      <c r="M1111">
        <f t="shared" si="284"/>
        <v>246.14899999999997</v>
      </c>
      <c r="O1111">
        <v>326</v>
      </c>
      <c r="P1111">
        <v>1900</v>
      </c>
      <c r="Q1111">
        <v>0.39200000000000002</v>
      </c>
      <c r="R1111">
        <f t="shared" si="285"/>
        <v>-0.39017981971856636</v>
      </c>
    </row>
    <row r="1112" spans="1:18" x14ac:dyDescent="0.25">
      <c r="A1112">
        <v>711</v>
      </c>
      <c r="B1112">
        <v>45</v>
      </c>
      <c r="C1112">
        <v>180</v>
      </c>
      <c r="D1112">
        <v>88</v>
      </c>
      <c r="E1112">
        <v>479</v>
      </c>
      <c r="F1112">
        <v>757</v>
      </c>
      <c r="G1112" t="s">
        <v>5</v>
      </c>
      <c r="H1112" s="1">
        <f t="shared" si="274"/>
        <v>36851.812500000924</v>
      </c>
      <c r="I1112">
        <f t="shared" si="280"/>
        <v>3.7570000000000001</v>
      </c>
      <c r="J1112">
        <f t="shared" si="281"/>
        <v>13.828000000000001</v>
      </c>
      <c r="K1112">
        <f t="shared" si="282"/>
        <v>6.8476000000000008</v>
      </c>
      <c r="L1112">
        <f t="shared" si="283"/>
        <v>-2.9815011800000035</v>
      </c>
      <c r="M1112">
        <f t="shared" si="284"/>
        <v>265.69299999999998</v>
      </c>
      <c r="O1112">
        <v>326</v>
      </c>
      <c r="P1112">
        <v>1930</v>
      </c>
      <c r="Q1112">
        <v>0.39200000000000002</v>
      </c>
      <c r="R1112">
        <f t="shared" si="285"/>
        <v>-0.38985474046438562</v>
      </c>
    </row>
    <row r="1113" spans="1:18" x14ac:dyDescent="0.25">
      <c r="A1113">
        <v>711</v>
      </c>
      <c r="B1113">
        <v>43</v>
      </c>
      <c r="C1113">
        <v>128</v>
      </c>
      <c r="D1113">
        <v>805</v>
      </c>
      <c r="E1113">
        <v>492</v>
      </c>
      <c r="F1113">
        <v>569</v>
      </c>
      <c r="G1113" t="s">
        <v>5</v>
      </c>
      <c r="H1113" s="1">
        <f t="shared" si="274"/>
        <v>36851.83333333426</v>
      </c>
      <c r="I1113">
        <f t="shared" si="280"/>
        <v>3.6077999999999997</v>
      </c>
      <c r="J1113">
        <f t="shared" si="281"/>
        <v>9.9488000000000003</v>
      </c>
      <c r="K1113">
        <f t="shared" si="282"/>
        <v>80.125</v>
      </c>
      <c r="L1113">
        <f t="shared" si="283"/>
        <v>-1.8085187200000017</v>
      </c>
      <c r="M1113">
        <f t="shared" si="284"/>
        <v>200.08099999999999</v>
      </c>
      <c r="O1113">
        <v>326</v>
      </c>
      <c r="P1113">
        <v>2000</v>
      </c>
      <c r="Q1113">
        <v>0.39500000000000002</v>
      </c>
      <c r="R1113">
        <f t="shared" si="285"/>
        <v>-0.39369018621126795</v>
      </c>
    </row>
    <row r="1114" spans="1:18" x14ac:dyDescent="0.25">
      <c r="A1114">
        <v>711</v>
      </c>
      <c r="B1114">
        <v>45</v>
      </c>
      <c r="C1114">
        <v>172</v>
      </c>
      <c r="D1114">
        <v>1004</v>
      </c>
      <c r="E1114">
        <v>466</v>
      </c>
      <c r="F1114">
        <v>769</v>
      </c>
      <c r="G1114" t="s">
        <v>5</v>
      </c>
      <c r="H1114" s="1">
        <f>H1113+1/48</f>
        <v>36851.854166667596</v>
      </c>
      <c r="I1114">
        <f t="shared" si="280"/>
        <v>3.7570000000000001</v>
      </c>
      <c r="J1114">
        <f t="shared" si="281"/>
        <v>13.231199999999999</v>
      </c>
      <c r="K1114">
        <f t="shared" si="282"/>
        <v>100.4628</v>
      </c>
      <c r="L1114">
        <f t="shared" si="283"/>
        <v>-4.1510968800000052</v>
      </c>
      <c r="M1114">
        <f t="shared" si="284"/>
        <v>269.88099999999997</v>
      </c>
      <c r="O1114">
        <v>326</v>
      </c>
      <c r="P1114">
        <v>2030</v>
      </c>
      <c r="Q1114">
        <v>0.39500000000000002</v>
      </c>
      <c r="R1114">
        <f t="shared" si="285"/>
        <v>-0.39198707545412165</v>
      </c>
    </row>
    <row r="1115" spans="1:18" x14ac:dyDescent="0.25">
      <c r="A1115">
        <v>711</v>
      </c>
      <c r="B1115">
        <v>64</v>
      </c>
      <c r="C1115">
        <v>196</v>
      </c>
      <c r="D1115">
        <v>741</v>
      </c>
      <c r="E1115">
        <v>472</v>
      </c>
      <c r="F1115">
        <v>669</v>
      </c>
      <c r="G1115" t="s">
        <v>5</v>
      </c>
      <c r="H1115" s="1">
        <f t="shared" si="274"/>
        <v>36851.875000000931</v>
      </c>
      <c r="I1115">
        <f t="shared" si="280"/>
        <v>5.1744000000000003</v>
      </c>
      <c r="J1115">
        <f t="shared" si="281"/>
        <v>15.021600000000001</v>
      </c>
      <c r="K1115">
        <f t="shared" si="282"/>
        <v>73.584199999999996</v>
      </c>
      <c r="L1115">
        <f t="shared" si="283"/>
        <v>-3.6117043200000012</v>
      </c>
      <c r="M1115">
        <f t="shared" si="284"/>
        <v>234.98099999999999</v>
      </c>
      <c r="O1115">
        <v>326</v>
      </c>
      <c r="P1115">
        <v>2100</v>
      </c>
      <c r="Q1115">
        <v>0.39700000000000002</v>
      </c>
      <c r="R1115">
        <f t="shared" si="285"/>
        <v>-0.3943666155176544</v>
      </c>
    </row>
    <row r="1116" spans="1:18" x14ac:dyDescent="0.25">
      <c r="A1116">
        <v>711</v>
      </c>
      <c r="B1116">
        <v>25</v>
      </c>
      <c r="C1116">
        <v>96</v>
      </c>
      <c r="D1116">
        <v>827</v>
      </c>
      <c r="E1116">
        <v>461</v>
      </c>
      <c r="F1116">
        <v>759</v>
      </c>
      <c r="G1116" t="s">
        <v>5</v>
      </c>
      <c r="H1116" s="1">
        <f t="shared" si="274"/>
        <v>36851.895833334267</v>
      </c>
      <c r="I1116">
        <f t="shared" si="280"/>
        <v>2.2650000000000001</v>
      </c>
      <c r="J1116">
        <f t="shared" si="281"/>
        <v>7.5616000000000003</v>
      </c>
      <c r="K1116">
        <f t="shared" si="282"/>
        <v>82.373400000000004</v>
      </c>
      <c r="L1116">
        <f t="shared" si="283"/>
        <v>-4.6000395800000016</v>
      </c>
      <c r="M1116">
        <f t="shared" si="284"/>
        <v>266.39099999999996</v>
      </c>
      <c r="O1116">
        <v>326</v>
      </c>
      <c r="P1116">
        <v>2130</v>
      </c>
      <c r="Q1116">
        <v>0.39700000000000002</v>
      </c>
      <c r="R1116">
        <f t="shared" si="285"/>
        <v>-0.39364292543282475</v>
      </c>
    </row>
    <row r="1117" spans="1:18" x14ac:dyDescent="0.25">
      <c r="A1117">
        <v>711</v>
      </c>
      <c r="B1117">
        <v>78</v>
      </c>
      <c r="C1117">
        <v>168</v>
      </c>
      <c r="D1117">
        <v>932</v>
      </c>
      <c r="E1117">
        <v>467</v>
      </c>
      <c r="F1117">
        <v>699</v>
      </c>
      <c r="G1117" t="s">
        <v>5</v>
      </c>
      <c r="H1117" s="1">
        <f t="shared" si="274"/>
        <v>36851.916666667603</v>
      </c>
      <c r="I1117">
        <f t="shared" si="280"/>
        <v>6.2187999999999999</v>
      </c>
      <c r="J1117">
        <f t="shared" si="281"/>
        <v>12.9328</v>
      </c>
      <c r="K1117">
        <f t="shared" si="282"/>
        <v>93.104399999999998</v>
      </c>
      <c r="L1117">
        <f t="shared" si="283"/>
        <v>-4.0612482200000048</v>
      </c>
      <c r="M1117">
        <f t="shared" si="284"/>
        <v>245.45099999999999</v>
      </c>
      <c r="O1117">
        <v>326</v>
      </c>
      <c r="P1117">
        <v>2200</v>
      </c>
      <c r="Q1117">
        <v>0.39700000000000002</v>
      </c>
      <c r="R1117">
        <f t="shared" si="285"/>
        <v>-0.39403761015691546</v>
      </c>
    </row>
    <row r="1118" spans="1:18" x14ac:dyDescent="0.25">
      <c r="A1118">
        <v>711</v>
      </c>
      <c r="B1118">
        <v>34</v>
      </c>
      <c r="C1118">
        <v>172</v>
      </c>
      <c r="D1118">
        <v>813</v>
      </c>
      <c r="E1118">
        <v>459</v>
      </c>
      <c r="F1118">
        <v>731</v>
      </c>
      <c r="G1118" t="s">
        <v>5</v>
      </c>
      <c r="H1118" s="1">
        <f t="shared" si="274"/>
        <v>36851.937500000939</v>
      </c>
      <c r="I1118">
        <f t="shared" si="280"/>
        <v>2.9363999999999999</v>
      </c>
      <c r="J1118">
        <f t="shared" si="281"/>
        <v>13.231199999999999</v>
      </c>
      <c r="K1118">
        <f t="shared" si="282"/>
        <v>80.942599999999999</v>
      </c>
      <c r="L1118">
        <f t="shared" si="283"/>
        <v>-4.7794763800000029</v>
      </c>
      <c r="M1118">
        <f t="shared" si="284"/>
        <v>256.61899999999997</v>
      </c>
      <c r="O1118">
        <v>326</v>
      </c>
      <c r="P1118">
        <v>2230</v>
      </c>
      <c r="Q1118">
        <v>0.39700000000000002</v>
      </c>
      <c r="R1118">
        <f t="shared" si="285"/>
        <v>-0.3935113934274117</v>
      </c>
    </row>
    <row r="1119" spans="1:18" x14ac:dyDescent="0.25">
      <c r="A1119">
        <v>711</v>
      </c>
      <c r="B1119">
        <v>117</v>
      </c>
      <c r="C1119">
        <v>256</v>
      </c>
      <c r="D1119">
        <v>955</v>
      </c>
      <c r="E1119">
        <v>462</v>
      </c>
      <c r="F1119">
        <v>717</v>
      </c>
      <c r="G1119" t="s">
        <v>5</v>
      </c>
      <c r="H1119" s="1">
        <f t="shared" si="274"/>
        <v>36851.958333334274</v>
      </c>
      <c r="I1119">
        <f t="shared" si="280"/>
        <v>9.1281999999999996</v>
      </c>
      <c r="J1119">
        <f t="shared" si="281"/>
        <v>19.497599999999998</v>
      </c>
      <c r="K1119">
        <f t="shared" si="282"/>
        <v>95.454999999999998</v>
      </c>
      <c r="L1119">
        <f t="shared" si="283"/>
        <v>-4.5102911200000007</v>
      </c>
      <c r="M1119">
        <f t="shared" si="284"/>
        <v>251.73299999999998</v>
      </c>
      <c r="O1119">
        <v>326</v>
      </c>
      <c r="P1119">
        <v>2300</v>
      </c>
      <c r="Q1119">
        <v>0.39700000000000002</v>
      </c>
      <c r="R1119">
        <f t="shared" si="285"/>
        <v>-0.39370869698440319</v>
      </c>
    </row>
    <row r="1120" spans="1:18" x14ac:dyDescent="0.25">
      <c r="A1120">
        <v>711</v>
      </c>
      <c r="B1120">
        <v>35</v>
      </c>
      <c r="C1120">
        <v>168</v>
      </c>
      <c r="D1120">
        <v>771</v>
      </c>
      <c r="E1120">
        <v>463</v>
      </c>
      <c r="F1120">
        <v>697</v>
      </c>
      <c r="G1120" t="s">
        <v>5</v>
      </c>
      <c r="H1120" s="1">
        <f t="shared" si="274"/>
        <v>36851.97916666761</v>
      </c>
      <c r="I1120">
        <f t="shared" si="280"/>
        <v>3.0109999999999997</v>
      </c>
      <c r="J1120">
        <f t="shared" si="281"/>
        <v>12.9328</v>
      </c>
      <c r="K1120">
        <f t="shared" si="282"/>
        <v>76.650199999999998</v>
      </c>
      <c r="L1120">
        <f t="shared" si="283"/>
        <v>-4.4205226199999998</v>
      </c>
      <c r="M1120">
        <f t="shared" si="284"/>
        <v>244.75299999999999</v>
      </c>
      <c r="O1120">
        <v>326</v>
      </c>
      <c r="P1120">
        <v>2330</v>
      </c>
      <c r="Q1120">
        <v>0.4</v>
      </c>
      <c r="R1120">
        <f t="shared" si="285"/>
        <v>-0.39675009796751448</v>
      </c>
    </row>
    <row r="1121" spans="1:18" x14ac:dyDescent="0.25">
      <c r="A1121">
        <v>711</v>
      </c>
      <c r="B1121">
        <v>111</v>
      </c>
      <c r="C1121">
        <v>208</v>
      </c>
      <c r="D1121">
        <v>775</v>
      </c>
      <c r="E1121">
        <v>464</v>
      </c>
      <c r="F1121">
        <v>709</v>
      </c>
      <c r="G1121" t="s">
        <v>5</v>
      </c>
      <c r="H1121" s="1">
        <f t="shared" si="274"/>
        <v>36852.000000000946</v>
      </c>
      <c r="I1121">
        <f t="shared" si="280"/>
        <v>8.6806000000000001</v>
      </c>
      <c r="J1121">
        <f t="shared" si="281"/>
        <v>15.9168</v>
      </c>
      <c r="K1121">
        <f t="shared" si="282"/>
        <v>77.058999999999997</v>
      </c>
      <c r="L1121">
        <f t="shared" si="283"/>
        <v>-4.3307340799999992</v>
      </c>
      <c r="M1121">
        <f t="shared" si="284"/>
        <v>248.94099999999997</v>
      </c>
      <c r="O1121">
        <v>326</v>
      </c>
      <c r="P1121">
        <v>2400</v>
      </c>
      <c r="Q1121">
        <v>0.39700000000000002</v>
      </c>
      <c r="R1121">
        <f t="shared" si="285"/>
        <v>-0.39384025117603727</v>
      </c>
    </row>
    <row r="1122" spans="1:18" x14ac:dyDescent="0.25">
      <c r="A1122">
        <v>711</v>
      </c>
      <c r="B1122">
        <v>101</v>
      </c>
      <c r="C1122">
        <v>272</v>
      </c>
      <c r="D1122">
        <v>786</v>
      </c>
      <c r="E1122">
        <v>470</v>
      </c>
      <c r="F1122">
        <v>665</v>
      </c>
      <c r="G1122" t="s">
        <v>5</v>
      </c>
      <c r="H1122" s="1">
        <f t="shared" si="274"/>
        <v>36852.020833334282</v>
      </c>
      <c r="I1122">
        <f t="shared" si="280"/>
        <v>7.9346000000000005</v>
      </c>
      <c r="J1122">
        <f t="shared" si="281"/>
        <v>20.691199999999998</v>
      </c>
      <c r="K1122">
        <f t="shared" si="282"/>
        <v>78.183199999999999</v>
      </c>
      <c r="L1122">
        <f t="shared" si="283"/>
        <v>-3.7915820000000022</v>
      </c>
      <c r="M1122">
        <f t="shared" si="284"/>
        <v>233.58499999999998</v>
      </c>
      <c r="O1122">
        <v>327</v>
      </c>
      <c r="P1122">
        <v>30</v>
      </c>
      <c r="Q1122">
        <v>0.4</v>
      </c>
      <c r="R1122">
        <f t="shared" si="285"/>
        <v>-0.39721410813656588</v>
      </c>
    </row>
    <row r="1123" spans="1:18" x14ac:dyDescent="0.25">
      <c r="A1123">
        <v>711</v>
      </c>
      <c r="B1123">
        <v>100</v>
      </c>
      <c r="C1123">
        <v>184</v>
      </c>
      <c r="D1123">
        <v>932</v>
      </c>
      <c r="E1123">
        <v>467</v>
      </c>
      <c r="F1123">
        <v>701</v>
      </c>
      <c r="G1123" t="s">
        <v>5</v>
      </c>
      <c r="H1123" s="1">
        <f t="shared" si="274"/>
        <v>36852.041666667617</v>
      </c>
      <c r="I1123">
        <f t="shared" si="280"/>
        <v>7.86</v>
      </c>
      <c r="J1123">
        <f t="shared" si="281"/>
        <v>14.1264</v>
      </c>
      <c r="K1123">
        <f t="shared" si="282"/>
        <v>93.104399999999998</v>
      </c>
      <c r="L1123">
        <f t="shared" si="283"/>
        <v>-4.0612482200000048</v>
      </c>
      <c r="M1123">
        <f t="shared" si="284"/>
        <v>246.14899999999997</v>
      </c>
      <c r="O1123">
        <v>327</v>
      </c>
      <c r="P1123">
        <v>100</v>
      </c>
      <c r="Q1123">
        <v>0.39700000000000002</v>
      </c>
      <c r="R1123">
        <f t="shared" si="285"/>
        <v>-0.39403761015691546</v>
      </c>
    </row>
    <row r="1124" spans="1:18" x14ac:dyDescent="0.25">
      <c r="A1124">
        <v>711</v>
      </c>
      <c r="B1124">
        <v>141</v>
      </c>
      <c r="C1124">
        <v>376</v>
      </c>
      <c r="D1124">
        <v>875</v>
      </c>
      <c r="E1124">
        <v>480</v>
      </c>
      <c r="F1124">
        <v>617</v>
      </c>
      <c r="G1124" t="s">
        <v>5</v>
      </c>
      <c r="H1124" s="1">
        <f t="shared" si="274"/>
        <v>36852.062500000953</v>
      </c>
      <c r="I1124">
        <f t="shared" si="280"/>
        <v>10.9186</v>
      </c>
      <c r="J1124">
        <f t="shared" si="281"/>
        <v>28.449599999999997</v>
      </c>
      <c r="K1124">
        <f t="shared" si="282"/>
        <v>87.278999999999996</v>
      </c>
      <c r="L1124">
        <f t="shared" si="283"/>
        <v>-2.8913920000000028</v>
      </c>
      <c r="M1124">
        <f t="shared" si="284"/>
        <v>216.833</v>
      </c>
      <c r="O1124">
        <v>327</v>
      </c>
      <c r="P1124">
        <v>130</v>
      </c>
      <c r="Q1124">
        <v>0.39700000000000002</v>
      </c>
      <c r="R1124">
        <f t="shared" si="285"/>
        <v>-0.39489321527119597</v>
      </c>
    </row>
    <row r="1125" spans="1:18" x14ac:dyDescent="0.25">
      <c r="A1125">
        <v>711</v>
      </c>
      <c r="B1125">
        <v>102</v>
      </c>
      <c r="C1125">
        <v>272</v>
      </c>
      <c r="D1125">
        <v>640</v>
      </c>
      <c r="E1125">
        <v>496</v>
      </c>
      <c r="F1125">
        <v>653</v>
      </c>
      <c r="G1125" t="s">
        <v>5</v>
      </c>
      <c r="H1125" s="1">
        <f t="shared" si="274"/>
        <v>36852.083333334289</v>
      </c>
      <c r="I1125">
        <f t="shared" si="280"/>
        <v>8.0091999999999999</v>
      </c>
      <c r="J1125">
        <f t="shared" si="281"/>
        <v>20.691199999999998</v>
      </c>
      <c r="K1125">
        <f t="shared" si="282"/>
        <v>63.262</v>
      </c>
      <c r="L1125">
        <f t="shared" si="283"/>
        <v>-1.4469196799999988</v>
      </c>
      <c r="M1125">
        <f t="shared" si="284"/>
        <v>229.39699999999999</v>
      </c>
      <c r="O1125">
        <v>327</v>
      </c>
      <c r="P1125">
        <v>200</v>
      </c>
      <c r="Q1125">
        <v>0.39500000000000002</v>
      </c>
      <c r="R1125">
        <f t="shared" si="285"/>
        <v>-0.3939524214517105</v>
      </c>
    </row>
    <row r="1126" spans="1:18" x14ac:dyDescent="0.25">
      <c r="A1126">
        <v>711</v>
      </c>
      <c r="B1126">
        <v>86</v>
      </c>
      <c r="C1126">
        <v>224</v>
      </c>
      <c r="D1126">
        <v>930</v>
      </c>
      <c r="E1126">
        <v>483</v>
      </c>
      <c r="F1126">
        <v>625</v>
      </c>
      <c r="G1126" t="s">
        <v>5</v>
      </c>
      <c r="H1126" s="1">
        <f t="shared" si="274"/>
        <v>36852.104166667625</v>
      </c>
      <c r="I1126">
        <f t="shared" si="280"/>
        <v>6.8155999999999999</v>
      </c>
      <c r="J1126">
        <f t="shared" si="281"/>
        <v>17.110399999999998</v>
      </c>
      <c r="K1126">
        <f t="shared" si="282"/>
        <v>92.899999999999991</v>
      </c>
      <c r="L1126">
        <f t="shared" si="283"/>
        <v>-2.6209442200000006</v>
      </c>
      <c r="M1126">
        <f t="shared" si="284"/>
        <v>219.62499999999997</v>
      </c>
      <c r="O1126">
        <v>327</v>
      </c>
      <c r="P1126">
        <v>230</v>
      </c>
      <c r="Q1126">
        <v>0.4</v>
      </c>
      <c r="R1126">
        <f t="shared" si="285"/>
        <v>-0.39807632310206659</v>
      </c>
    </row>
    <row r="1127" spans="1:18" x14ac:dyDescent="0.25">
      <c r="A1127">
        <v>711</v>
      </c>
      <c r="B1127">
        <v>75</v>
      </c>
      <c r="C1127">
        <v>176</v>
      </c>
      <c r="D1127">
        <v>696</v>
      </c>
      <c r="E1127">
        <v>475</v>
      </c>
      <c r="F1127">
        <v>701</v>
      </c>
      <c r="G1127" t="s">
        <v>5</v>
      </c>
      <c r="H1127" s="1">
        <f t="shared" si="274"/>
        <v>36852.12500000096</v>
      </c>
      <c r="I1127">
        <f t="shared" si="280"/>
        <v>5.9950000000000001</v>
      </c>
      <c r="J1127">
        <f t="shared" si="281"/>
        <v>13.5296</v>
      </c>
      <c r="K1127">
        <f t="shared" si="282"/>
        <v>68.985199999999992</v>
      </c>
      <c r="L1127">
        <f t="shared" si="283"/>
        <v>-3.3417374999999989</v>
      </c>
      <c r="M1127">
        <f t="shared" si="284"/>
        <v>246.14899999999997</v>
      </c>
      <c r="O1127">
        <v>327</v>
      </c>
      <c r="P1127">
        <v>300</v>
      </c>
      <c r="Q1127">
        <v>0.4</v>
      </c>
      <c r="R1127">
        <f t="shared" si="285"/>
        <v>-0.39754565530328928</v>
      </c>
    </row>
    <row r="1128" spans="1:18" x14ac:dyDescent="0.25">
      <c r="A1128">
        <v>711</v>
      </c>
      <c r="B1128">
        <v>60</v>
      </c>
      <c r="C1128">
        <v>240</v>
      </c>
      <c r="D1128">
        <v>773</v>
      </c>
      <c r="E1128">
        <v>468</v>
      </c>
      <c r="F1128">
        <v>741</v>
      </c>
      <c r="G1128" t="s">
        <v>5</v>
      </c>
      <c r="H1128" s="1">
        <f t="shared" si="274"/>
        <v>36852.145833334296</v>
      </c>
      <c r="I1128">
        <f t="shared" si="280"/>
        <v>4.8760000000000003</v>
      </c>
      <c r="J1128">
        <f t="shared" si="281"/>
        <v>18.303999999999998</v>
      </c>
      <c r="K1128">
        <f t="shared" si="282"/>
        <v>76.854600000000005</v>
      </c>
      <c r="L1128">
        <f t="shared" si="283"/>
        <v>-3.9713795200000037</v>
      </c>
      <c r="M1128">
        <f t="shared" si="284"/>
        <v>260.10899999999998</v>
      </c>
      <c r="O1128">
        <v>327</v>
      </c>
      <c r="P1128">
        <v>330</v>
      </c>
      <c r="Q1128">
        <v>0.4</v>
      </c>
      <c r="R1128">
        <f t="shared" si="285"/>
        <v>-0.39708151522558421</v>
      </c>
    </row>
    <row r="1129" spans="1:18" x14ac:dyDescent="0.25">
      <c r="A1129">
        <v>711</v>
      </c>
      <c r="B1129">
        <v>77</v>
      </c>
      <c r="C1129">
        <v>160</v>
      </c>
      <c r="D1129">
        <v>692</v>
      </c>
      <c r="E1129">
        <v>475</v>
      </c>
      <c r="F1129">
        <v>717</v>
      </c>
      <c r="G1129" t="s">
        <v>5</v>
      </c>
      <c r="H1129" s="1">
        <f t="shared" si="274"/>
        <v>36852.166666667632</v>
      </c>
      <c r="I1129">
        <f t="shared" si="280"/>
        <v>6.1442000000000005</v>
      </c>
      <c r="J1129">
        <f t="shared" si="281"/>
        <v>12.336</v>
      </c>
      <c r="K1129">
        <f t="shared" si="282"/>
        <v>68.576399999999992</v>
      </c>
      <c r="L1129">
        <f t="shared" si="283"/>
        <v>-3.3417374999999989</v>
      </c>
      <c r="M1129">
        <f t="shared" si="284"/>
        <v>251.73299999999998</v>
      </c>
      <c r="O1129">
        <v>327</v>
      </c>
      <c r="P1129">
        <v>400</v>
      </c>
      <c r="Q1129">
        <v>0.4</v>
      </c>
      <c r="R1129">
        <f t="shared" si="285"/>
        <v>-0.39754565530328928</v>
      </c>
    </row>
    <row r="1130" spans="1:18" x14ac:dyDescent="0.25">
      <c r="A1130">
        <v>711</v>
      </c>
      <c r="B1130">
        <v>66</v>
      </c>
      <c r="C1130">
        <v>184</v>
      </c>
      <c r="D1130">
        <v>805</v>
      </c>
      <c r="E1130">
        <v>476</v>
      </c>
      <c r="F1130">
        <v>727</v>
      </c>
      <c r="G1130" t="s">
        <v>5</v>
      </c>
      <c r="H1130" s="1">
        <f t="shared" si="274"/>
        <v>36852.187500000968</v>
      </c>
      <c r="I1130">
        <f t="shared" ref="I1130:I1189" si="286">0.4+0.0746*B1130</f>
        <v>5.3236000000000008</v>
      </c>
      <c r="J1130">
        <f t="shared" ref="J1130:J1189" si="287">0.4+0.0746*C1130</f>
        <v>14.1264</v>
      </c>
      <c r="K1130">
        <f t="shared" ref="K1130:K1189" si="288">-2.146+0.1022*D1130</f>
        <v>80.125</v>
      </c>
      <c r="L1130">
        <f t="shared" ref="L1130:L1189" si="289">-43.84+0.0805*E1130+0.00001002*E1130^2</f>
        <v>-3.2517084800000053</v>
      </c>
      <c r="M1130">
        <f t="shared" ref="M1130:M1189" si="290">1.5+0.349*F1130</f>
        <v>255.22299999999998</v>
      </c>
      <c r="O1130">
        <v>327</v>
      </c>
      <c r="P1130">
        <v>430</v>
      </c>
      <c r="Q1130">
        <v>0.39700000000000002</v>
      </c>
      <c r="R1130">
        <f t="shared" si="285"/>
        <v>-0.39462988602682547</v>
      </c>
    </row>
    <row r="1131" spans="1:18" x14ac:dyDescent="0.25">
      <c r="A1131">
        <v>711</v>
      </c>
      <c r="B1131">
        <v>57</v>
      </c>
      <c r="C1131">
        <v>136</v>
      </c>
      <c r="D1131">
        <v>799</v>
      </c>
      <c r="E1131">
        <v>470</v>
      </c>
      <c r="F1131">
        <v>777</v>
      </c>
      <c r="G1131" t="s">
        <v>5</v>
      </c>
      <c r="H1131" s="1">
        <f t="shared" si="274"/>
        <v>36852.208333334303</v>
      </c>
      <c r="I1131">
        <f t="shared" si="286"/>
        <v>4.6522000000000006</v>
      </c>
      <c r="J1131">
        <f t="shared" si="287"/>
        <v>10.5456</v>
      </c>
      <c r="K1131">
        <f t="shared" si="288"/>
        <v>79.511799999999994</v>
      </c>
      <c r="L1131">
        <f t="shared" si="289"/>
        <v>-3.7915820000000022</v>
      </c>
      <c r="M1131">
        <f t="shared" si="290"/>
        <v>272.673</v>
      </c>
      <c r="O1131">
        <v>327</v>
      </c>
      <c r="P1131">
        <v>500</v>
      </c>
      <c r="Q1131">
        <v>0.39700000000000002</v>
      </c>
      <c r="R1131">
        <f t="shared" si="285"/>
        <v>-0.39423500232554159</v>
      </c>
    </row>
    <row r="1132" spans="1:18" x14ac:dyDescent="0.25">
      <c r="A1132">
        <v>711</v>
      </c>
      <c r="B1132">
        <v>59</v>
      </c>
      <c r="C1132">
        <v>136</v>
      </c>
      <c r="D1132">
        <v>91</v>
      </c>
      <c r="E1132">
        <v>481</v>
      </c>
      <c r="F1132">
        <v>729</v>
      </c>
      <c r="G1132" t="s">
        <v>5</v>
      </c>
      <c r="H1132" s="1">
        <f t="shared" ref="H1132:H1194" si="291">H1131+1/48</f>
        <v>36852.229166667639</v>
      </c>
      <c r="I1132">
        <f t="shared" si="286"/>
        <v>4.8014000000000001</v>
      </c>
      <c r="J1132">
        <f t="shared" si="287"/>
        <v>10.5456</v>
      </c>
      <c r="K1132">
        <f t="shared" si="288"/>
        <v>7.1542000000000003</v>
      </c>
      <c r="L1132">
        <f t="shared" si="289"/>
        <v>-2.8012627800000018</v>
      </c>
      <c r="M1132">
        <f t="shared" si="290"/>
        <v>255.92099999999999</v>
      </c>
      <c r="O1132">
        <v>327</v>
      </c>
      <c r="P1132">
        <v>530</v>
      </c>
      <c r="Q1132">
        <v>0.4</v>
      </c>
      <c r="R1132">
        <f t="shared" si="285"/>
        <v>-0.39794363400090366</v>
      </c>
    </row>
    <row r="1133" spans="1:18" x14ac:dyDescent="0.25">
      <c r="A1133">
        <v>711</v>
      </c>
      <c r="B1133">
        <v>49</v>
      </c>
      <c r="C1133">
        <v>148</v>
      </c>
      <c r="D1133">
        <v>730</v>
      </c>
      <c r="E1133">
        <v>504</v>
      </c>
      <c r="F1133">
        <v>641</v>
      </c>
      <c r="G1133" t="s">
        <v>5</v>
      </c>
      <c r="H1133" s="1">
        <f t="shared" si="291"/>
        <v>36852.250000000975</v>
      </c>
      <c r="I1133">
        <f t="shared" si="286"/>
        <v>4.0554000000000006</v>
      </c>
      <c r="J1133">
        <f t="shared" si="287"/>
        <v>11.440800000000001</v>
      </c>
      <c r="K1133">
        <f t="shared" si="288"/>
        <v>72.459999999999994</v>
      </c>
      <c r="L1133">
        <f t="shared" si="289"/>
        <v>-0.72275968000000068</v>
      </c>
      <c r="M1133">
        <f t="shared" si="290"/>
        <v>225.20899999999997</v>
      </c>
      <c r="O1133">
        <v>327</v>
      </c>
      <c r="P1133">
        <v>600</v>
      </c>
      <c r="Q1133">
        <v>0.4</v>
      </c>
      <c r="R1133">
        <f t="shared" si="285"/>
        <v>-0.39947044596574754</v>
      </c>
    </row>
    <row r="1134" spans="1:18" x14ac:dyDescent="0.25">
      <c r="A1134">
        <v>711</v>
      </c>
      <c r="B1134">
        <v>120</v>
      </c>
      <c r="C1134">
        <v>344</v>
      </c>
      <c r="D1134">
        <v>914</v>
      </c>
      <c r="E1134">
        <v>487</v>
      </c>
      <c r="F1134">
        <v>703</v>
      </c>
      <c r="G1134" t="s">
        <v>5</v>
      </c>
      <c r="H1134" s="1">
        <f t="shared" si="291"/>
        <v>36852.270833334311</v>
      </c>
      <c r="I1134">
        <f t="shared" si="286"/>
        <v>9.3520000000000003</v>
      </c>
      <c r="J1134">
        <f t="shared" si="287"/>
        <v>26.062399999999997</v>
      </c>
      <c r="K1134">
        <f t="shared" si="288"/>
        <v>91.264799999999994</v>
      </c>
      <c r="L1134">
        <f t="shared" si="289"/>
        <v>-2.2600666200000052</v>
      </c>
      <c r="M1134">
        <f t="shared" si="290"/>
        <v>246.84699999999998</v>
      </c>
      <c r="O1134">
        <v>327</v>
      </c>
      <c r="P1134">
        <v>630</v>
      </c>
      <c r="Q1134">
        <v>0.39700000000000002</v>
      </c>
      <c r="R1134">
        <f t="shared" si="285"/>
        <v>-0.39535418242739656</v>
      </c>
    </row>
    <row r="1135" spans="1:18" x14ac:dyDescent="0.25">
      <c r="A1135">
        <v>711</v>
      </c>
      <c r="B1135">
        <v>86</v>
      </c>
      <c r="C1135">
        <v>228</v>
      </c>
      <c r="D1135">
        <v>666</v>
      </c>
      <c r="E1135">
        <v>524</v>
      </c>
      <c r="F1135">
        <v>553</v>
      </c>
      <c r="G1135" t="s">
        <v>5</v>
      </c>
      <c r="H1135" s="1">
        <f t="shared" si="291"/>
        <v>36852.291666667646</v>
      </c>
      <c r="I1135">
        <f t="shared" si="286"/>
        <v>6.8155999999999999</v>
      </c>
      <c r="J1135">
        <f t="shared" si="287"/>
        <v>17.408799999999999</v>
      </c>
      <c r="K1135">
        <f t="shared" si="288"/>
        <v>65.919200000000004</v>
      </c>
      <c r="L1135">
        <f t="shared" si="289"/>
        <v>1.093251519999999</v>
      </c>
      <c r="M1135">
        <f t="shared" si="290"/>
        <v>194.49699999999999</v>
      </c>
      <c r="O1135">
        <v>327</v>
      </c>
      <c r="P1135">
        <v>700</v>
      </c>
      <c r="Q1135">
        <v>0.39700000000000002</v>
      </c>
      <c r="R1135">
        <f t="shared" si="285"/>
        <v>-0.39779368010376753</v>
      </c>
    </row>
    <row r="1136" spans="1:18" x14ac:dyDescent="0.25">
      <c r="A1136">
        <v>711</v>
      </c>
      <c r="B1136">
        <v>153</v>
      </c>
      <c r="C1136">
        <v>308</v>
      </c>
      <c r="D1136">
        <v>879</v>
      </c>
      <c r="E1136">
        <v>486</v>
      </c>
      <c r="F1136">
        <v>777</v>
      </c>
      <c r="G1136" t="s">
        <v>5</v>
      </c>
      <c r="H1136" s="1">
        <f t="shared" si="291"/>
        <v>36852.312500000982</v>
      </c>
      <c r="I1136">
        <f t="shared" si="286"/>
        <v>11.813800000000001</v>
      </c>
      <c r="J1136">
        <f t="shared" si="287"/>
        <v>23.376799999999999</v>
      </c>
      <c r="K1136">
        <f t="shared" si="288"/>
        <v>87.687799999999996</v>
      </c>
      <c r="L1136">
        <f t="shared" si="289"/>
        <v>-2.3503160800000056</v>
      </c>
      <c r="M1136">
        <f t="shared" si="290"/>
        <v>272.673</v>
      </c>
      <c r="O1136">
        <v>327</v>
      </c>
      <c r="P1136">
        <v>730</v>
      </c>
      <c r="Q1136">
        <v>0.39500000000000002</v>
      </c>
      <c r="R1136">
        <f t="shared" si="285"/>
        <v>-0.3932969420875066</v>
      </c>
    </row>
    <row r="1137" spans="1:18" x14ac:dyDescent="0.25">
      <c r="A1137">
        <v>711</v>
      </c>
      <c r="B1137">
        <v>69</v>
      </c>
      <c r="C1137">
        <v>176</v>
      </c>
      <c r="D1137">
        <v>356</v>
      </c>
      <c r="E1137">
        <v>489</v>
      </c>
      <c r="F1137">
        <v>768</v>
      </c>
      <c r="G1137" t="s">
        <v>5</v>
      </c>
      <c r="H1137" s="1">
        <f t="shared" si="291"/>
        <v>36852.333333334318</v>
      </c>
      <c r="I1137">
        <f t="shared" si="286"/>
        <v>5.5474000000000006</v>
      </c>
      <c r="J1137">
        <f t="shared" si="287"/>
        <v>13.5296</v>
      </c>
      <c r="K1137">
        <f t="shared" si="288"/>
        <v>34.237200000000001</v>
      </c>
      <c r="L1137">
        <f t="shared" si="289"/>
        <v>-2.0795075800000036</v>
      </c>
      <c r="M1137">
        <f t="shared" si="290"/>
        <v>269.53199999999998</v>
      </c>
      <c r="O1137">
        <v>327</v>
      </c>
      <c r="P1137">
        <v>800</v>
      </c>
      <c r="Q1137">
        <v>0.4</v>
      </c>
      <c r="R1137">
        <f t="shared" si="285"/>
        <v>-0.39847447880489434</v>
      </c>
    </row>
    <row r="1138" spans="1:18" x14ac:dyDescent="0.25">
      <c r="A1138">
        <v>711</v>
      </c>
      <c r="B1138">
        <v>58</v>
      </c>
      <c r="C1138">
        <v>152</v>
      </c>
      <c r="D1138">
        <v>912</v>
      </c>
      <c r="E1138">
        <v>489</v>
      </c>
      <c r="F1138">
        <v>808</v>
      </c>
      <c r="G1138" t="s">
        <v>5</v>
      </c>
      <c r="H1138" s="1">
        <f t="shared" si="291"/>
        <v>36852.354166667654</v>
      </c>
      <c r="I1138">
        <f t="shared" si="286"/>
        <v>4.7268000000000008</v>
      </c>
      <c r="J1138">
        <f t="shared" si="287"/>
        <v>11.7392</v>
      </c>
      <c r="K1138">
        <f t="shared" si="288"/>
        <v>91.060400000000001</v>
      </c>
      <c r="L1138">
        <f t="shared" si="289"/>
        <v>-2.0795075800000036</v>
      </c>
      <c r="M1138">
        <f t="shared" si="290"/>
        <v>283.49199999999996</v>
      </c>
      <c r="O1138">
        <v>327</v>
      </c>
      <c r="P1138">
        <v>830</v>
      </c>
      <c r="Q1138">
        <v>0.39700000000000002</v>
      </c>
      <c r="R1138">
        <f t="shared" si="285"/>
        <v>-0.39548592021385764</v>
      </c>
    </row>
    <row r="1139" spans="1:18" x14ac:dyDescent="0.25">
      <c r="A1139">
        <v>711</v>
      </c>
      <c r="B1139">
        <v>74</v>
      </c>
      <c r="C1139">
        <v>116</v>
      </c>
      <c r="D1139">
        <v>878</v>
      </c>
      <c r="E1139">
        <v>490</v>
      </c>
      <c r="F1139">
        <v>793</v>
      </c>
      <c r="G1139" t="s">
        <v>5</v>
      </c>
      <c r="H1139" s="1">
        <f t="shared" si="291"/>
        <v>36852.37500000099</v>
      </c>
      <c r="I1139">
        <f t="shared" si="286"/>
        <v>5.9204000000000008</v>
      </c>
      <c r="J1139">
        <f t="shared" si="287"/>
        <v>9.0536000000000012</v>
      </c>
      <c r="K1139">
        <f t="shared" si="288"/>
        <v>87.585599999999999</v>
      </c>
      <c r="L1139">
        <f t="shared" si="289"/>
        <v>-1.9891980000000031</v>
      </c>
      <c r="M1139">
        <f t="shared" si="290"/>
        <v>278.25700000000001</v>
      </c>
      <c r="O1139">
        <v>327</v>
      </c>
      <c r="P1139">
        <v>900</v>
      </c>
      <c r="Q1139">
        <v>0.39700000000000002</v>
      </c>
      <c r="R1139">
        <f t="shared" si="285"/>
        <v>-0.39555179457874362</v>
      </c>
    </row>
    <row r="1140" spans="1:18" x14ac:dyDescent="0.25">
      <c r="A1140">
        <v>711</v>
      </c>
      <c r="B1140">
        <v>61</v>
      </c>
      <c r="C1140">
        <v>168</v>
      </c>
      <c r="D1140">
        <v>660</v>
      </c>
      <c r="E1140">
        <v>492</v>
      </c>
      <c r="F1140">
        <v>801</v>
      </c>
      <c r="G1140" t="s">
        <v>5</v>
      </c>
      <c r="H1140" s="1">
        <f t="shared" si="291"/>
        <v>36852.395833334325</v>
      </c>
      <c r="I1140">
        <f t="shared" si="286"/>
        <v>4.9506000000000006</v>
      </c>
      <c r="J1140">
        <f t="shared" si="287"/>
        <v>12.9328</v>
      </c>
      <c r="K1140">
        <f t="shared" si="288"/>
        <v>65.305999999999997</v>
      </c>
      <c r="L1140">
        <f t="shared" si="289"/>
        <v>-1.8085187200000017</v>
      </c>
      <c r="M1140">
        <f t="shared" si="290"/>
        <v>281.04899999999998</v>
      </c>
      <c r="O1140">
        <v>327</v>
      </c>
      <c r="P1140">
        <v>930</v>
      </c>
      <c r="Q1140">
        <v>0.4</v>
      </c>
      <c r="R1140">
        <f t="shared" si="285"/>
        <v>-0.39867360628989157</v>
      </c>
    </row>
    <row r="1141" spans="1:18" x14ac:dyDescent="0.25">
      <c r="A1141">
        <v>711</v>
      </c>
      <c r="B1141">
        <v>54</v>
      </c>
      <c r="C1141">
        <v>144</v>
      </c>
      <c r="D1141">
        <v>996</v>
      </c>
      <c r="E1141">
        <v>500</v>
      </c>
      <c r="F1141">
        <v>809</v>
      </c>
      <c r="G1141" t="s">
        <v>5</v>
      </c>
      <c r="H1141" s="1">
        <f t="shared" si="291"/>
        <v>36852.416666667661</v>
      </c>
      <c r="I1141">
        <f t="shared" si="286"/>
        <v>4.4283999999999999</v>
      </c>
      <c r="J1141">
        <f t="shared" si="287"/>
        <v>11.1424</v>
      </c>
      <c r="K1141">
        <f t="shared" si="288"/>
        <v>99.645200000000003</v>
      </c>
      <c r="L1141">
        <f t="shared" si="289"/>
        <v>-1.0850000000000031</v>
      </c>
      <c r="M1141">
        <f t="shared" si="290"/>
        <v>283.84100000000001</v>
      </c>
      <c r="O1141">
        <v>327</v>
      </c>
      <c r="P1141">
        <v>1000</v>
      </c>
      <c r="Q1141">
        <v>0.4</v>
      </c>
      <c r="R1141">
        <f t="shared" si="285"/>
        <v>-0.39920477422800033</v>
      </c>
    </row>
    <row r="1142" spans="1:18" x14ac:dyDescent="0.25">
      <c r="A1142">
        <v>711</v>
      </c>
      <c r="B1142">
        <v>40</v>
      </c>
      <c r="C1142">
        <v>112</v>
      </c>
      <c r="D1142">
        <v>239</v>
      </c>
      <c r="E1142">
        <v>503</v>
      </c>
      <c r="F1142">
        <v>792</v>
      </c>
      <c r="G1142" t="s">
        <v>5</v>
      </c>
      <c r="H1142" s="1">
        <f t="shared" si="291"/>
        <v>36852.437500000997</v>
      </c>
      <c r="I1142">
        <f t="shared" si="286"/>
        <v>3.3839999999999999</v>
      </c>
      <c r="J1142">
        <f t="shared" si="287"/>
        <v>8.7552000000000003</v>
      </c>
      <c r="K1142">
        <f t="shared" si="288"/>
        <v>22.279799999999998</v>
      </c>
      <c r="L1142">
        <f t="shared" si="289"/>
        <v>-0.81334982000000133</v>
      </c>
      <c r="M1142">
        <f t="shared" si="290"/>
        <v>277.90799999999996</v>
      </c>
      <c r="O1142">
        <v>327</v>
      </c>
      <c r="P1142">
        <v>1030</v>
      </c>
      <c r="Q1142">
        <v>0.39700000000000002</v>
      </c>
      <c r="R1142">
        <f t="shared" si="285"/>
        <v>-0.39640849238663201</v>
      </c>
    </row>
    <row r="1143" spans="1:18" x14ac:dyDescent="0.25">
      <c r="A1143">
        <v>711</v>
      </c>
      <c r="B1143">
        <v>45</v>
      </c>
      <c r="C1143">
        <v>120</v>
      </c>
      <c r="D1143">
        <v>332</v>
      </c>
      <c r="E1143">
        <v>500</v>
      </c>
      <c r="F1143">
        <v>833</v>
      </c>
      <c r="G1143" t="s">
        <v>5</v>
      </c>
      <c r="H1143" s="1">
        <f t="shared" si="291"/>
        <v>36852.458333334333</v>
      </c>
      <c r="I1143">
        <f t="shared" si="286"/>
        <v>3.7570000000000001</v>
      </c>
      <c r="J1143">
        <f t="shared" si="287"/>
        <v>9.3520000000000003</v>
      </c>
      <c r="K1143">
        <f t="shared" si="288"/>
        <v>31.784399999999998</v>
      </c>
      <c r="L1143">
        <f t="shared" si="289"/>
        <v>-1.0850000000000031</v>
      </c>
      <c r="M1143">
        <f t="shared" si="290"/>
        <v>292.21699999999998</v>
      </c>
      <c r="O1143">
        <v>327</v>
      </c>
      <c r="P1143">
        <v>1100</v>
      </c>
      <c r="Q1143">
        <v>0.39700000000000002</v>
      </c>
      <c r="R1143">
        <f t="shared" si="285"/>
        <v>-0.39621073842129034</v>
      </c>
    </row>
    <row r="1144" spans="1:18" x14ac:dyDescent="0.25">
      <c r="A1144">
        <v>711</v>
      </c>
      <c r="B1144">
        <v>46</v>
      </c>
      <c r="C1144">
        <v>88</v>
      </c>
      <c r="D1144">
        <v>123</v>
      </c>
      <c r="E1144">
        <v>501</v>
      </c>
      <c r="F1144">
        <v>828</v>
      </c>
      <c r="G1144" t="s">
        <v>5</v>
      </c>
      <c r="H1144" s="1">
        <f t="shared" si="291"/>
        <v>36852.479166667668</v>
      </c>
      <c r="I1144">
        <f t="shared" ref="I1144:I1150" si="292">0.4+0.0746*B1144</f>
        <v>3.8315999999999999</v>
      </c>
      <c r="J1144">
        <f t="shared" ref="J1144:J1150" si="293">0.4+0.0746*C1144</f>
        <v>6.9648000000000003</v>
      </c>
      <c r="K1144">
        <f t="shared" ref="K1144:K1150" si="294">-2.146+0.1022*D1144</f>
        <v>10.424600000000002</v>
      </c>
      <c r="L1144">
        <f t="shared" ref="L1144:L1150" si="295">-43.84+0.0805*E1144+0.00001002*E1144^2</f>
        <v>-0.99446998000000253</v>
      </c>
      <c r="M1144">
        <f t="shared" ref="M1144:M1150" si="296">1.5+0.349*F1144</f>
        <v>290.47199999999998</v>
      </c>
      <c r="O1144">
        <v>327</v>
      </c>
      <c r="P1144">
        <v>1130</v>
      </c>
      <c r="Q1144">
        <v>0.39700000000000002</v>
      </c>
      <c r="R1144">
        <f t="shared" si="285"/>
        <v>-0.39627665278496688</v>
      </c>
    </row>
    <row r="1145" spans="1:18" x14ac:dyDescent="0.25">
      <c r="A1145">
        <v>11</v>
      </c>
      <c r="B1145">
        <v>46</v>
      </c>
      <c r="C1145">
        <v>160</v>
      </c>
      <c r="D1145">
        <v>990</v>
      </c>
      <c r="E1145">
        <v>505</v>
      </c>
      <c r="F1145">
        <v>817</v>
      </c>
      <c r="G1145" t="s">
        <v>5</v>
      </c>
      <c r="H1145" s="1">
        <f t="shared" si="291"/>
        <v>36852.500000001004</v>
      </c>
      <c r="I1145">
        <f t="shared" si="292"/>
        <v>3.8315999999999999</v>
      </c>
      <c r="J1145">
        <f t="shared" si="293"/>
        <v>12.336</v>
      </c>
      <c r="K1145">
        <f t="shared" si="294"/>
        <v>99.031999999999996</v>
      </c>
      <c r="L1145">
        <f t="shared" si="295"/>
        <v>-0.6321494999999997</v>
      </c>
      <c r="M1145">
        <f t="shared" si="296"/>
        <v>286.63299999999998</v>
      </c>
      <c r="O1145">
        <v>327</v>
      </c>
      <c r="P1145">
        <v>1200</v>
      </c>
      <c r="Q1145">
        <v>0.39700000000000002</v>
      </c>
      <c r="R1145">
        <f t="shared" si="285"/>
        <v>-0.39654034647532799</v>
      </c>
    </row>
    <row r="1146" spans="1:18" x14ac:dyDescent="0.25">
      <c r="A1146">
        <v>11</v>
      </c>
      <c r="B1146">
        <v>26</v>
      </c>
      <c r="C1146">
        <v>80</v>
      </c>
      <c r="D1146">
        <v>507</v>
      </c>
      <c r="E1146">
        <v>515</v>
      </c>
      <c r="F1146">
        <v>781</v>
      </c>
      <c r="G1146" t="s">
        <v>5</v>
      </c>
      <c r="H1146" s="1">
        <f t="shared" si="291"/>
        <v>36852.52083333434</v>
      </c>
      <c r="I1146">
        <f t="shared" si="292"/>
        <v>2.3395999999999999</v>
      </c>
      <c r="J1146">
        <f t="shared" si="293"/>
        <v>6.3680000000000003</v>
      </c>
      <c r="K1146">
        <f t="shared" si="294"/>
        <v>49.669399999999996</v>
      </c>
      <c r="L1146">
        <f t="shared" si="295"/>
        <v>0.27505449999999998</v>
      </c>
      <c r="M1146">
        <f t="shared" si="296"/>
        <v>274.06899999999996</v>
      </c>
      <c r="O1146">
        <v>327</v>
      </c>
      <c r="P1146">
        <v>1230</v>
      </c>
      <c r="Q1146">
        <v>0.39700000000000002</v>
      </c>
      <c r="R1146">
        <f t="shared" si="285"/>
        <v>-0.39719983371926271</v>
      </c>
    </row>
    <row r="1147" spans="1:18" x14ac:dyDescent="0.25">
      <c r="A1147">
        <v>11</v>
      </c>
      <c r="B1147">
        <v>44</v>
      </c>
      <c r="C1147">
        <v>88</v>
      </c>
      <c r="D1147">
        <v>391</v>
      </c>
      <c r="E1147">
        <v>509</v>
      </c>
      <c r="F1147">
        <v>805</v>
      </c>
      <c r="G1147" t="s">
        <v>5</v>
      </c>
      <c r="H1147" s="1">
        <f t="shared" si="291"/>
        <v>36852.541666667676</v>
      </c>
      <c r="I1147">
        <f t="shared" si="292"/>
        <v>3.6823999999999999</v>
      </c>
      <c r="J1147">
        <f t="shared" si="293"/>
        <v>6.9648000000000003</v>
      </c>
      <c r="K1147">
        <f t="shared" si="294"/>
        <v>37.8142</v>
      </c>
      <c r="L1147">
        <f t="shared" si="295"/>
        <v>-0.26950838000000443</v>
      </c>
      <c r="M1147">
        <f t="shared" si="296"/>
        <v>282.44499999999999</v>
      </c>
      <c r="O1147">
        <v>327</v>
      </c>
      <c r="P1147">
        <v>1300</v>
      </c>
      <c r="Q1147">
        <v>0.39700000000000002</v>
      </c>
      <c r="R1147">
        <f t="shared" si="285"/>
        <v>-0.39680409805604494</v>
      </c>
    </row>
    <row r="1148" spans="1:18" x14ac:dyDescent="0.25">
      <c r="A1148">
        <v>11</v>
      </c>
      <c r="B1148">
        <v>66</v>
      </c>
      <c r="C1148">
        <v>100</v>
      </c>
      <c r="D1148">
        <v>43</v>
      </c>
      <c r="E1148">
        <v>505</v>
      </c>
      <c r="F1148">
        <v>849</v>
      </c>
      <c r="G1148" t="s">
        <v>5</v>
      </c>
      <c r="H1148" s="1">
        <f t="shared" si="291"/>
        <v>36852.562500001011</v>
      </c>
      <c r="I1148">
        <f t="shared" si="292"/>
        <v>5.3236000000000008</v>
      </c>
      <c r="J1148">
        <f t="shared" si="293"/>
        <v>7.86</v>
      </c>
      <c r="K1148">
        <f t="shared" si="294"/>
        <v>2.2485999999999997</v>
      </c>
      <c r="L1148">
        <f t="shared" si="295"/>
        <v>-0.6321494999999997</v>
      </c>
      <c r="M1148">
        <f t="shared" si="296"/>
        <v>297.80099999999999</v>
      </c>
      <c r="O1148">
        <v>327</v>
      </c>
      <c r="P1148">
        <v>1330</v>
      </c>
      <c r="Q1148">
        <v>0.39700000000000002</v>
      </c>
      <c r="R1148">
        <f t="shared" si="285"/>
        <v>-0.39654034647532799</v>
      </c>
    </row>
    <row r="1149" spans="1:18" x14ac:dyDescent="0.25">
      <c r="A1149">
        <v>11</v>
      </c>
      <c r="B1149">
        <v>40</v>
      </c>
      <c r="C1149">
        <v>96</v>
      </c>
      <c r="D1149">
        <v>103</v>
      </c>
      <c r="E1149">
        <v>509</v>
      </c>
      <c r="F1149">
        <v>789</v>
      </c>
      <c r="G1149" t="s">
        <v>5</v>
      </c>
      <c r="H1149" s="1">
        <f t="shared" si="291"/>
        <v>36852.583333334347</v>
      </c>
      <c r="I1149">
        <f t="shared" si="292"/>
        <v>3.3839999999999999</v>
      </c>
      <c r="J1149">
        <f t="shared" si="293"/>
        <v>7.5616000000000003</v>
      </c>
      <c r="K1149">
        <f t="shared" si="294"/>
        <v>8.3806000000000012</v>
      </c>
      <c r="L1149">
        <f t="shared" si="295"/>
        <v>-0.26950838000000443</v>
      </c>
      <c r="M1149">
        <f t="shared" si="296"/>
        <v>276.86099999999999</v>
      </c>
      <c r="O1149">
        <v>327</v>
      </c>
      <c r="P1149">
        <v>1400</v>
      </c>
      <c r="Q1149">
        <v>0.4</v>
      </c>
      <c r="R1149">
        <f t="shared" si="285"/>
        <v>-0.39980261768871028</v>
      </c>
    </row>
    <row r="1150" spans="1:18" x14ac:dyDescent="0.25">
      <c r="A1150">
        <v>11</v>
      </c>
      <c r="B1150">
        <v>18</v>
      </c>
      <c r="C1150">
        <v>44</v>
      </c>
      <c r="D1150">
        <v>396</v>
      </c>
      <c r="E1150">
        <v>524</v>
      </c>
      <c r="F1150">
        <v>689</v>
      </c>
      <c r="G1150" t="s">
        <v>5</v>
      </c>
      <c r="H1150" s="1">
        <f t="shared" si="291"/>
        <v>36852.604166667683</v>
      </c>
      <c r="I1150">
        <f t="shared" si="292"/>
        <v>1.7427999999999999</v>
      </c>
      <c r="J1150">
        <f t="shared" si="293"/>
        <v>3.6823999999999999</v>
      </c>
      <c r="K1150">
        <f t="shared" si="294"/>
        <v>38.325200000000002</v>
      </c>
      <c r="L1150">
        <f t="shared" si="295"/>
        <v>1.093251519999999</v>
      </c>
      <c r="M1150">
        <f t="shared" si="296"/>
        <v>241.96099999999998</v>
      </c>
      <c r="O1150">
        <v>327</v>
      </c>
      <c r="P1150">
        <v>1430</v>
      </c>
      <c r="Q1150">
        <v>0.4</v>
      </c>
      <c r="R1150">
        <f t="shared" si="285"/>
        <v>-0.40079967768641567</v>
      </c>
    </row>
    <row r="1151" spans="1:18" x14ac:dyDescent="0.25">
      <c r="A1151">
        <v>11</v>
      </c>
      <c r="B1151">
        <v>59</v>
      </c>
      <c r="C1151">
        <v>104</v>
      </c>
      <c r="D1151">
        <v>450</v>
      </c>
      <c r="E1151">
        <v>506</v>
      </c>
      <c r="F1151">
        <v>828</v>
      </c>
      <c r="G1151" t="s">
        <v>5</v>
      </c>
      <c r="H1151" s="1">
        <f t="shared" si="291"/>
        <v>36852.625000001019</v>
      </c>
      <c r="I1151">
        <f t="shared" ref="I1151:J1154" si="297">0.4+0.0746*B1151</f>
        <v>4.8014000000000001</v>
      </c>
      <c r="J1151">
        <f t="shared" si="297"/>
        <v>8.1584000000000003</v>
      </c>
      <c r="K1151">
        <f>-2.146+0.1022*D1151</f>
        <v>43.844000000000001</v>
      </c>
      <c r="L1151">
        <f>-43.84+0.0805*E1151+0.00001002*E1151^2</f>
        <v>-0.54151927999999927</v>
      </c>
      <c r="M1151">
        <f>1.5+0.349*F1151</f>
        <v>290.47199999999998</v>
      </c>
      <c r="O1151">
        <v>327</v>
      </c>
      <c r="P1151">
        <v>1500</v>
      </c>
      <c r="Q1151">
        <v>0.4</v>
      </c>
      <c r="R1151">
        <f t="shared" si="285"/>
        <v>-0.39960330372574054</v>
      </c>
    </row>
    <row r="1152" spans="1:18" x14ac:dyDescent="0.25">
      <c r="A1152">
        <v>11</v>
      </c>
      <c r="B1152">
        <v>46</v>
      </c>
      <c r="C1152">
        <v>108</v>
      </c>
      <c r="D1152">
        <v>35</v>
      </c>
      <c r="E1152">
        <v>514</v>
      </c>
      <c r="F1152">
        <v>793</v>
      </c>
      <c r="G1152" t="s">
        <v>5</v>
      </c>
      <c r="H1152" s="1">
        <f t="shared" si="291"/>
        <v>36852.645833334354</v>
      </c>
      <c r="I1152">
        <f t="shared" si="297"/>
        <v>3.8315999999999999</v>
      </c>
      <c r="J1152">
        <f t="shared" si="297"/>
        <v>8.4567999999999994</v>
      </c>
      <c r="K1152">
        <f>-2.146+0.1022*D1152</f>
        <v>1.431</v>
      </c>
      <c r="L1152">
        <f>-43.84+0.0805*E1152+0.00001002*E1152^2</f>
        <v>0.18424391999999923</v>
      </c>
      <c r="M1152">
        <f>1.5+0.349*F1152</f>
        <v>278.25700000000001</v>
      </c>
      <c r="O1152">
        <v>327</v>
      </c>
      <c r="P1152">
        <v>1530</v>
      </c>
      <c r="Q1152">
        <v>0.4</v>
      </c>
      <c r="R1152">
        <f t="shared" si="285"/>
        <v>-0.40013488036729045</v>
      </c>
    </row>
    <row r="1153" spans="1:18" x14ac:dyDescent="0.25">
      <c r="A1153">
        <v>11</v>
      </c>
      <c r="B1153">
        <v>53</v>
      </c>
      <c r="C1153">
        <v>88</v>
      </c>
      <c r="D1153">
        <v>936</v>
      </c>
      <c r="E1153">
        <v>498</v>
      </c>
      <c r="F1153">
        <v>869</v>
      </c>
      <c r="G1153" t="s">
        <v>5</v>
      </c>
      <c r="H1153" s="1">
        <f t="shared" si="291"/>
        <v>36852.66666666769</v>
      </c>
      <c r="I1153">
        <f t="shared" si="297"/>
        <v>4.3538000000000006</v>
      </c>
      <c r="J1153">
        <f t="shared" si="297"/>
        <v>6.9648000000000003</v>
      </c>
      <c r="K1153">
        <f>-2.146+0.1022*D1153</f>
        <v>93.513199999999998</v>
      </c>
      <c r="L1153">
        <f>-43.84+0.0805*E1153+0.00001002*E1153^2</f>
        <v>-1.2659999200000045</v>
      </c>
      <c r="M1153">
        <f>1.5+0.349*F1153</f>
        <v>304.78100000000001</v>
      </c>
      <c r="O1153">
        <v>327</v>
      </c>
      <c r="P1153">
        <v>1600</v>
      </c>
      <c r="Q1153">
        <v>0.40200000000000002</v>
      </c>
      <c r="R1153">
        <f t="shared" si="285"/>
        <v>-0.40106732008078999</v>
      </c>
    </row>
    <row r="1154" spans="1:18" x14ac:dyDescent="0.25">
      <c r="A1154">
        <v>7</v>
      </c>
      <c r="B1154">
        <v>30</v>
      </c>
      <c r="C1154">
        <v>84</v>
      </c>
      <c r="D1154">
        <v>618</v>
      </c>
      <c r="E1154">
        <v>516</v>
      </c>
      <c r="F1154">
        <v>776</v>
      </c>
      <c r="G1154" t="s">
        <v>5</v>
      </c>
      <c r="H1154" s="1">
        <f t="shared" si="291"/>
        <v>36852.687500001026</v>
      </c>
      <c r="I1154">
        <f t="shared" si="297"/>
        <v>2.6379999999999999</v>
      </c>
      <c r="J1154">
        <f t="shared" si="297"/>
        <v>6.6664000000000003</v>
      </c>
      <c r="K1154">
        <f>-2.146+0.1022*D1154</f>
        <v>61.013599999999997</v>
      </c>
      <c r="L1154">
        <f>-43.84+0.0805*E1154+0.00001002*E1154^2</f>
        <v>0.36588512000000062</v>
      </c>
      <c r="M1154">
        <f>1.5+0.349*F1154</f>
        <v>272.32399999999996</v>
      </c>
      <c r="O1154">
        <v>327</v>
      </c>
      <c r="P1154">
        <v>1630</v>
      </c>
      <c r="Q1154">
        <v>0.40500000000000003</v>
      </c>
      <c r="R1154">
        <f t="shared" si="285"/>
        <v>-0.4052711584912545</v>
      </c>
    </row>
    <row r="1155" spans="1:18" x14ac:dyDescent="0.25">
      <c r="A1155">
        <v>711</v>
      </c>
      <c r="B1155">
        <v>39</v>
      </c>
      <c r="C1155">
        <v>88</v>
      </c>
      <c r="D1155">
        <v>565</v>
      </c>
      <c r="E1155">
        <v>532</v>
      </c>
      <c r="F1155">
        <v>757</v>
      </c>
      <c r="G1155" t="s">
        <v>5</v>
      </c>
      <c r="H1155" s="1">
        <f t="shared" si="291"/>
        <v>36852.708333334362</v>
      </c>
      <c r="I1155">
        <f t="shared" si="286"/>
        <v>3.3093999999999997</v>
      </c>
      <c r="J1155">
        <f t="shared" si="287"/>
        <v>6.9648000000000003</v>
      </c>
      <c r="K1155">
        <f t="shared" si="288"/>
        <v>55.597000000000001</v>
      </c>
      <c r="L1155">
        <f t="shared" si="289"/>
        <v>1.8219004799999974</v>
      </c>
      <c r="M1155">
        <f t="shared" si="290"/>
        <v>265.69299999999998</v>
      </c>
      <c r="O1155">
        <v>327</v>
      </c>
      <c r="P1155">
        <v>1700</v>
      </c>
      <c r="Q1155">
        <v>0.40500000000000003</v>
      </c>
      <c r="R1155">
        <f t="shared" si="285"/>
        <v>-0.40634842282584027</v>
      </c>
    </row>
    <row r="1156" spans="1:18" x14ac:dyDescent="0.25">
      <c r="A1156">
        <v>711</v>
      </c>
      <c r="B1156">
        <v>40</v>
      </c>
      <c r="C1156">
        <v>84</v>
      </c>
      <c r="D1156">
        <v>493</v>
      </c>
      <c r="E1156">
        <v>513</v>
      </c>
      <c r="F1156">
        <v>828</v>
      </c>
      <c r="G1156" t="s">
        <v>5</v>
      </c>
      <c r="H1156" s="1">
        <f t="shared" si="291"/>
        <v>36852.729166667697</v>
      </c>
      <c r="I1156">
        <f t="shared" si="286"/>
        <v>3.3839999999999999</v>
      </c>
      <c r="J1156">
        <f t="shared" si="287"/>
        <v>6.6664000000000003</v>
      </c>
      <c r="K1156">
        <f t="shared" si="288"/>
        <v>48.238599999999998</v>
      </c>
      <c r="L1156">
        <f t="shared" si="289"/>
        <v>9.3453379999998365E-2</v>
      </c>
      <c r="M1156">
        <f t="shared" si="290"/>
        <v>290.47199999999998</v>
      </c>
      <c r="O1156">
        <v>327</v>
      </c>
      <c r="P1156">
        <v>1730</v>
      </c>
      <c r="Q1156">
        <v>0.40500000000000003</v>
      </c>
      <c r="R1156">
        <f t="shared" si="285"/>
        <v>-0.40506927582307689</v>
      </c>
    </row>
    <row r="1157" spans="1:18" x14ac:dyDescent="0.25">
      <c r="A1157">
        <v>711</v>
      </c>
      <c r="B1157">
        <v>38</v>
      </c>
      <c r="C1157">
        <v>88</v>
      </c>
      <c r="D1157">
        <v>80</v>
      </c>
      <c r="E1157">
        <v>546</v>
      </c>
      <c r="F1157">
        <v>737</v>
      </c>
      <c r="G1157" t="s">
        <v>5</v>
      </c>
      <c r="H1157" s="1">
        <f t="shared" si="291"/>
        <v>36852.750000001033</v>
      </c>
      <c r="I1157">
        <f t="shared" si="286"/>
        <v>3.2347999999999999</v>
      </c>
      <c r="J1157">
        <f t="shared" si="287"/>
        <v>6.9648000000000003</v>
      </c>
      <c r="K1157">
        <f t="shared" si="288"/>
        <v>6.03</v>
      </c>
      <c r="L1157">
        <f t="shared" si="289"/>
        <v>3.1001223199999997</v>
      </c>
      <c r="M1157">
        <f t="shared" si="290"/>
        <v>258.71299999999997</v>
      </c>
      <c r="O1157">
        <v>327</v>
      </c>
      <c r="P1157">
        <v>1800</v>
      </c>
      <c r="Q1157">
        <v>0.40699999999999997</v>
      </c>
      <c r="R1157">
        <f t="shared" si="285"/>
        <v>-0.40930311164671324</v>
      </c>
    </row>
    <row r="1158" spans="1:18" x14ac:dyDescent="0.25">
      <c r="A1158">
        <v>711</v>
      </c>
      <c r="B1158">
        <v>20</v>
      </c>
      <c r="C1158">
        <v>44</v>
      </c>
      <c r="D1158">
        <v>192</v>
      </c>
      <c r="E1158">
        <v>505</v>
      </c>
      <c r="F1158">
        <v>853</v>
      </c>
      <c r="G1158" t="s">
        <v>5</v>
      </c>
      <c r="H1158" s="1">
        <f t="shared" si="291"/>
        <v>36852.770833334369</v>
      </c>
      <c r="I1158">
        <f t="shared" si="286"/>
        <v>1.8919999999999999</v>
      </c>
      <c r="J1158">
        <f t="shared" si="287"/>
        <v>3.6823999999999999</v>
      </c>
      <c r="K1158">
        <f t="shared" si="288"/>
        <v>17.476399999999998</v>
      </c>
      <c r="L1158">
        <f t="shared" si="289"/>
        <v>-0.6321494999999997</v>
      </c>
      <c r="M1158">
        <f t="shared" si="290"/>
        <v>299.197</v>
      </c>
      <c r="O1158">
        <v>327</v>
      </c>
      <c r="P1158">
        <v>1830</v>
      </c>
      <c r="Q1158">
        <v>0.40699999999999997</v>
      </c>
      <c r="R1158">
        <f t="shared" si="285"/>
        <v>-0.40652876830090295</v>
      </c>
    </row>
    <row r="1159" spans="1:18" x14ac:dyDescent="0.25">
      <c r="A1159">
        <v>711</v>
      </c>
      <c r="B1159">
        <v>24</v>
      </c>
      <c r="C1159">
        <v>60</v>
      </c>
      <c r="D1159">
        <v>178</v>
      </c>
      <c r="E1159">
        <v>496</v>
      </c>
      <c r="F1159">
        <v>904</v>
      </c>
      <c r="G1159" t="s">
        <v>5</v>
      </c>
      <c r="H1159" s="1">
        <f t="shared" si="291"/>
        <v>36852.791666667705</v>
      </c>
      <c r="I1159">
        <f t="shared" si="286"/>
        <v>2.1903999999999999</v>
      </c>
      <c r="J1159">
        <f t="shared" si="287"/>
        <v>4.8760000000000003</v>
      </c>
      <c r="K1159">
        <f t="shared" si="288"/>
        <v>16.0456</v>
      </c>
      <c r="L1159">
        <f t="shared" si="289"/>
        <v>-1.4469196799999988</v>
      </c>
      <c r="M1159">
        <f t="shared" si="290"/>
        <v>316.99599999999998</v>
      </c>
      <c r="O1159">
        <v>327</v>
      </c>
      <c r="P1159">
        <v>1900</v>
      </c>
      <c r="Q1159">
        <v>0.41</v>
      </c>
      <c r="R1159">
        <f t="shared" ref="R1159:R1222" si="298">-SQRT((L1159+273.15)/273.15)*Q1159</f>
        <v>-0.40891263998785138</v>
      </c>
    </row>
    <row r="1160" spans="1:18" x14ac:dyDescent="0.25">
      <c r="A1160">
        <v>711</v>
      </c>
      <c r="B1160">
        <v>15</v>
      </c>
      <c r="C1160">
        <v>36</v>
      </c>
      <c r="D1160">
        <v>411</v>
      </c>
      <c r="E1160">
        <v>497</v>
      </c>
      <c r="F1160">
        <v>917</v>
      </c>
      <c r="G1160" t="s">
        <v>5</v>
      </c>
      <c r="H1160" s="1">
        <f t="shared" si="291"/>
        <v>36852.81250000104</v>
      </c>
      <c r="I1160">
        <f t="shared" si="286"/>
        <v>1.5190000000000001</v>
      </c>
      <c r="J1160">
        <f t="shared" si="287"/>
        <v>3.0855999999999999</v>
      </c>
      <c r="K1160">
        <f t="shared" si="288"/>
        <v>39.858199999999997</v>
      </c>
      <c r="L1160">
        <f t="shared" si="289"/>
        <v>-1.3564698200000054</v>
      </c>
      <c r="M1160">
        <f t="shared" si="290"/>
        <v>321.53299999999996</v>
      </c>
      <c r="O1160">
        <v>327</v>
      </c>
      <c r="P1160">
        <v>1930</v>
      </c>
      <c r="Q1160">
        <v>0.41</v>
      </c>
      <c r="R1160">
        <f t="shared" si="298"/>
        <v>-0.408980697761329</v>
      </c>
    </row>
    <row r="1161" spans="1:18" x14ac:dyDescent="0.25">
      <c r="A1161">
        <v>711</v>
      </c>
      <c r="B1161">
        <v>14</v>
      </c>
      <c r="C1161">
        <v>32</v>
      </c>
      <c r="D1161">
        <v>123</v>
      </c>
      <c r="E1161">
        <v>495</v>
      </c>
      <c r="F1161">
        <v>921</v>
      </c>
      <c r="G1161" t="s">
        <v>5</v>
      </c>
      <c r="H1161" s="1">
        <f t="shared" si="291"/>
        <v>36852.833333334376</v>
      </c>
      <c r="I1161">
        <f t="shared" si="286"/>
        <v>1.4443999999999999</v>
      </c>
      <c r="J1161">
        <f t="shared" si="287"/>
        <v>2.7871999999999999</v>
      </c>
      <c r="K1161">
        <f t="shared" si="288"/>
        <v>10.424600000000002</v>
      </c>
      <c r="L1161">
        <f t="shared" si="289"/>
        <v>-1.5373494999999995</v>
      </c>
      <c r="M1161">
        <f t="shared" si="290"/>
        <v>322.92899999999997</v>
      </c>
      <c r="O1161">
        <v>327</v>
      </c>
      <c r="P1161">
        <v>2000</v>
      </c>
      <c r="Q1161">
        <v>0.41199999999999998</v>
      </c>
      <c r="R1161">
        <f t="shared" si="298"/>
        <v>-0.41083894980180768</v>
      </c>
    </row>
    <row r="1162" spans="1:18" x14ac:dyDescent="0.25">
      <c r="A1162">
        <v>711</v>
      </c>
      <c r="B1162">
        <v>5</v>
      </c>
      <c r="C1162">
        <v>28</v>
      </c>
      <c r="D1162">
        <v>75</v>
      </c>
      <c r="E1162">
        <v>497</v>
      </c>
      <c r="F1162">
        <v>925</v>
      </c>
      <c r="G1162" t="s">
        <v>5</v>
      </c>
      <c r="H1162" s="1">
        <f>H1161+1/48</f>
        <v>36852.854166667712</v>
      </c>
      <c r="I1162">
        <f t="shared" si="286"/>
        <v>0.77300000000000002</v>
      </c>
      <c r="J1162">
        <f t="shared" si="287"/>
        <v>2.4887999999999999</v>
      </c>
      <c r="K1162">
        <f t="shared" si="288"/>
        <v>5.5190000000000001</v>
      </c>
      <c r="L1162">
        <f t="shared" si="289"/>
        <v>-1.3564698200000054</v>
      </c>
      <c r="M1162">
        <f t="shared" si="290"/>
        <v>324.32499999999999</v>
      </c>
      <c r="O1162">
        <v>327</v>
      </c>
      <c r="P1162">
        <v>2030</v>
      </c>
      <c r="Q1162">
        <v>0.41499999999999998</v>
      </c>
      <c r="R1162">
        <f t="shared" si="298"/>
        <v>-0.41396826724622326</v>
      </c>
    </row>
    <row r="1163" spans="1:18" x14ac:dyDescent="0.25">
      <c r="A1163">
        <v>711</v>
      </c>
      <c r="B1163">
        <v>13</v>
      </c>
      <c r="C1163">
        <v>44</v>
      </c>
      <c r="D1163">
        <v>59</v>
      </c>
      <c r="E1163">
        <v>493</v>
      </c>
      <c r="F1163">
        <v>928</v>
      </c>
      <c r="G1163" t="s">
        <v>5</v>
      </c>
      <c r="H1163" s="1">
        <f t="shared" si="291"/>
        <v>36852.875000001048</v>
      </c>
      <c r="I1163">
        <f t="shared" si="286"/>
        <v>1.3698000000000001</v>
      </c>
      <c r="J1163">
        <f t="shared" si="287"/>
        <v>3.6823999999999999</v>
      </c>
      <c r="K1163">
        <f t="shared" si="288"/>
        <v>3.8837999999999999</v>
      </c>
      <c r="L1163">
        <f t="shared" si="289"/>
        <v>-1.7181490200000011</v>
      </c>
      <c r="M1163">
        <f t="shared" si="290"/>
        <v>325.37199999999996</v>
      </c>
      <c r="O1163">
        <v>327</v>
      </c>
      <c r="P1163">
        <v>2100</v>
      </c>
      <c r="Q1163">
        <v>0.41699999999999998</v>
      </c>
      <c r="R1163">
        <f t="shared" si="298"/>
        <v>-0.41568643901112007</v>
      </c>
    </row>
    <row r="1164" spans="1:18" x14ac:dyDescent="0.25">
      <c r="A1164">
        <v>711</v>
      </c>
      <c r="B1164">
        <v>80</v>
      </c>
      <c r="C1164">
        <v>176</v>
      </c>
      <c r="D1164">
        <v>924</v>
      </c>
      <c r="E1164">
        <v>541</v>
      </c>
      <c r="F1164">
        <v>721</v>
      </c>
      <c r="G1164" t="s">
        <v>5</v>
      </c>
      <c r="H1164" s="1">
        <f t="shared" si="291"/>
        <v>36852.895833334383</v>
      </c>
      <c r="I1164">
        <f t="shared" si="286"/>
        <v>6.3680000000000003</v>
      </c>
      <c r="J1164">
        <f t="shared" si="287"/>
        <v>13.5296</v>
      </c>
      <c r="K1164">
        <f t="shared" si="288"/>
        <v>92.286799999999999</v>
      </c>
      <c r="L1164">
        <f t="shared" si="289"/>
        <v>2.6431636199999962</v>
      </c>
      <c r="M1164">
        <f t="shared" si="290"/>
        <v>253.12899999999999</v>
      </c>
      <c r="O1164">
        <v>327</v>
      </c>
      <c r="P1164">
        <v>2130</v>
      </c>
      <c r="Q1164">
        <v>0.41699999999999998</v>
      </c>
      <c r="R1164">
        <f t="shared" si="298"/>
        <v>-0.41901271401650814</v>
      </c>
    </row>
    <row r="1165" spans="1:18" x14ac:dyDescent="0.25">
      <c r="A1165">
        <v>711</v>
      </c>
      <c r="B1165">
        <v>103</v>
      </c>
      <c r="C1165">
        <v>176</v>
      </c>
      <c r="D1165">
        <v>894</v>
      </c>
      <c r="E1165">
        <v>533</v>
      </c>
      <c r="F1165">
        <v>777</v>
      </c>
      <c r="G1165" t="s">
        <v>5</v>
      </c>
      <c r="H1165" s="1">
        <f t="shared" si="291"/>
        <v>36852.916666667719</v>
      </c>
      <c r="I1165">
        <f t="shared" si="286"/>
        <v>8.0838000000000001</v>
      </c>
      <c r="J1165">
        <f t="shared" si="287"/>
        <v>13.5296</v>
      </c>
      <c r="K1165">
        <f t="shared" si="288"/>
        <v>89.220799999999997</v>
      </c>
      <c r="L1165">
        <f t="shared" si="289"/>
        <v>1.9130717799999979</v>
      </c>
      <c r="M1165">
        <f t="shared" si="290"/>
        <v>272.673</v>
      </c>
      <c r="O1165">
        <v>327</v>
      </c>
      <c r="P1165">
        <v>2200</v>
      </c>
      <c r="Q1165">
        <v>0.41499999999999998</v>
      </c>
      <c r="R1165">
        <f t="shared" si="298"/>
        <v>-0.41645074048075886</v>
      </c>
    </row>
    <row r="1166" spans="1:18" x14ac:dyDescent="0.25">
      <c r="A1166">
        <v>711</v>
      </c>
      <c r="B1166">
        <v>113</v>
      </c>
      <c r="C1166">
        <v>196</v>
      </c>
      <c r="D1166">
        <v>946</v>
      </c>
      <c r="E1166">
        <v>511</v>
      </c>
      <c r="F1166">
        <v>733</v>
      </c>
      <c r="G1166" t="s">
        <v>5</v>
      </c>
      <c r="H1166" s="1">
        <f t="shared" si="291"/>
        <v>36852.937500001055</v>
      </c>
      <c r="I1166">
        <f t="shared" si="286"/>
        <v>8.8298000000000005</v>
      </c>
      <c r="J1166">
        <f t="shared" si="287"/>
        <v>15.021600000000001</v>
      </c>
      <c r="K1166">
        <f t="shared" si="288"/>
        <v>94.535200000000003</v>
      </c>
      <c r="L1166">
        <f t="shared" si="289"/>
        <v>-8.806758000000281E-2</v>
      </c>
      <c r="M1166">
        <f t="shared" si="290"/>
        <v>257.31700000000001</v>
      </c>
      <c r="O1166">
        <v>327</v>
      </c>
      <c r="P1166">
        <v>2230</v>
      </c>
      <c r="Q1166">
        <v>0.41699999999999998</v>
      </c>
      <c r="R1166">
        <f t="shared" si="298"/>
        <v>-0.41693277111213362</v>
      </c>
    </row>
    <row r="1167" spans="1:18" x14ac:dyDescent="0.25">
      <c r="A1167">
        <v>711</v>
      </c>
      <c r="B1167">
        <v>109</v>
      </c>
      <c r="C1167">
        <v>164</v>
      </c>
      <c r="D1167">
        <v>913</v>
      </c>
      <c r="E1167">
        <v>524</v>
      </c>
      <c r="F1167">
        <v>521</v>
      </c>
      <c r="G1167" t="s">
        <v>5</v>
      </c>
      <c r="H1167" s="1">
        <f t="shared" si="291"/>
        <v>36852.958333334391</v>
      </c>
      <c r="I1167">
        <f t="shared" si="286"/>
        <v>8.5313999999999997</v>
      </c>
      <c r="J1167">
        <f t="shared" si="287"/>
        <v>12.634400000000001</v>
      </c>
      <c r="K1167">
        <f t="shared" si="288"/>
        <v>91.162599999999998</v>
      </c>
      <c r="L1167">
        <f t="shared" si="289"/>
        <v>1.093251519999999</v>
      </c>
      <c r="M1167">
        <f t="shared" si="290"/>
        <v>183.32899999999998</v>
      </c>
      <c r="O1167">
        <v>327</v>
      </c>
      <c r="P1167">
        <v>2300</v>
      </c>
      <c r="Q1167">
        <v>0.41699999999999998</v>
      </c>
      <c r="R1167">
        <f t="shared" si="298"/>
        <v>-0.4178336639880883</v>
      </c>
    </row>
    <row r="1168" spans="1:18" x14ac:dyDescent="0.25">
      <c r="A1168">
        <v>711</v>
      </c>
      <c r="B1168">
        <v>120</v>
      </c>
      <c r="C1168">
        <v>188</v>
      </c>
      <c r="D1168">
        <v>919</v>
      </c>
      <c r="E1168">
        <v>517</v>
      </c>
      <c r="F1168">
        <v>741</v>
      </c>
      <c r="G1168" t="s">
        <v>5</v>
      </c>
      <c r="H1168" s="1">
        <f t="shared" si="291"/>
        <v>36852.979166667727</v>
      </c>
      <c r="I1168">
        <f t="shared" si="286"/>
        <v>9.3520000000000003</v>
      </c>
      <c r="J1168">
        <f t="shared" si="287"/>
        <v>14.424799999999999</v>
      </c>
      <c r="K1168">
        <f t="shared" si="288"/>
        <v>91.775800000000004</v>
      </c>
      <c r="L1168">
        <f t="shared" si="289"/>
        <v>0.45673578000000115</v>
      </c>
      <c r="M1168">
        <f t="shared" si="290"/>
        <v>260.10899999999998</v>
      </c>
      <c r="O1168">
        <v>327</v>
      </c>
      <c r="P1168">
        <v>2330</v>
      </c>
      <c r="Q1168">
        <v>0.42</v>
      </c>
      <c r="R1168">
        <f t="shared" si="298"/>
        <v>-0.42035099561587258</v>
      </c>
    </row>
    <row r="1169" spans="1:18" x14ac:dyDescent="0.25">
      <c r="A1169">
        <v>711</v>
      </c>
      <c r="B1169">
        <v>129</v>
      </c>
      <c r="C1169">
        <v>216</v>
      </c>
      <c r="D1169">
        <v>918</v>
      </c>
      <c r="E1169">
        <v>507</v>
      </c>
      <c r="F1169">
        <v>831</v>
      </c>
      <c r="G1169" t="s">
        <v>5</v>
      </c>
      <c r="H1169" s="1">
        <f t="shared" si="291"/>
        <v>36853.000000001062</v>
      </c>
      <c r="I1169">
        <f t="shared" si="286"/>
        <v>10.023400000000001</v>
      </c>
      <c r="J1169">
        <f t="shared" si="287"/>
        <v>16.513599999999997</v>
      </c>
      <c r="K1169">
        <f t="shared" si="288"/>
        <v>91.673599999999993</v>
      </c>
      <c r="L1169">
        <f t="shared" si="289"/>
        <v>-0.45086902000000562</v>
      </c>
      <c r="M1169">
        <f t="shared" si="290"/>
        <v>291.51900000000001</v>
      </c>
      <c r="O1169">
        <v>327</v>
      </c>
      <c r="P1169">
        <v>2400</v>
      </c>
      <c r="Q1169">
        <v>0.42</v>
      </c>
      <c r="R1169">
        <f t="shared" si="298"/>
        <v>-0.41965322497575724</v>
      </c>
    </row>
    <row r="1170" spans="1:18" x14ac:dyDescent="0.25">
      <c r="A1170">
        <v>711</v>
      </c>
      <c r="B1170">
        <v>105</v>
      </c>
      <c r="C1170">
        <v>196</v>
      </c>
      <c r="D1170">
        <v>999</v>
      </c>
      <c r="E1170">
        <v>491</v>
      </c>
      <c r="F1170">
        <v>901</v>
      </c>
      <c r="G1170" t="s">
        <v>5</v>
      </c>
      <c r="H1170" s="1">
        <f t="shared" si="291"/>
        <v>36853.020833334398</v>
      </c>
      <c r="I1170">
        <f t="shared" si="286"/>
        <v>8.2330000000000005</v>
      </c>
      <c r="J1170">
        <f t="shared" si="287"/>
        <v>15.021600000000001</v>
      </c>
      <c r="K1170">
        <f t="shared" si="288"/>
        <v>99.951799999999992</v>
      </c>
      <c r="L1170">
        <f t="shared" si="289"/>
        <v>-1.8988683800000024</v>
      </c>
      <c r="M1170">
        <f t="shared" si="290"/>
        <v>315.94899999999996</v>
      </c>
      <c r="O1170">
        <v>328</v>
      </c>
      <c r="P1170">
        <v>30</v>
      </c>
      <c r="Q1170">
        <v>0.42</v>
      </c>
      <c r="R1170">
        <f t="shared" si="298"/>
        <v>-0.41853758812938935</v>
      </c>
    </row>
    <row r="1171" spans="1:18" x14ac:dyDescent="0.25">
      <c r="A1171">
        <v>711</v>
      </c>
      <c r="B1171">
        <v>118</v>
      </c>
      <c r="C1171">
        <v>172</v>
      </c>
      <c r="D1171">
        <v>900</v>
      </c>
      <c r="E1171">
        <v>489</v>
      </c>
      <c r="F1171">
        <v>921</v>
      </c>
      <c r="G1171" t="s">
        <v>5</v>
      </c>
      <c r="H1171" s="1">
        <f t="shared" si="291"/>
        <v>36853.041666667734</v>
      </c>
      <c r="I1171">
        <f t="shared" si="286"/>
        <v>9.2027999999999999</v>
      </c>
      <c r="J1171">
        <f t="shared" si="287"/>
        <v>13.231199999999999</v>
      </c>
      <c r="K1171">
        <f t="shared" si="288"/>
        <v>89.834000000000003</v>
      </c>
      <c r="L1171">
        <f t="shared" si="289"/>
        <v>-2.0795075800000036</v>
      </c>
      <c r="M1171">
        <f t="shared" si="290"/>
        <v>322.92899999999997</v>
      </c>
      <c r="O1171">
        <v>328</v>
      </c>
      <c r="P1171">
        <v>100</v>
      </c>
      <c r="Q1171">
        <v>0.42199999999999999</v>
      </c>
      <c r="R1171">
        <f t="shared" si="298"/>
        <v>-0.4203905751391635</v>
      </c>
    </row>
    <row r="1172" spans="1:18" x14ac:dyDescent="0.25">
      <c r="A1172">
        <v>711</v>
      </c>
      <c r="B1172">
        <v>121</v>
      </c>
      <c r="C1172">
        <v>184</v>
      </c>
      <c r="D1172">
        <v>965</v>
      </c>
      <c r="E1172">
        <v>490</v>
      </c>
      <c r="F1172">
        <v>924</v>
      </c>
      <c r="G1172" t="s">
        <v>5</v>
      </c>
      <c r="H1172" s="1">
        <f t="shared" si="291"/>
        <v>36853.06250000107</v>
      </c>
      <c r="I1172">
        <f t="shared" si="286"/>
        <v>9.4266000000000005</v>
      </c>
      <c r="J1172">
        <f t="shared" si="287"/>
        <v>14.1264</v>
      </c>
      <c r="K1172">
        <f t="shared" si="288"/>
        <v>96.477000000000004</v>
      </c>
      <c r="L1172">
        <f t="shared" si="289"/>
        <v>-1.9891980000000031</v>
      </c>
      <c r="M1172">
        <f t="shared" si="290"/>
        <v>323.976</v>
      </c>
      <c r="O1172">
        <v>328</v>
      </c>
      <c r="P1172">
        <v>130</v>
      </c>
      <c r="Q1172">
        <v>0.42199999999999999</v>
      </c>
      <c r="R1172">
        <f t="shared" si="298"/>
        <v>-0.42046059776380301</v>
      </c>
    </row>
    <row r="1173" spans="1:18" x14ac:dyDescent="0.25">
      <c r="A1173">
        <v>711</v>
      </c>
      <c r="B1173">
        <v>116</v>
      </c>
      <c r="C1173">
        <v>176</v>
      </c>
      <c r="D1173">
        <v>969</v>
      </c>
      <c r="E1173">
        <v>490</v>
      </c>
      <c r="F1173">
        <v>925</v>
      </c>
      <c r="G1173" t="s">
        <v>5</v>
      </c>
      <c r="H1173" s="1">
        <f t="shared" si="291"/>
        <v>36853.083333334405</v>
      </c>
      <c r="I1173">
        <f t="shared" si="286"/>
        <v>9.0536000000000012</v>
      </c>
      <c r="J1173">
        <f t="shared" si="287"/>
        <v>13.5296</v>
      </c>
      <c r="K1173">
        <f t="shared" si="288"/>
        <v>96.885800000000003</v>
      </c>
      <c r="L1173">
        <f t="shared" si="289"/>
        <v>-1.9891980000000031</v>
      </c>
      <c r="M1173">
        <f t="shared" si="290"/>
        <v>324.32499999999999</v>
      </c>
      <c r="O1173">
        <v>328</v>
      </c>
      <c r="P1173">
        <v>200</v>
      </c>
      <c r="Q1173">
        <v>0.42199999999999999</v>
      </c>
      <c r="R1173">
        <f t="shared" si="298"/>
        <v>-0.42046059776380301</v>
      </c>
    </row>
    <row r="1174" spans="1:18" x14ac:dyDescent="0.25">
      <c r="A1174">
        <v>711</v>
      </c>
      <c r="B1174">
        <v>119</v>
      </c>
      <c r="C1174">
        <v>184</v>
      </c>
      <c r="D1174">
        <v>940</v>
      </c>
      <c r="E1174">
        <v>502</v>
      </c>
      <c r="F1174">
        <v>919</v>
      </c>
      <c r="G1174" t="s">
        <v>5</v>
      </c>
      <c r="H1174" s="1">
        <f t="shared" si="291"/>
        <v>36853.104166667741</v>
      </c>
      <c r="I1174">
        <f t="shared" si="286"/>
        <v>9.2774000000000001</v>
      </c>
      <c r="J1174">
        <f t="shared" si="287"/>
        <v>14.1264</v>
      </c>
      <c r="K1174">
        <f t="shared" si="288"/>
        <v>93.921999999999997</v>
      </c>
      <c r="L1174">
        <f t="shared" si="289"/>
        <v>-0.9039199200000021</v>
      </c>
      <c r="M1174">
        <f t="shared" si="290"/>
        <v>322.23099999999999</v>
      </c>
      <c r="O1174">
        <v>328</v>
      </c>
      <c r="P1174">
        <v>230</v>
      </c>
      <c r="Q1174">
        <v>0.42199999999999999</v>
      </c>
      <c r="R1174">
        <f t="shared" si="298"/>
        <v>-0.42130117094870312</v>
      </c>
    </row>
    <row r="1175" spans="1:18" x14ac:dyDescent="0.25">
      <c r="A1175">
        <v>711</v>
      </c>
      <c r="B1175">
        <v>122</v>
      </c>
      <c r="C1175">
        <v>196</v>
      </c>
      <c r="D1175">
        <v>913</v>
      </c>
      <c r="E1175">
        <v>502</v>
      </c>
      <c r="F1175">
        <v>925</v>
      </c>
      <c r="G1175" t="s">
        <v>5</v>
      </c>
      <c r="H1175" s="1">
        <f t="shared" si="291"/>
        <v>36853.125000001077</v>
      </c>
      <c r="I1175">
        <f t="shared" si="286"/>
        <v>9.5012000000000008</v>
      </c>
      <c r="J1175">
        <f t="shared" si="287"/>
        <v>15.021600000000001</v>
      </c>
      <c r="K1175">
        <f t="shared" si="288"/>
        <v>91.162599999999998</v>
      </c>
      <c r="L1175">
        <f t="shared" si="289"/>
        <v>-0.9039199200000021</v>
      </c>
      <c r="M1175">
        <f t="shared" si="290"/>
        <v>324.32499999999999</v>
      </c>
      <c r="O1175">
        <v>328</v>
      </c>
      <c r="P1175">
        <v>300</v>
      </c>
      <c r="Q1175">
        <v>0.42199999999999999</v>
      </c>
      <c r="R1175">
        <f t="shared" si="298"/>
        <v>-0.42130117094870312</v>
      </c>
    </row>
    <row r="1176" spans="1:18" x14ac:dyDescent="0.25">
      <c r="A1176">
        <v>711</v>
      </c>
      <c r="B1176">
        <v>139</v>
      </c>
      <c r="C1176">
        <v>208</v>
      </c>
      <c r="D1176">
        <v>938</v>
      </c>
      <c r="E1176">
        <v>504</v>
      </c>
      <c r="F1176">
        <v>928</v>
      </c>
      <c r="G1176" t="s">
        <v>5</v>
      </c>
      <c r="H1176" s="1">
        <f t="shared" si="291"/>
        <v>36853.145833334413</v>
      </c>
      <c r="I1176">
        <f t="shared" si="286"/>
        <v>10.769400000000001</v>
      </c>
      <c r="J1176">
        <f t="shared" si="287"/>
        <v>15.9168</v>
      </c>
      <c r="K1176">
        <f t="shared" si="288"/>
        <v>93.717600000000004</v>
      </c>
      <c r="L1176">
        <f t="shared" si="289"/>
        <v>-0.72275968000000068</v>
      </c>
      <c r="M1176">
        <f t="shared" si="290"/>
        <v>325.37199999999996</v>
      </c>
      <c r="O1176">
        <v>328</v>
      </c>
      <c r="P1176">
        <v>330</v>
      </c>
      <c r="Q1176">
        <v>0.42199999999999999</v>
      </c>
      <c r="R1176">
        <f t="shared" si="298"/>
        <v>-0.42144132049386362</v>
      </c>
    </row>
    <row r="1177" spans="1:18" x14ac:dyDescent="0.25">
      <c r="A1177">
        <v>711</v>
      </c>
      <c r="B1177">
        <v>133</v>
      </c>
      <c r="C1177">
        <v>216</v>
      </c>
      <c r="D1177">
        <v>946</v>
      </c>
      <c r="E1177">
        <v>502</v>
      </c>
      <c r="F1177">
        <v>929</v>
      </c>
      <c r="G1177" t="s">
        <v>5</v>
      </c>
      <c r="H1177" s="1">
        <f t="shared" si="291"/>
        <v>36853.166666667748</v>
      </c>
      <c r="I1177">
        <f t="shared" si="286"/>
        <v>10.3218</v>
      </c>
      <c r="J1177">
        <f t="shared" si="287"/>
        <v>16.513599999999997</v>
      </c>
      <c r="K1177">
        <f t="shared" si="288"/>
        <v>94.535200000000003</v>
      </c>
      <c r="L1177">
        <f t="shared" si="289"/>
        <v>-0.9039199200000021</v>
      </c>
      <c r="M1177">
        <f t="shared" si="290"/>
        <v>325.721</v>
      </c>
      <c r="O1177">
        <v>328</v>
      </c>
      <c r="P1177">
        <v>400</v>
      </c>
      <c r="Q1177">
        <v>0.42199999999999999</v>
      </c>
      <c r="R1177">
        <f t="shared" si="298"/>
        <v>-0.42130117094870312</v>
      </c>
    </row>
    <row r="1178" spans="1:18" x14ac:dyDescent="0.25">
      <c r="A1178">
        <v>711</v>
      </c>
      <c r="B1178">
        <v>123</v>
      </c>
      <c r="C1178">
        <v>200</v>
      </c>
      <c r="D1178">
        <v>985</v>
      </c>
      <c r="E1178">
        <v>503</v>
      </c>
      <c r="F1178">
        <v>929</v>
      </c>
      <c r="G1178" t="s">
        <v>5</v>
      </c>
      <c r="H1178" s="1">
        <f t="shared" si="291"/>
        <v>36853.187500001084</v>
      </c>
      <c r="I1178">
        <f t="shared" si="286"/>
        <v>9.575800000000001</v>
      </c>
      <c r="J1178">
        <f t="shared" si="287"/>
        <v>15.32</v>
      </c>
      <c r="K1178">
        <f t="shared" si="288"/>
        <v>98.521000000000001</v>
      </c>
      <c r="L1178">
        <f t="shared" si="289"/>
        <v>-0.81334982000000133</v>
      </c>
      <c r="M1178">
        <f t="shared" si="290"/>
        <v>325.721</v>
      </c>
      <c r="O1178">
        <v>328</v>
      </c>
      <c r="P1178">
        <v>430</v>
      </c>
      <c r="Q1178">
        <v>0.42199999999999999</v>
      </c>
      <c r="R1178">
        <f t="shared" si="298"/>
        <v>-0.42137124379636948</v>
      </c>
    </row>
    <row r="1179" spans="1:18" x14ac:dyDescent="0.25">
      <c r="A1179">
        <v>711</v>
      </c>
      <c r="B1179">
        <v>98</v>
      </c>
      <c r="C1179">
        <v>184</v>
      </c>
      <c r="D1179">
        <v>791</v>
      </c>
      <c r="E1179">
        <v>505</v>
      </c>
      <c r="F1179">
        <v>932</v>
      </c>
      <c r="G1179" t="s">
        <v>5</v>
      </c>
      <c r="H1179" s="1">
        <f t="shared" si="291"/>
        <v>36853.20833333442</v>
      </c>
      <c r="I1179">
        <f t="shared" si="286"/>
        <v>7.7108000000000008</v>
      </c>
      <c r="J1179">
        <f t="shared" si="287"/>
        <v>14.1264</v>
      </c>
      <c r="K1179">
        <f t="shared" si="288"/>
        <v>78.694199999999995</v>
      </c>
      <c r="L1179">
        <f t="shared" si="289"/>
        <v>-0.6321494999999997</v>
      </c>
      <c r="M1179">
        <f t="shared" si="290"/>
        <v>326.76799999999997</v>
      </c>
      <c r="O1179">
        <v>328</v>
      </c>
      <c r="P1179">
        <v>500</v>
      </c>
      <c r="Q1179">
        <v>0.42199999999999999</v>
      </c>
      <c r="R1179">
        <f t="shared" si="298"/>
        <v>-0.42151140103926549</v>
      </c>
    </row>
    <row r="1180" spans="1:18" x14ac:dyDescent="0.25">
      <c r="A1180">
        <v>711</v>
      </c>
      <c r="B1180">
        <v>38</v>
      </c>
      <c r="C1180">
        <v>72</v>
      </c>
      <c r="D1180">
        <v>507</v>
      </c>
      <c r="E1180">
        <v>505</v>
      </c>
      <c r="F1180">
        <v>933</v>
      </c>
      <c r="G1180" t="s">
        <v>5</v>
      </c>
      <c r="H1180" s="1">
        <f t="shared" si="291"/>
        <v>36853.229166667756</v>
      </c>
      <c r="I1180">
        <f t="shared" si="286"/>
        <v>3.2347999999999999</v>
      </c>
      <c r="J1180">
        <f t="shared" si="287"/>
        <v>5.7712000000000003</v>
      </c>
      <c r="K1180">
        <f t="shared" si="288"/>
        <v>49.669399999999996</v>
      </c>
      <c r="L1180">
        <f t="shared" si="289"/>
        <v>-0.6321494999999997</v>
      </c>
      <c r="M1180">
        <f t="shared" si="290"/>
        <v>327.11699999999996</v>
      </c>
      <c r="O1180">
        <v>328</v>
      </c>
      <c r="P1180">
        <v>530</v>
      </c>
      <c r="Q1180">
        <v>0.42</v>
      </c>
      <c r="R1180">
        <f t="shared" si="298"/>
        <v>-0.41951371667415049</v>
      </c>
    </row>
    <row r="1181" spans="1:18" x14ac:dyDescent="0.25">
      <c r="A1181">
        <v>711</v>
      </c>
      <c r="B1181">
        <v>65</v>
      </c>
      <c r="C1181">
        <v>116</v>
      </c>
      <c r="D1181">
        <v>516</v>
      </c>
      <c r="E1181">
        <v>501</v>
      </c>
      <c r="F1181">
        <v>933</v>
      </c>
      <c r="G1181" t="s">
        <v>5</v>
      </c>
      <c r="H1181" s="1">
        <f t="shared" si="291"/>
        <v>36853.250000001091</v>
      </c>
      <c r="I1181">
        <f t="shared" si="286"/>
        <v>5.2490000000000006</v>
      </c>
      <c r="J1181">
        <f t="shared" si="287"/>
        <v>9.0536000000000012</v>
      </c>
      <c r="K1181">
        <f t="shared" si="288"/>
        <v>50.589199999999998</v>
      </c>
      <c r="L1181">
        <f t="shared" si="289"/>
        <v>-0.99446998000000253</v>
      </c>
      <c r="M1181">
        <f t="shared" si="290"/>
        <v>327.11699999999996</v>
      </c>
      <c r="O1181">
        <v>328</v>
      </c>
      <c r="P1181">
        <v>600</v>
      </c>
      <c r="Q1181">
        <v>0.42199999999999999</v>
      </c>
      <c r="R1181">
        <f t="shared" si="298"/>
        <v>-0.4212311019527859</v>
      </c>
    </row>
    <row r="1182" spans="1:18" x14ac:dyDescent="0.25">
      <c r="A1182">
        <v>711</v>
      </c>
      <c r="B1182">
        <v>35</v>
      </c>
      <c r="C1182">
        <v>76</v>
      </c>
      <c r="D1182">
        <v>356</v>
      </c>
      <c r="E1182">
        <v>502</v>
      </c>
      <c r="F1182">
        <v>933</v>
      </c>
      <c r="G1182" t="s">
        <v>5</v>
      </c>
      <c r="H1182" s="1">
        <f t="shared" si="291"/>
        <v>36853.270833334427</v>
      </c>
      <c r="I1182">
        <f t="shared" si="286"/>
        <v>3.0109999999999997</v>
      </c>
      <c r="J1182">
        <f t="shared" si="287"/>
        <v>6.0696000000000003</v>
      </c>
      <c r="K1182">
        <f t="shared" si="288"/>
        <v>34.237200000000001</v>
      </c>
      <c r="L1182">
        <f t="shared" si="289"/>
        <v>-0.9039199200000021</v>
      </c>
      <c r="M1182">
        <f t="shared" si="290"/>
        <v>327.11699999999996</v>
      </c>
      <c r="O1182">
        <v>328</v>
      </c>
      <c r="P1182">
        <v>630</v>
      </c>
      <c r="Q1182">
        <v>0.41499999999999998</v>
      </c>
      <c r="R1182">
        <f t="shared" si="298"/>
        <v>-0.41431276289979097</v>
      </c>
    </row>
    <row r="1183" spans="1:18" x14ac:dyDescent="0.25">
      <c r="A1183">
        <v>711</v>
      </c>
      <c r="B1183">
        <v>16</v>
      </c>
      <c r="C1183">
        <v>36</v>
      </c>
      <c r="D1183">
        <v>849</v>
      </c>
      <c r="E1183">
        <v>505</v>
      </c>
      <c r="F1183">
        <v>933</v>
      </c>
      <c r="G1183" t="s">
        <v>5</v>
      </c>
      <c r="H1183" s="1">
        <f t="shared" si="291"/>
        <v>36853.291666667763</v>
      </c>
      <c r="I1183">
        <f t="shared" si="286"/>
        <v>1.5935999999999999</v>
      </c>
      <c r="J1183">
        <f t="shared" si="287"/>
        <v>3.0855999999999999</v>
      </c>
      <c r="K1183">
        <f t="shared" si="288"/>
        <v>84.621799999999993</v>
      </c>
      <c r="L1183">
        <f t="shared" si="289"/>
        <v>-0.6321494999999997</v>
      </c>
      <c r="M1183">
        <f t="shared" si="290"/>
        <v>327.11699999999996</v>
      </c>
      <c r="O1183">
        <v>328</v>
      </c>
      <c r="P1183">
        <v>700</v>
      </c>
      <c r="Q1183">
        <v>0.41499999999999998</v>
      </c>
      <c r="R1183">
        <f t="shared" si="298"/>
        <v>-0.41451950576136298</v>
      </c>
    </row>
    <row r="1184" spans="1:18" x14ac:dyDescent="0.25">
      <c r="A1184">
        <v>711</v>
      </c>
      <c r="B1184">
        <v>25</v>
      </c>
      <c r="C1184">
        <v>56</v>
      </c>
      <c r="D1184">
        <v>263</v>
      </c>
      <c r="E1184">
        <v>506</v>
      </c>
      <c r="F1184">
        <v>933</v>
      </c>
      <c r="G1184" t="s">
        <v>5</v>
      </c>
      <c r="H1184" s="1">
        <f t="shared" si="291"/>
        <v>36853.312500001099</v>
      </c>
      <c r="I1184">
        <f t="shared" si="286"/>
        <v>2.2650000000000001</v>
      </c>
      <c r="J1184">
        <f t="shared" si="287"/>
        <v>4.5776000000000003</v>
      </c>
      <c r="K1184">
        <f t="shared" si="288"/>
        <v>24.732599999999998</v>
      </c>
      <c r="L1184">
        <f t="shared" si="289"/>
        <v>-0.54151927999999927</v>
      </c>
      <c r="M1184">
        <f t="shared" si="290"/>
        <v>327.11699999999996</v>
      </c>
      <c r="O1184">
        <v>328</v>
      </c>
      <c r="P1184">
        <v>730</v>
      </c>
      <c r="Q1184">
        <v>0.41499999999999998</v>
      </c>
      <c r="R1184">
        <f t="shared" si="298"/>
        <v>-0.41458842761545578</v>
      </c>
    </row>
    <row r="1185" spans="1:18" x14ac:dyDescent="0.25">
      <c r="A1185">
        <v>711</v>
      </c>
      <c r="B1185">
        <v>11</v>
      </c>
      <c r="C1185">
        <v>40</v>
      </c>
      <c r="D1185">
        <v>897</v>
      </c>
      <c r="E1185">
        <v>509</v>
      </c>
      <c r="F1185">
        <v>933</v>
      </c>
      <c r="G1185" t="s">
        <v>5</v>
      </c>
      <c r="H1185" s="1">
        <f t="shared" si="291"/>
        <v>36853.333333334434</v>
      </c>
      <c r="I1185">
        <f t="shared" si="286"/>
        <v>1.2206000000000001</v>
      </c>
      <c r="J1185">
        <f t="shared" si="287"/>
        <v>3.3839999999999999</v>
      </c>
      <c r="K1185">
        <f t="shared" si="288"/>
        <v>89.5274</v>
      </c>
      <c r="L1185">
        <f t="shared" si="289"/>
        <v>-0.26950838000000443</v>
      </c>
      <c r="M1185">
        <f t="shared" si="290"/>
        <v>327.11699999999996</v>
      </c>
      <c r="O1185">
        <v>328</v>
      </c>
      <c r="P1185">
        <v>800</v>
      </c>
      <c r="Q1185">
        <v>0.41199999999999998</v>
      </c>
      <c r="R1185">
        <f t="shared" si="298"/>
        <v>-0.41179669621937154</v>
      </c>
    </row>
    <row r="1186" spans="1:18" x14ac:dyDescent="0.25">
      <c r="A1186">
        <v>711</v>
      </c>
      <c r="B1186">
        <v>14</v>
      </c>
      <c r="C1186">
        <v>56</v>
      </c>
      <c r="D1186">
        <v>289</v>
      </c>
      <c r="E1186">
        <v>514</v>
      </c>
      <c r="F1186">
        <v>933</v>
      </c>
      <c r="G1186" t="s">
        <v>5</v>
      </c>
      <c r="H1186" s="1">
        <f t="shared" si="291"/>
        <v>36853.35416666777</v>
      </c>
      <c r="I1186">
        <f t="shared" si="286"/>
        <v>1.4443999999999999</v>
      </c>
      <c r="J1186">
        <f t="shared" si="287"/>
        <v>4.5776000000000003</v>
      </c>
      <c r="K1186">
        <f t="shared" si="288"/>
        <v>27.389799999999997</v>
      </c>
      <c r="L1186">
        <f t="shared" si="289"/>
        <v>0.18424391999999923</v>
      </c>
      <c r="M1186">
        <f t="shared" si="290"/>
        <v>327.11699999999996</v>
      </c>
      <c r="O1186">
        <v>328</v>
      </c>
      <c r="P1186">
        <v>830</v>
      </c>
      <c r="Q1186">
        <v>0.41</v>
      </c>
      <c r="R1186">
        <f t="shared" si="298"/>
        <v>-0.41013825237647267</v>
      </c>
    </row>
    <row r="1187" spans="1:18" x14ac:dyDescent="0.25">
      <c r="A1187">
        <v>711</v>
      </c>
      <c r="B1187">
        <v>22</v>
      </c>
      <c r="C1187">
        <v>60</v>
      </c>
      <c r="D1187">
        <v>842</v>
      </c>
      <c r="E1187">
        <v>517</v>
      </c>
      <c r="F1187">
        <v>933</v>
      </c>
      <c r="G1187" t="s">
        <v>5</v>
      </c>
      <c r="H1187" s="1">
        <f t="shared" si="291"/>
        <v>36853.375000001106</v>
      </c>
      <c r="I1187">
        <f t="shared" si="286"/>
        <v>2.0411999999999999</v>
      </c>
      <c r="J1187">
        <f t="shared" si="287"/>
        <v>4.8760000000000003</v>
      </c>
      <c r="K1187">
        <f t="shared" si="288"/>
        <v>83.906400000000005</v>
      </c>
      <c r="L1187">
        <f t="shared" si="289"/>
        <v>0.45673578000000115</v>
      </c>
      <c r="M1187">
        <f t="shared" si="290"/>
        <v>327.11699999999996</v>
      </c>
      <c r="O1187">
        <v>328</v>
      </c>
      <c r="P1187">
        <v>900</v>
      </c>
      <c r="Q1187">
        <v>0.41199999999999998</v>
      </c>
      <c r="R1187">
        <f t="shared" si="298"/>
        <v>-0.41234430998509403</v>
      </c>
    </row>
    <row r="1188" spans="1:18" x14ac:dyDescent="0.25">
      <c r="A1188">
        <v>711</v>
      </c>
      <c r="B1188">
        <v>38</v>
      </c>
      <c r="C1188">
        <v>124</v>
      </c>
      <c r="D1188">
        <v>537</v>
      </c>
      <c r="E1188">
        <v>516</v>
      </c>
      <c r="F1188">
        <v>925</v>
      </c>
      <c r="G1188" t="s">
        <v>5</v>
      </c>
      <c r="H1188" s="1">
        <f t="shared" si="291"/>
        <v>36853.395833334442</v>
      </c>
      <c r="I1188">
        <f t="shared" si="286"/>
        <v>3.2347999999999999</v>
      </c>
      <c r="J1188">
        <f t="shared" si="287"/>
        <v>9.6503999999999994</v>
      </c>
      <c r="K1188">
        <f t="shared" si="288"/>
        <v>52.735399999999998</v>
      </c>
      <c r="L1188">
        <f t="shared" si="289"/>
        <v>0.36588512000000062</v>
      </c>
      <c r="M1188">
        <f t="shared" si="290"/>
        <v>324.32499999999999</v>
      </c>
      <c r="O1188">
        <v>328</v>
      </c>
      <c r="P1188">
        <v>930</v>
      </c>
      <c r="Q1188">
        <v>0.41</v>
      </c>
      <c r="R1188">
        <f t="shared" si="298"/>
        <v>-0.41027450612694893</v>
      </c>
    </row>
    <row r="1189" spans="1:18" x14ac:dyDescent="0.25">
      <c r="A1189">
        <v>711</v>
      </c>
      <c r="B1189">
        <v>52</v>
      </c>
      <c r="C1189">
        <v>164</v>
      </c>
      <c r="D1189">
        <v>859</v>
      </c>
      <c r="E1189">
        <v>518</v>
      </c>
      <c r="F1189">
        <v>879</v>
      </c>
      <c r="G1189" t="s">
        <v>5</v>
      </c>
      <c r="H1189" s="1">
        <f t="shared" si="291"/>
        <v>36853.416666667777</v>
      </c>
      <c r="I1189">
        <f t="shared" si="286"/>
        <v>4.2792000000000003</v>
      </c>
      <c r="J1189">
        <f t="shared" si="287"/>
        <v>12.634400000000001</v>
      </c>
      <c r="K1189">
        <f t="shared" si="288"/>
        <v>85.643799999999999</v>
      </c>
      <c r="L1189">
        <f t="shared" si="289"/>
        <v>0.5476064799999949</v>
      </c>
      <c r="M1189">
        <f t="shared" si="290"/>
        <v>308.27099999999996</v>
      </c>
      <c r="O1189">
        <v>328</v>
      </c>
      <c r="P1189">
        <v>1000</v>
      </c>
      <c r="Q1189">
        <v>0.41199999999999998</v>
      </c>
      <c r="R1189">
        <f t="shared" si="298"/>
        <v>-0.41241277852142028</v>
      </c>
    </row>
    <row r="1190" spans="1:18" x14ac:dyDescent="0.25">
      <c r="A1190">
        <v>11</v>
      </c>
      <c r="B1190">
        <v>38</v>
      </c>
      <c r="C1190">
        <v>92</v>
      </c>
      <c r="D1190">
        <v>444</v>
      </c>
      <c r="E1190">
        <v>521</v>
      </c>
      <c r="F1190">
        <v>789</v>
      </c>
      <c r="G1190" t="s">
        <v>5</v>
      </c>
      <c r="H1190" s="1">
        <f t="shared" si="291"/>
        <v>36853.437500001113</v>
      </c>
      <c r="I1190">
        <f t="shared" ref="I1190:I1205" si="299">0.4+0.0746*B1190</f>
        <v>3.2347999999999999</v>
      </c>
      <c r="J1190">
        <f t="shared" ref="J1190:J1205" si="300">0.4+0.0746*C1190</f>
        <v>7.2632000000000003</v>
      </c>
      <c r="K1190">
        <f t="shared" ref="K1190:K1205" si="301">-2.146+0.1022*D1190</f>
        <v>43.230800000000002</v>
      </c>
      <c r="L1190">
        <f t="shared" ref="L1190:L1205" si="302">-43.84+0.0805*E1190+0.00001002*E1190^2</f>
        <v>0.8203388199999968</v>
      </c>
      <c r="M1190">
        <f t="shared" ref="M1190:M1205" si="303">1.5+0.349*F1190</f>
        <v>276.86099999999999</v>
      </c>
      <c r="O1190">
        <v>328</v>
      </c>
      <c r="P1190">
        <v>1030</v>
      </c>
      <c r="Q1190">
        <v>0.41</v>
      </c>
      <c r="R1190">
        <f t="shared" si="298"/>
        <v>-0.41061520550411224</v>
      </c>
    </row>
    <row r="1191" spans="1:18" x14ac:dyDescent="0.25">
      <c r="A1191">
        <v>11</v>
      </c>
      <c r="B1191">
        <v>18</v>
      </c>
      <c r="C1191">
        <v>60</v>
      </c>
      <c r="D1191">
        <v>122</v>
      </c>
      <c r="E1191">
        <v>525</v>
      </c>
      <c r="F1191">
        <v>777</v>
      </c>
      <c r="G1191" t="s">
        <v>5</v>
      </c>
      <c r="H1191" s="1">
        <f t="shared" si="291"/>
        <v>36853.458333334449</v>
      </c>
      <c r="I1191">
        <f t="shared" si="299"/>
        <v>1.7427999999999999</v>
      </c>
      <c r="J1191">
        <f t="shared" si="300"/>
        <v>4.8760000000000003</v>
      </c>
      <c r="K1191">
        <f t="shared" si="301"/>
        <v>10.322399999999998</v>
      </c>
      <c r="L1191">
        <f t="shared" si="302"/>
        <v>1.1842624999999996</v>
      </c>
      <c r="M1191">
        <f t="shared" si="303"/>
        <v>272.673</v>
      </c>
      <c r="O1191">
        <v>328</v>
      </c>
      <c r="P1191">
        <v>1100</v>
      </c>
      <c r="Q1191">
        <v>0.41199999999999998</v>
      </c>
      <c r="R1191">
        <f t="shared" si="298"/>
        <v>-0.41289216262856709</v>
      </c>
    </row>
    <row r="1192" spans="1:18" x14ac:dyDescent="0.25">
      <c r="A1192">
        <v>11</v>
      </c>
      <c r="B1192">
        <v>13</v>
      </c>
      <c r="C1192">
        <v>40</v>
      </c>
      <c r="D1192">
        <v>142</v>
      </c>
      <c r="E1192">
        <v>529</v>
      </c>
      <c r="F1192">
        <v>725</v>
      </c>
      <c r="G1192" t="s">
        <v>5</v>
      </c>
      <c r="H1192" s="1">
        <f t="shared" si="291"/>
        <v>36853.479166667785</v>
      </c>
      <c r="I1192">
        <f t="shared" si="299"/>
        <v>1.3698000000000001</v>
      </c>
      <c r="J1192">
        <f t="shared" si="300"/>
        <v>3.3839999999999999</v>
      </c>
      <c r="K1192">
        <f t="shared" si="301"/>
        <v>12.366399999999999</v>
      </c>
      <c r="L1192">
        <f t="shared" si="302"/>
        <v>1.5485068199999952</v>
      </c>
      <c r="M1192">
        <f t="shared" si="303"/>
        <v>254.52499999999998</v>
      </c>
      <c r="O1192">
        <v>328</v>
      </c>
      <c r="P1192">
        <v>1130</v>
      </c>
      <c r="Q1192">
        <v>0.41</v>
      </c>
      <c r="R1192">
        <f t="shared" si="298"/>
        <v>-0.41116051717314339</v>
      </c>
    </row>
    <row r="1193" spans="1:18" x14ac:dyDescent="0.25">
      <c r="A1193">
        <v>11</v>
      </c>
      <c r="B1193">
        <v>36</v>
      </c>
      <c r="C1193">
        <v>72</v>
      </c>
      <c r="D1193">
        <v>526</v>
      </c>
      <c r="E1193">
        <v>524</v>
      </c>
      <c r="F1193">
        <v>775</v>
      </c>
      <c r="G1193" t="s">
        <v>5</v>
      </c>
      <c r="H1193" s="1">
        <f t="shared" si="291"/>
        <v>36853.50000000112</v>
      </c>
      <c r="I1193">
        <f t="shared" si="299"/>
        <v>3.0855999999999999</v>
      </c>
      <c r="J1193">
        <f t="shared" si="300"/>
        <v>5.7712000000000003</v>
      </c>
      <c r="K1193">
        <f t="shared" si="301"/>
        <v>51.611199999999997</v>
      </c>
      <c r="L1193">
        <f t="shared" si="302"/>
        <v>1.093251519999999</v>
      </c>
      <c r="M1193">
        <f t="shared" si="303"/>
        <v>271.97499999999997</v>
      </c>
      <c r="O1193">
        <v>328</v>
      </c>
      <c r="P1193">
        <v>1200</v>
      </c>
      <c r="Q1193">
        <v>0.41199999999999998</v>
      </c>
      <c r="R1193">
        <f t="shared" si="298"/>
        <v>-0.41282366801700809</v>
      </c>
    </row>
    <row r="1194" spans="1:18" x14ac:dyDescent="0.25">
      <c r="A1194">
        <v>11</v>
      </c>
      <c r="B1194">
        <v>45</v>
      </c>
      <c r="C1194">
        <v>88</v>
      </c>
      <c r="D1194">
        <v>233</v>
      </c>
      <c r="E1194">
        <v>516</v>
      </c>
      <c r="F1194">
        <v>773</v>
      </c>
      <c r="G1194" t="s">
        <v>5</v>
      </c>
      <c r="H1194" s="1">
        <f t="shared" si="291"/>
        <v>36853.520833334456</v>
      </c>
      <c r="I1194">
        <f t="shared" si="299"/>
        <v>3.7570000000000001</v>
      </c>
      <c r="J1194">
        <f t="shared" si="300"/>
        <v>6.9648000000000003</v>
      </c>
      <c r="K1194">
        <f t="shared" si="301"/>
        <v>21.666599999999999</v>
      </c>
      <c r="L1194">
        <f t="shared" si="302"/>
        <v>0.36588512000000062</v>
      </c>
      <c r="M1194">
        <f t="shared" si="303"/>
        <v>271.27699999999999</v>
      </c>
      <c r="O1194">
        <v>328</v>
      </c>
      <c r="P1194">
        <v>1230</v>
      </c>
      <c r="Q1194">
        <v>0.41</v>
      </c>
      <c r="R1194">
        <f t="shared" si="298"/>
        <v>-0.41027450612694893</v>
      </c>
    </row>
    <row r="1195" spans="1:18" x14ac:dyDescent="0.25">
      <c r="A1195">
        <v>11</v>
      </c>
      <c r="B1195">
        <v>37</v>
      </c>
      <c r="C1195">
        <v>116</v>
      </c>
      <c r="D1195">
        <v>468</v>
      </c>
      <c r="E1195">
        <v>522</v>
      </c>
      <c r="F1195">
        <v>725</v>
      </c>
      <c r="G1195" t="s">
        <v>5</v>
      </c>
      <c r="H1195" s="1">
        <f t="shared" ref="H1195:H1257" si="304">H1194+1/48</f>
        <v>36853.541666667792</v>
      </c>
      <c r="I1195">
        <f t="shared" si="299"/>
        <v>3.1602000000000001</v>
      </c>
      <c r="J1195">
        <f t="shared" si="300"/>
        <v>9.0536000000000012</v>
      </c>
      <c r="K1195">
        <f t="shared" si="301"/>
        <v>45.683599999999998</v>
      </c>
      <c r="L1195">
        <f t="shared" si="302"/>
        <v>0.91128967999999766</v>
      </c>
      <c r="M1195">
        <f t="shared" si="303"/>
        <v>254.52499999999998</v>
      </c>
      <c r="O1195">
        <v>328</v>
      </c>
      <c r="P1195">
        <v>1300</v>
      </c>
      <c r="Q1195">
        <v>0.41199999999999998</v>
      </c>
      <c r="R1195">
        <f t="shared" si="298"/>
        <v>-0.41268668995415769</v>
      </c>
    </row>
    <row r="1196" spans="1:18" x14ac:dyDescent="0.25">
      <c r="A1196">
        <v>1</v>
      </c>
      <c r="B1196">
        <v>47</v>
      </c>
      <c r="C1196">
        <v>92</v>
      </c>
      <c r="D1196">
        <v>406</v>
      </c>
      <c r="E1196">
        <v>514</v>
      </c>
      <c r="F1196">
        <v>780</v>
      </c>
      <c r="G1196" t="s">
        <v>5</v>
      </c>
      <c r="H1196" s="1">
        <f t="shared" si="304"/>
        <v>36853.562500001128</v>
      </c>
      <c r="I1196">
        <f t="shared" si="299"/>
        <v>3.9061999999999997</v>
      </c>
      <c r="J1196">
        <f t="shared" si="300"/>
        <v>7.2632000000000003</v>
      </c>
      <c r="K1196">
        <f t="shared" si="301"/>
        <v>39.347200000000001</v>
      </c>
      <c r="L1196">
        <f t="shared" si="302"/>
        <v>0.18424391999999923</v>
      </c>
      <c r="M1196">
        <f t="shared" si="303"/>
        <v>273.71999999999997</v>
      </c>
      <c r="O1196">
        <v>328</v>
      </c>
      <c r="P1196">
        <v>1330</v>
      </c>
      <c r="Q1196">
        <v>0.41199999999999998</v>
      </c>
      <c r="R1196">
        <f t="shared" si="298"/>
        <v>-0.4121389267783091</v>
      </c>
    </row>
    <row r="1197" spans="1:18" x14ac:dyDescent="0.25">
      <c r="A1197">
        <v>1</v>
      </c>
      <c r="B1197">
        <v>40</v>
      </c>
      <c r="C1197">
        <v>92</v>
      </c>
      <c r="D1197">
        <v>431</v>
      </c>
      <c r="E1197">
        <v>512</v>
      </c>
      <c r="F1197">
        <v>781</v>
      </c>
      <c r="G1197" t="s">
        <v>5</v>
      </c>
      <c r="H1197" s="1">
        <f t="shared" si="304"/>
        <v>36853.583333334464</v>
      </c>
      <c r="I1197">
        <f t="shared" si="299"/>
        <v>3.3839999999999999</v>
      </c>
      <c r="J1197">
        <f t="shared" si="300"/>
        <v>7.2632000000000003</v>
      </c>
      <c r="K1197">
        <f t="shared" si="301"/>
        <v>41.902200000000001</v>
      </c>
      <c r="L1197">
        <f t="shared" si="302"/>
        <v>2.6828799999978337E-3</v>
      </c>
      <c r="M1197">
        <f t="shared" si="303"/>
        <v>274.06899999999996</v>
      </c>
      <c r="O1197">
        <v>328</v>
      </c>
      <c r="P1197">
        <v>1400</v>
      </c>
      <c r="Q1197">
        <v>0.41199999999999998</v>
      </c>
      <c r="R1197">
        <f t="shared" si="298"/>
        <v>-0.4120020233275597</v>
      </c>
    </row>
    <row r="1198" spans="1:18" x14ac:dyDescent="0.25">
      <c r="A1198">
        <v>1</v>
      </c>
      <c r="B1198">
        <v>37</v>
      </c>
      <c r="C1198">
        <v>84</v>
      </c>
      <c r="D1198">
        <v>469</v>
      </c>
      <c r="E1198">
        <v>517</v>
      </c>
      <c r="F1198">
        <v>785</v>
      </c>
      <c r="G1198" t="s">
        <v>5</v>
      </c>
      <c r="H1198" s="1">
        <f t="shared" si="304"/>
        <v>36853.604166667799</v>
      </c>
      <c r="I1198">
        <f t="shared" si="299"/>
        <v>3.1602000000000001</v>
      </c>
      <c r="J1198">
        <f t="shared" si="300"/>
        <v>6.6664000000000003</v>
      </c>
      <c r="K1198">
        <f t="shared" si="301"/>
        <v>45.785800000000002</v>
      </c>
      <c r="L1198">
        <f t="shared" si="302"/>
        <v>0.45673578000000115</v>
      </c>
      <c r="M1198">
        <f t="shared" si="303"/>
        <v>275.46499999999997</v>
      </c>
      <c r="O1198">
        <v>328</v>
      </c>
      <c r="P1198">
        <v>1430</v>
      </c>
      <c r="Q1198">
        <v>0.41499999999999998</v>
      </c>
      <c r="R1198">
        <f t="shared" si="298"/>
        <v>-0.41534681709663601</v>
      </c>
    </row>
    <row r="1199" spans="1:18" x14ac:dyDescent="0.25">
      <c r="A1199">
        <v>1</v>
      </c>
      <c r="B1199">
        <v>44</v>
      </c>
      <c r="C1199">
        <v>116</v>
      </c>
      <c r="D1199">
        <v>285</v>
      </c>
      <c r="E1199">
        <v>518</v>
      </c>
      <c r="F1199">
        <v>749</v>
      </c>
      <c r="G1199" t="s">
        <v>5</v>
      </c>
      <c r="H1199" s="1">
        <f t="shared" si="304"/>
        <v>36853.625000001135</v>
      </c>
      <c r="I1199">
        <f t="shared" si="299"/>
        <v>3.6823999999999999</v>
      </c>
      <c r="J1199">
        <f t="shared" si="300"/>
        <v>9.0536000000000012</v>
      </c>
      <c r="K1199">
        <f t="shared" si="301"/>
        <v>26.980999999999998</v>
      </c>
      <c r="L1199">
        <f t="shared" si="302"/>
        <v>0.5476064799999949</v>
      </c>
      <c r="M1199">
        <f t="shared" si="303"/>
        <v>262.90100000000001</v>
      </c>
      <c r="O1199">
        <v>328</v>
      </c>
      <c r="P1199">
        <v>1500</v>
      </c>
      <c r="Q1199">
        <v>0.41499999999999998</v>
      </c>
      <c r="R1199">
        <f t="shared" si="298"/>
        <v>-0.41541578419026559</v>
      </c>
    </row>
    <row r="1200" spans="1:18" x14ac:dyDescent="0.25">
      <c r="A1200">
        <v>1</v>
      </c>
      <c r="B1200">
        <v>31</v>
      </c>
      <c r="C1200">
        <v>72</v>
      </c>
      <c r="D1200">
        <v>410</v>
      </c>
      <c r="E1200">
        <v>519</v>
      </c>
      <c r="F1200">
        <v>784</v>
      </c>
      <c r="G1200" t="s">
        <v>5</v>
      </c>
      <c r="H1200" s="1">
        <f t="shared" si="304"/>
        <v>36853.645833334471</v>
      </c>
      <c r="I1200">
        <f t="shared" si="299"/>
        <v>2.7125999999999997</v>
      </c>
      <c r="J1200">
        <f t="shared" si="300"/>
        <v>5.7712000000000003</v>
      </c>
      <c r="K1200">
        <f t="shared" si="301"/>
        <v>39.756</v>
      </c>
      <c r="L1200">
        <f t="shared" si="302"/>
        <v>0.63849721999999565</v>
      </c>
      <c r="M1200">
        <f t="shared" si="303"/>
        <v>275.11599999999999</v>
      </c>
      <c r="O1200">
        <v>328</v>
      </c>
      <c r="P1200">
        <v>1530</v>
      </c>
      <c r="Q1200">
        <v>0.41499999999999998</v>
      </c>
      <c r="R1200">
        <f t="shared" si="298"/>
        <v>-0.41548475504165994</v>
      </c>
    </row>
    <row r="1201" spans="1:18" x14ac:dyDescent="0.25">
      <c r="A1201">
        <v>71</v>
      </c>
      <c r="B1201">
        <v>47</v>
      </c>
      <c r="C1201">
        <v>104</v>
      </c>
      <c r="D1201">
        <v>207</v>
      </c>
      <c r="E1201">
        <v>511</v>
      </c>
      <c r="F1201">
        <v>797</v>
      </c>
      <c r="G1201" t="s">
        <v>5</v>
      </c>
      <c r="H1201" s="1">
        <f t="shared" si="304"/>
        <v>36853.666666667807</v>
      </c>
      <c r="I1201">
        <f t="shared" si="299"/>
        <v>3.9061999999999997</v>
      </c>
      <c r="J1201">
        <f t="shared" si="300"/>
        <v>8.1584000000000003</v>
      </c>
      <c r="K1201">
        <f t="shared" si="301"/>
        <v>19.009399999999999</v>
      </c>
      <c r="L1201">
        <f t="shared" si="302"/>
        <v>-8.806758000000281E-2</v>
      </c>
      <c r="M1201">
        <f t="shared" si="303"/>
        <v>279.65299999999996</v>
      </c>
      <c r="O1201">
        <v>328</v>
      </c>
      <c r="P1201">
        <v>1600</v>
      </c>
      <c r="Q1201">
        <v>0.41499999999999998</v>
      </c>
      <c r="R1201">
        <f t="shared" si="298"/>
        <v>-0.41493309355284286</v>
      </c>
    </row>
    <row r="1202" spans="1:18" x14ac:dyDescent="0.25">
      <c r="A1202">
        <v>71</v>
      </c>
      <c r="B1202">
        <v>58</v>
      </c>
      <c r="C1202">
        <v>160</v>
      </c>
      <c r="D1202">
        <v>565</v>
      </c>
      <c r="E1202">
        <v>516</v>
      </c>
      <c r="F1202">
        <v>741</v>
      </c>
      <c r="G1202" t="s">
        <v>5</v>
      </c>
      <c r="H1202" s="1">
        <f t="shared" si="304"/>
        <v>36853.687500001142</v>
      </c>
      <c r="I1202">
        <f t="shared" si="299"/>
        <v>4.7268000000000008</v>
      </c>
      <c r="J1202">
        <f t="shared" si="300"/>
        <v>12.336</v>
      </c>
      <c r="K1202">
        <f t="shared" si="301"/>
        <v>55.597000000000001</v>
      </c>
      <c r="L1202">
        <f t="shared" si="302"/>
        <v>0.36588512000000062</v>
      </c>
      <c r="M1202">
        <f t="shared" si="303"/>
        <v>260.10899999999998</v>
      </c>
      <c r="O1202">
        <v>328</v>
      </c>
      <c r="P1202">
        <v>1630</v>
      </c>
      <c r="Q1202">
        <v>0.41499999999999998</v>
      </c>
      <c r="R1202">
        <f t="shared" si="298"/>
        <v>-0.41527785376264342</v>
      </c>
    </row>
    <row r="1203" spans="1:18" x14ac:dyDescent="0.25">
      <c r="A1203">
        <v>71</v>
      </c>
      <c r="B1203">
        <v>81</v>
      </c>
      <c r="C1203">
        <v>192</v>
      </c>
      <c r="D1203">
        <v>341</v>
      </c>
      <c r="E1203">
        <v>509</v>
      </c>
      <c r="F1203">
        <v>792</v>
      </c>
      <c r="G1203" t="s">
        <v>5</v>
      </c>
      <c r="H1203" s="1">
        <f t="shared" si="304"/>
        <v>36853.708333334478</v>
      </c>
      <c r="I1203">
        <f t="shared" si="299"/>
        <v>6.4426000000000005</v>
      </c>
      <c r="J1203">
        <f t="shared" si="300"/>
        <v>14.7232</v>
      </c>
      <c r="K1203">
        <f t="shared" si="301"/>
        <v>32.7042</v>
      </c>
      <c r="L1203">
        <f t="shared" si="302"/>
        <v>-0.26950838000000443</v>
      </c>
      <c r="M1203">
        <f t="shared" si="303"/>
        <v>277.90799999999996</v>
      </c>
      <c r="O1203">
        <v>328</v>
      </c>
      <c r="P1203">
        <v>1700</v>
      </c>
      <c r="Q1203">
        <v>0.41499999999999998</v>
      </c>
      <c r="R1203">
        <f t="shared" si="298"/>
        <v>-0.41479521585203688</v>
      </c>
    </row>
    <row r="1204" spans="1:18" x14ac:dyDescent="0.25">
      <c r="A1204">
        <v>71</v>
      </c>
      <c r="B1204">
        <v>92</v>
      </c>
      <c r="C1204">
        <v>148</v>
      </c>
      <c r="D1204">
        <v>226</v>
      </c>
      <c r="E1204">
        <v>509</v>
      </c>
      <c r="F1204">
        <v>797</v>
      </c>
      <c r="G1204" t="s">
        <v>5</v>
      </c>
      <c r="H1204" s="1">
        <f t="shared" si="304"/>
        <v>36853.729166667814</v>
      </c>
      <c r="I1204">
        <f t="shared" si="299"/>
        <v>7.2632000000000003</v>
      </c>
      <c r="J1204">
        <f t="shared" si="300"/>
        <v>11.440800000000001</v>
      </c>
      <c r="K1204">
        <f t="shared" si="301"/>
        <v>20.9512</v>
      </c>
      <c r="L1204">
        <f t="shared" si="302"/>
        <v>-0.26950838000000443</v>
      </c>
      <c r="M1204">
        <f t="shared" si="303"/>
        <v>279.65299999999996</v>
      </c>
      <c r="O1204">
        <v>328</v>
      </c>
      <c r="P1204">
        <v>1730</v>
      </c>
      <c r="Q1204">
        <v>0.41499999999999998</v>
      </c>
      <c r="R1204">
        <f t="shared" si="298"/>
        <v>-0.41479521585203688</v>
      </c>
    </row>
    <row r="1205" spans="1:18" x14ac:dyDescent="0.25">
      <c r="A1205">
        <v>71</v>
      </c>
      <c r="B1205">
        <v>85</v>
      </c>
      <c r="C1205">
        <v>172</v>
      </c>
      <c r="D1205">
        <v>316</v>
      </c>
      <c r="E1205">
        <v>505</v>
      </c>
      <c r="F1205">
        <v>829</v>
      </c>
      <c r="G1205" t="s">
        <v>5</v>
      </c>
      <c r="H1205" s="1">
        <f t="shared" si="304"/>
        <v>36853.75000000115</v>
      </c>
      <c r="I1205">
        <f t="shared" si="299"/>
        <v>6.7410000000000005</v>
      </c>
      <c r="J1205">
        <f t="shared" si="300"/>
        <v>13.231199999999999</v>
      </c>
      <c r="K1205">
        <f t="shared" si="301"/>
        <v>30.1492</v>
      </c>
      <c r="L1205">
        <f t="shared" si="302"/>
        <v>-0.6321494999999997</v>
      </c>
      <c r="M1205">
        <f t="shared" si="303"/>
        <v>290.82099999999997</v>
      </c>
      <c r="O1205">
        <v>328</v>
      </c>
      <c r="P1205">
        <v>1800</v>
      </c>
      <c r="Q1205">
        <v>0.41499999999999998</v>
      </c>
      <c r="R1205">
        <f t="shared" si="298"/>
        <v>-0.41451950576136298</v>
      </c>
    </row>
    <row r="1206" spans="1:18" x14ac:dyDescent="0.25">
      <c r="A1206">
        <v>71</v>
      </c>
      <c r="B1206">
        <v>89</v>
      </c>
      <c r="C1206">
        <v>128</v>
      </c>
      <c r="D1206">
        <v>316</v>
      </c>
      <c r="E1206">
        <v>502</v>
      </c>
      <c r="F1206">
        <v>845</v>
      </c>
      <c r="H1206" s="1">
        <f t="shared" si="304"/>
        <v>36853.770833334485</v>
      </c>
      <c r="I1206">
        <f t="shared" ref="I1206:J1208" si="305">0.4+0.0746*B1206</f>
        <v>7.0394000000000005</v>
      </c>
      <c r="J1206">
        <f t="shared" si="305"/>
        <v>9.9488000000000003</v>
      </c>
      <c r="K1206">
        <f>-2.146+0.1022*D1206</f>
        <v>30.1492</v>
      </c>
      <c r="L1206">
        <f>-43.84+0.0805*E1206+0.00001002*E1206^2</f>
        <v>-0.9039199200000021</v>
      </c>
      <c r="M1206">
        <f>1.5+0.349*F1206</f>
        <v>296.40499999999997</v>
      </c>
      <c r="O1206">
        <v>328</v>
      </c>
      <c r="P1206">
        <v>1830</v>
      </c>
      <c r="Q1206">
        <v>0.41499999999999998</v>
      </c>
      <c r="R1206">
        <f t="shared" si="298"/>
        <v>-0.41431276289979097</v>
      </c>
    </row>
    <row r="1207" spans="1:18" x14ac:dyDescent="0.25">
      <c r="A1207">
        <v>71</v>
      </c>
      <c r="B1207">
        <v>60</v>
      </c>
      <c r="C1207">
        <v>96</v>
      </c>
      <c r="D1207">
        <v>322</v>
      </c>
      <c r="E1207">
        <v>503</v>
      </c>
      <c r="F1207">
        <v>825</v>
      </c>
      <c r="H1207" s="1">
        <f t="shared" si="304"/>
        <v>36853.791666667821</v>
      </c>
      <c r="I1207">
        <f t="shared" si="305"/>
        <v>4.8760000000000003</v>
      </c>
      <c r="J1207">
        <f t="shared" si="305"/>
        <v>7.5616000000000003</v>
      </c>
      <c r="K1207">
        <f>-2.146+0.1022*D1207</f>
        <v>30.7624</v>
      </c>
      <c r="L1207">
        <f>-43.84+0.0805*E1207+0.00001002*E1207^2</f>
        <v>-0.81334982000000133</v>
      </c>
      <c r="M1207">
        <f>1.5+0.349*F1207</f>
        <v>289.42499999999995</v>
      </c>
      <c r="O1207">
        <v>328</v>
      </c>
      <c r="P1207">
        <v>1900</v>
      </c>
      <c r="Q1207">
        <v>0.41499999999999998</v>
      </c>
      <c r="R1207">
        <f t="shared" si="298"/>
        <v>-0.41438167340164295</v>
      </c>
    </row>
    <row r="1208" spans="1:18" x14ac:dyDescent="0.25">
      <c r="A1208">
        <v>71</v>
      </c>
      <c r="B1208">
        <v>51</v>
      </c>
      <c r="C1208">
        <v>84</v>
      </c>
      <c r="D1208">
        <v>418</v>
      </c>
      <c r="E1208">
        <v>502</v>
      </c>
      <c r="F1208">
        <v>829</v>
      </c>
      <c r="H1208" s="1">
        <f t="shared" si="304"/>
        <v>36853.812500001157</v>
      </c>
      <c r="I1208">
        <f t="shared" si="305"/>
        <v>4.2046000000000001</v>
      </c>
      <c r="J1208">
        <f t="shared" si="305"/>
        <v>6.6664000000000003</v>
      </c>
      <c r="K1208">
        <f>-2.146+0.1022*D1208</f>
        <v>40.573599999999999</v>
      </c>
      <c r="L1208">
        <f>-43.84+0.0805*E1208+0.00001002*E1208^2</f>
        <v>-0.9039199200000021</v>
      </c>
      <c r="M1208">
        <f>1.5+0.349*F1208</f>
        <v>290.82099999999997</v>
      </c>
      <c r="O1208">
        <v>328</v>
      </c>
      <c r="P1208">
        <v>1930</v>
      </c>
      <c r="Q1208">
        <v>0.41499999999999998</v>
      </c>
      <c r="R1208">
        <f t="shared" si="298"/>
        <v>-0.41431276289979097</v>
      </c>
    </row>
    <row r="1209" spans="1:18" x14ac:dyDescent="0.25">
      <c r="A1209">
        <v>71</v>
      </c>
      <c r="B1209">
        <v>47</v>
      </c>
      <c r="C1209">
        <v>80</v>
      </c>
      <c r="D1209">
        <v>326</v>
      </c>
      <c r="E1209">
        <v>499</v>
      </c>
      <c r="F1209">
        <v>845</v>
      </c>
      <c r="G1209" t="s">
        <v>5</v>
      </c>
      <c r="H1209" s="1">
        <f t="shared" si="304"/>
        <v>36853.833333334493</v>
      </c>
      <c r="I1209">
        <f t="shared" ref="I1209:I1243" si="306">0.4+0.0746*B1209</f>
        <v>3.9061999999999997</v>
      </c>
      <c r="J1209">
        <f t="shared" ref="J1209:J1243" si="307">0.4+0.0746*C1209</f>
        <v>6.3680000000000003</v>
      </c>
      <c r="K1209">
        <f t="shared" ref="K1209:K1243" si="308">-2.146+0.1022*D1209</f>
        <v>31.171199999999999</v>
      </c>
      <c r="L1209">
        <f t="shared" ref="L1209:L1243" si="309">-43.84+0.0805*E1209+0.00001002*E1209^2</f>
        <v>-1.1755099800000037</v>
      </c>
      <c r="M1209">
        <f t="shared" ref="M1209:M1243" si="310">1.5+0.349*F1209</f>
        <v>296.40499999999997</v>
      </c>
      <c r="O1209">
        <v>328</v>
      </c>
      <c r="P1209">
        <v>2000</v>
      </c>
      <c r="Q1209">
        <v>0.41499999999999998</v>
      </c>
      <c r="R1209">
        <f t="shared" si="298"/>
        <v>-0.41410605412894386</v>
      </c>
    </row>
    <row r="1210" spans="1:18" x14ac:dyDescent="0.25">
      <c r="A1210">
        <v>711</v>
      </c>
      <c r="B1210">
        <v>40</v>
      </c>
      <c r="C1210">
        <v>96</v>
      </c>
      <c r="D1210">
        <v>445</v>
      </c>
      <c r="E1210">
        <v>501</v>
      </c>
      <c r="F1210">
        <v>817</v>
      </c>
      <c r="G1210" t="s">
        <v>5</v>
      </c>
      <c r="H1210" s="1">
        <f>H1209+1/48</f>
        <v>36853.854166667828</v>
      </c>
      <c r="I1210">
        <f t="shared" si="306"/>
        <v>3.3839999999999999</v>
      </c>
      <c r="J1210">
        <f t="shared" si="307"/>
        <v>7.5616000000000003</v>
      </c>
      <c r="K1210">
        <f t="shared" si="308"/>
        <v>43.332999999999998</v>
      </c>
      <c r="L1210">
        <f t="shared" si="309"/>
        <v>-0.99446998000000253</v>
      </c>
      <c r="M1210">
        <f t="shared" si="310"/>
        <v>286.63299999999998</v>
      </c>
      <c r="O1210">
        <v>328</v>
      </c>
      <c r="P1210">
        <v>2030</v>
      </c>
      <c r="Q1210">
        <v>0.41699999999999998</v>
      </c>
      <c r="R1210">
        <f t="shared" si="298"/>
        <v>-0.41624021211922207</v>
      </c>
    </row>
    <row r="1211" spans="1:18" x14ac:dyDescent="0.25">
      <c r="A1211">
        <v>711</v>
      </c>
      <c r="B1211">
        <v>45</v>
      </c>
      <c r="C1211">
        <v>76</v>
      </c>
      <c r="D1211">
        <v>360</v>
      </c>
      <c r="E1211">
        <v>498</v>
      </c>
      <c r="F1211">
        <v>835</v>
      </c>
      <c r="G1211" t="s">
        <v>5</v>
      </c>
      <c r="H1211" s="1">
        <f t="shared" si="304"/>
        <v>36853.875000001164</v>
      </c>
      <c r="I1211">
        <f t="shared" si="306"/>
        <v>3.7570000000000001</v>
      </c>
      <c r="J1211">
        <f t="shared" si="307"/>
        <v>6.0696000000000003</v>
      </c>
      <c r="K1211">
        <f t="shared" si="308"/>
        <v>34.646000000000001</v>
      </c>
      <c r="L1211">
        <f t="shared" si="309"/>
        <v>-1.2659999200000045</v>
      </c>
      <c r="M1211">
        <f t="shared" si="310"/>
        <v>292.91499999999996</v>
      </c>
      <c r="O1211">
        <v>328</v>
      </c>
      <c r="P1211">
        <v>2100</v>
      </c>
      <c r="Q1211">
        <v>0.41699999999999998</v>
      </c>
      <c r="R1211">
        <f t="shared" si="298"/>
        <v>-0.41603251859126716</v>
      </c>
    </row>
    <row r="1212" spans="1:18" x14ac:dyDescent="0.25">
      <c r="A1212">
        <v>711</v>
      </c>
      <c r="B1212">
        <v>36</v>
      </c>
      <c r="C1212">
        <v>72</v>
      </c>
      <c r="D1212">
        <v>488</v>
      </c>
      <c r="E1212">
        <v>495</v>
      </c>
      <c r="F1212">
        <v>863</v>
      </c>
      <c r="G1212" t="s">
        <v>5</v>
      </c>
      <c r="H1212" s="1">
        <f t="shared" si="304"/>
        <v>36853.8958333345</v>
      </c>
      <c r="I1212">
        <f t="shared" si="306"/>
        <v>3.0855999999999999</v>
      </c>
      <c r="J1212">
        <f t="shared" si="307"/>
        <v>5.7712000000000003</v>
      </c>
      <c r="K1212">
        <f t="shared" si="308"/>
        <v>47.727599999999995</v>
      </c>
      <c r="L1212">
        <f t="shared" si="309"/>
        <v>-1.5373494999999995</v>
      </c>
      <c r="M1212">
        <f t="shared" si="310"/>
        <v>302.68699999999995</v>
      </c>
      <c r="O1212">
        <v>328</v>
      </c>
      <c r="P1212">
        <v>2130</v>
      </c>
      <c r="Q1212">
        <v>0.41699999999999998</v>
      </c>
      <c r="R1212">
        <f t="shared" si="298"/>
        <v>-0.41582485938678104</v>
      </c>
    </row>
    <row r="1213" spans="1:18" x14ac:dyDescent="0.25">
      <c r="A1213">
        <v>711</v>
      </c>
      <c r="B1213">
        <v>38</v>
      </c>
      <c r="C1213">
        <v>72</v>
      </c>
      <c r="D1213">
        <v>341</v>
      </c>
      <c r="E1213">
        <v>495</v>
      </c>
      <c r="F1213">
        <v>853</v>
      </c>
      <c r="G1213" t="s">
        <v>5</v>
      </c>
      <c r="H1213" s="1">
        <f t="shared" si="304"/>
        <v>36853.916666667836</v>
      </c>
      <c r="I1213">
        <f t="shared" si="306"/>
        <v>3.2347999999999999</v>
      </c>
      <c r="J1213">
        <f t="shared" si="307"/>
        <v>5.7712000000000003</v>
      </c>
      <c r="K1213">
        <f t="shared" si="308"/>
        <v>32.7042</v>
      </c>
      <c r="L1213">
        <f t="shared" si="309"/>
        <v>-1.5373494999999995</v>
      </c>
      <c r="M1213">
        <f t="shared" si="310"/>
        <v>299.197</v>
      </c>
      <c r="O1213">
        <v>328</v>
      </c>
      <c r="P1213">
        <v>2200</v>
      </c>
      <c r="Q1213">
        <v>0.41699999999999998</v>
      </c>
      <c r="R1213">
        <f t="shared" si="298"/>
        <v>-0.41582485938678104</v>
      </c>
    </row>
    <row r="1214" spans="1:18" x14ac:dyDescent="0.25">
      <c r="A1214">
        <v>711</v>
      </c>
      <c r="B1214">
        <v>36</v>
      </c>
      <c r="C1214">
        <v>72</v>
      </c>
      <c r="D1214">
        <v>329</v>
      </c>
      <c r="E1214">
        <v>496</v>
      </c>
      <c r="F1214">
        <v>836</v>
      </c>
      <c r="G1214" t="s">
        <v>5</v>
      </c>
      <c r="H1214" s="1">
        <f t="shared" si="304"/>
        <v>36853.937500001171</v>
      </c>
      <c r="I1214">
        <f t="shared" si="306"/>
        <v>3.0855999999999999</v>
      </c>
      <c r="J1214">
        <f t="shared" si="307"/>
        <v>5.7712000000000003</v>
      </c>
      <c r="K1214">
        <f t="shared" si="308"/>
        <v>31.477800000000002</v>
      </c>
      <c r="L1214">
        <f t="shared" si="309"/>
        <v>-1.4469196799999988</v>
      </c>
      <c r="M1214">
        <f t="shared" si="310"/>
        <v>293.26399999999995</v>
      </c>
      <c r="O1214">
        <v>328</v>
      </c>
      <c r="P1214">
        <v>2230</v>
      </c>
      <c r="Q1214">
        <v>0.42</v>
      </c>
      <c r="R1214">
        <f t="shared" si="298"/>
        <v>-0.41888611901194533</v>
      </c>
    </row>
    <row r="1215" spans="1:18" x14ac:dyDescent="0.25">
      <c r="A1215">
        <v>711</v>
      </c>
      <c r="B1215">
        <v>39</v>
      </c>
      <c r="C1215">
        <v>76</v>
      </c>
      <c r="D1215">
        <v>687</v>
      </c>
      <c r="E1215">
        <v>492</v>
      </c>
      <c r="F1215">
        <v>863</v>
      </c>
      <c r="G1215" t="s">
        <v>5</v>
      </c>
      <c r="H1215" s="1">
        <f t="shared" si="304"/>
        <v>36853.958333334507</v>
      </c>
      <c r="I1215">
        <f t="shared" si="306"/>
        <v>3.3093999999999997</v>
      </c>
      <c r="J1215">
        <f t="shared" si="307"/>
        <v>6.0696000000000003</v>
      </c>
      <c r="K1215">
        <f t="shared" si="308"/>
        <v>68.065399999999997</v>
      </c>
      <c r="L1215">
        <f t="shared" si="309"/>
        <v>-1.8085187200000017</v>
      </c>
      <c r="M1215">
        <f t="shared" si="310"/>
        <v>302.68699999999995</v>
      </c>
      <c r="O1215">
        <v>328</v>
      </c>
      <c r="P1215">
        <v>2300</v>
      </c>
      <c r="Q1215">
        <v>0.42</v>
      </c>
      <c r="R1215">
        <f t="shared" si="298"/>
        <v>-0.41860728660438612</v>
      </c>
    </row>
    <row r="1216" spans="1:18" x14ac:dyDescent="0.25">
      <c r="A1216">
        <v>711</v>
      </c>
      <c r="B1216">
        <v>50</v>
      </c>
      <c r="C1216">
        <v>152</v>
      </c>
      <c r="D1216">
        <v>730</v>
      </c>
      <c r="E1216">
        <v>502</v>
      </c>
      <c r="F1216">
        <v>781</v>
      </c>
      <c r="G1216" t="s">
        <v>5</v>
      </c>
      <c r="H1216" s="1">
        <f t="shared" si="304"/>
        <v>36853.979166667843</v>
      </c>
      <c r="I1216">
        <f t="shared" si="306"/>
        <v>4.13</v>
      </c>
      <c r="J1216">
        <f t="shared" si="307"/>
        <v>11.7392</v>
      </c>
      <c r="K1216">
        <f t="shared" si="308"/>
        <v>72.459999999999994</v>
      </c>
      <c r="L1216">
        <f t="shared" si="309"/>
        <v>-0.9039199200000021</v>
      </c>
      <c r="M1216">
        <f t="shared" si="310"/>
        <v>274.06899999999996</v>
      </c>
      <c r="O1216">
        <v>328</v>
      </c>
      <c r="P1216">
        <v>2330</v>
      </c>
      <c r="Q1216">
        <v>0.42</v>
      </c>
      <c r="R1216">
        <f t="shared" si="298"/>
        <v>-0.41930448293472822</v>
      </c>
    </row>
    <row r="1217" spans="1:18" x14ac:dyDescent="0.25">
      <c r="A1217">
        <v>711</v>
      </c>
      <c r="B1217">
        <v>170</v>
      </c>
      <c r="C1217">
        <v>292</v>
      </c>
      <c r="D1217">
        <v>813</v>
      </c>
      <c r="E1217">
        <v>489</v>
      </c>
      <c r="F1217">
        <v>845</v>
      </c>
      <c r="G1217" t="s">
        <v>5</v>
      </c>
      <c r="H1217" s="1">
        <f t="shared" si="304"/>
        <v>36854.000000001179</v>
      </c>
      <c r="I1217">
        <f t="shared" si="306"/>
        <v>13.082000000000001</v>
      </c>
      <c r="J1217">
        <f t="shared" si="307"/>
        <v>22.183199999999999</v>
      </c>
      <c r="K1217">
        <f t="shared" si="308"/>
        <v>80.942599999999999</v>
      </c>
      <c r="L1217">
        <f t="shared" si="309"/>
        <v>-2.0795075800000036</v>
      </c>
      <c r="M1217">
        <f t="shared" si="310"/>
        <v>296.40499999999997</v>
      </c>
      <c r="O1217">
        <v>328</v>
      </c>
      <c r="P1217">
        <v>2400</v>
      </c>
      <c r="Q1217">
        <v>0.432</v>
      </c>
      <c r="R1217">
        <f t="shared" si="298"/>
        <v>-0.43035243710928583</v>
      </c>
    </row>
    <row r="1218" spans="1:18" x14ac:dyDescent="0.25">
      <c r="A1218">
        <v>711</v>
      </c>
      <c r="B1218">
        <v>163</v>
      </c>
      <c r="C1218">
        <v>264</v>
      </c>
      <c r="D1218">
        <v>660</v>
      </c>
      <c r="E1218">
        <v>489</v>
      </c>
      <c r="F1218">
        <v>857</v>
      </c>
      <c r="G1218" t="s">
        <v>5</v>
      </c>
      <c r="H1218" s="1">
        <f t="shared" si="304"/>
        <v>36854.020833334514</v>
      </c>
      <c r="I1218">
        <f t="shared" si="306"/>
        <v>12.559800000000001</v>
      </c>
      <c r="J1218">
        <f t="shared" si="307"/>
        <v>20.0944</v>
      </c>
      <c r="K1218">
        <f t="shared" si="308"/>
        <v>65.305999999999997</v>
      </c>
      <c r="L1218">
        <f t="shared" si="309"/>
        <v>-2.0795075800000036</v>
      </c>
      <c r="M1218">
        <f t="shared" si="310"/>
        <v>300.59299999999996</v>
      </c>
      <c r="O1218">
        <v>329</v>
      </c>
      <c r="P1218">
        <v>30</v>
      </c>
      <c r="Q1218">
        <v>0.41699999999999998</v>
      </c>
      <c r="R1218">
        <f t="shared" si="298"/>
        <v>-0.41540964415410231</v>
      </c>
    </row>
    <row r="1219" spans="1:18" x14ac:dyDescent="0.25">
      <c r="A1219">
        <v>711</v>
      </c>
      <c r="B1219">
        <v>143</v>
      </c>
      <c r="C1219">
        <v>272</v>
      </c>
      <c r="D1219">
        <v>665</v>
      </c>
      <c r="E1219">
        <v>489</v>
      </c>
      <c r="F1219">
        <v>851</v>
      </c>
      <c r="G1219" t="s">
        <v>5</v>
      </c>
      <c r="H1219" s="1">
        <f t="shared" si="304"/>
        <v>36854.04166666785</v>
      </c>
      <c r="I1219">
        <f t="shared" si="306"/>
        <v>11.0678</v>
      </c>
      <c r="J1219">
        <f t="shared" si="307"/>
        <v>20.691199999999998</v>
      </c>
      <c r="K1219">
        <f t="shared" si="308"/>
        <v>65.816999999999993</v>
      </c>
      <c r="L1219">
        <f t="shared" si="309"/>
        <v>-2.0795075800000036</v>
      </c>
      <c r="M1219">
        <f t="shared" si="310"/>
        <v>298.49899999999997</v>
      </c>
      <c r="O1219">
        <v>329</v>
      </c>
      <c r="P1219">
        <v>100</v>
      </c>
      <c r="Q1219">
        <v>0.42199999999999999</v>
      </c>
      <c r="R1219">
        <f t="shared" si="298"/>
        <v>-0.4203905751391635</v>
      </c>
    </row>
    <row r="1220" spans="1:18" x14ac:dyDescent="0.25">
      <c r="A1220">
        <v>711</v>
      </c>
      <c r="B1220">
        <v>148</v>
      </c>
      <c r="C1220">
        <v>292</v>
      </c>
      <c r="D1220">
        <v>832</v>
      </c>
      <c r="E1220">
        <v>489</v>
      </c>
      <c r="F1220">
        <v>872</v>
      </c>
      <c r="G1220" t="s">
        <v>5</v>
      </c>
      <c r="H1220" s="1">
        <f t="shared" si="304"/>
        <v>36854.062500001186</v>
      </c>
      <c r="I1220">
        <f t="shared" si="306"/>
        <v>11.440800000000001</v>
      </c>
      <c r="J1220">
        <f t="shared" si="307"/>
        <v>22.183199999999999</v>
      </c>
      <c r="K1220">
        <f t="shared" si="308"/>
        <v>82.884399999999999</v>
      </c>
      <c r="L1220">
        <f t="shared" si="309"/>
        <v>-2.0795075800000036</v>
      </c>
      <c r="M1220">
        <f t="shared" si="310"/>
        <v>305.82799999999997</v>
      </c>
      <c r="O1220">
        <v>329</v>
      </c>
      <c r="P1220">
        <v>130</v>
      </c>
      <c r="Q1220">
        <v>0.42</v>
      </c>
      <c r="R1220">
        <f t="shared" si="298"/>
        <v>-0.418398202745139</v>
      </c>
    </row>
    <row r="1221" spans="1:18" x14ac:dyDescent="0.25">
      <c r="A1221">
        <v>711</v>
      </c>
      <c r="B1221">
        <v>156</v>
      </c>
      <c r="C1221">
        <v>292</v>
      </c>
      <c r="D1221">
        <v>662</v>
      </c>
      <c r="E1221">
        <v>488</v>
      </c>
      <c r="F1221">
        <v>824</v>
      </c>
      <c r="G1221" t="s">
        <v>5</v>
      </c>
      <c r="H1221" s="1">
        <f t="shared" si="304"/>
        <v>36854.083333334522</v>
      </c>
      <c r="I1221">
        <f t="shared" si="306"/>
        <v>12.037599999999999</v>
      </c>
      <c r="J1221">
        <f t="shared" si="307"/>
        <v>22.183199999999999</v>
      </c>
      <c r="K1221">
        <f t="shared" si="308"/>
        <v>65.510400000000004</v>
      </c>
      <c r="L1221">
        <f t="shared" si="309"/>
        <v>-2.1697971200000041</v>
      </c>
      <c r="M1221">
        <f t="shared" si="310"/>
        <v>289.07599999999996</v>
      </c>
      <c r="O1221">
        <v>329</v>
      </c>
      <c r="P1221">
        <v>200</v>
      </c>
      <c r="Q1221">
        <v>0.42499999999999999</v>
      </c>
      <c r="R1221">
        <f t="shared" si="298"/>
        <v>-0.42330861721878349</v>
      </c>
    </row>
    <row r="1222" spans="1:18" x14ac:dyDescent="0.25">
      <c r="A1222">
        <v>711</v>
      </c>
      <c r="B1222">
        <v>92</v>
      </c>
      <c r="C1222">
        <v>264</v>
      </c>
      <c r="D1222">
        <v>162</v>
      </c>
      <c r="E1222">
        <v>488</v>
      </c>
      <c r="F1222">
        <v>849</v>
      </c>
      <c r="G1222" t="s">
        <v>5</v>
      </c>
      <c r="H1222" s="1">
        <f t="shared" si="304"/>
        <v>36854.104166667857</v>
      </c>
      <c r="I1222">
        <f t="shared" si="306"/>
        <v>7.2632000000000003</v>
      </c>
      <c r="J1222">
        <f t="shared" si="307"/>
        <v>20.0944</v>
      </c>
      <c r="K1222">
        <f t="shared" si="308"/>
        <v>14.410399999999999</v>
      </c>
      <c r="L1222">
        <f t="shared" si="309"/>
        <v>-2.1697971200000041</v>
      </c>
      <c r="M1222">
        <f t="shared" si="310"/>
        <v>297.80099999999999</v>
      </c>
      <c r="O1222">
        <v>329</v>
      </c>
      <c r="P1222">
        <v>230</v>
      </c>
      <c r="Q1222">
        <v>0.42499999999999999</v>
      </c>
      <c r="R1222">
        <f t="shared" si="298"/>
        <v>-0.42330861721878349</v>
      </c>
    </row>
    <row r="1223" spans="1:18" x14ac:dyDescent="0.25">
      <c r="A1223">
        <v>711</v>
      </c>
      <c r="B1223">
        <v>63</v>
      </c>
      <c r="C1223">
        <v>200</v>
      </c>
      <c r="D1223">
        <v>719</v>
      </c>
      <c r="E1223">
        <v>488</v>
      </c>
      <c r="F1223">
        <v>841</v>
      </c>
      <c r="G1223" t="s">
        <v>5</v>
      </c>
      <c r="H1223" s="1">
        <f t="shared" si="304"/>
        <v>36854.125000001193</v>
      </c>
      <c r="I1223">
        <f t="shared" si="306"/>
        <v>5.0998000000000001</v>
      </c>
      <c r="J1223">
        <f t="shared" si="307"/>
        <v>15.32</v>
      </c>
      <c r="K1223">
        <f t="shared" si="308"/>
        <v>71.335799999999992</v>
      </c>
      <c r="L1223">
        <f t="shared" si="309"/>
        <v>-2.1697971200000041</v>
      </c>
      <c r="M1223">
        <f t="shared" si="310"/>
        <v>295.00899999999996</v>
      </c>
      <c r="O1223">
        <v>329</v>
      </c>
      <c r="P1223">
        <v>300</v>
      </c>
      <c r="Q1223">
        <v>0.42</v>
      </c>
      <c r="R1223">
        <f t="shared" ref="R1223:R1286" si="311">-SQRT((L1223+273.15)/273.15)*Q1223</f>
        <v>-0.41832851583973901</v>
      </c>
    </row>
    <row r="1224" spans="1:18" x14ac:dyDescent="0.25">
      <c r="A1224">
        <v>711</v>
      </c>
      <c r="B1224">
        <v>66</v>
      </c>
      <c r="C1224">
        <v>184</v>
      </c>
      <c r="D1224">
        <v>434</v>
      </c>
      <c r="E1224">
        <v>487</v>
      </c>
      <c r="F1224">
        <v>857</v>
      </c>
      <c r="G1224" t="s">
        <v>5</v>
      </c>
      <c r="H1224" s="1">
        <f t="shared" si="304"/>
        <v>36854.145833334529</v>
      </c>
      <c r="I1224">
        <f t="shared" si="306"/>
        <v>5.3236000000000008</v>
      </c>
      <c r="J1224">
        <f t="shared" si="307"/>
        <v>14.1264</v>
      </c>
      <c r="K1224">
        <f t="shared" si="308"/>
        <v>42.208799999999997</v>
      </c>
      <c r="L1224">
        <f t="shared" si="309"/>
        <v>-2.2600666200000052</v>
      </c>
      <c r="M1224">
        <f t="shared" si="310"/>
        <v>300.59299999999996</v>
      </c>
      <c r="O1224">
        <v>329</v>
      </c>
      <c r="P1224">
        <v>330</v>
      </c>
      <c r="Q1224">
        <v>0.42199999999999999</v>
      </c>
      <c r="R1224">
        <f t="shared" si="311"/>
        <v>-0.42025054152232072</v>
      </c>
    </row>
    <row r="1225" spans="1:18" x14ac:dyDescent="0.25">
      <c r="A1225">
        <v>711</v>
      </c>
      <c r="B1225">
        <v>70</v>
      </c>
      <c r="C1225">
        <v>180</v>
      </c>
      <c r="D1225">
        <v>365</v>
      </c>
      <c r="E1225">
        <v>486</v>
      </c>
      <c r="F1225">
        <v>893</v>
      </c>
      <c r="G1225" t="s">
        <v>5</v>
      </c>
      <c r="H1225" s="1">
        <f t="shared" si="304"/>
        <v>36854.166666667865</v>
      </c>
      <c r="I1225">
        <f t="shared" si="306"/>
        <v>5.6219999999999999</v>
      </c>
      <c r="J1225">
        <f t="shared" si="307"/>
        <v>13.828000000000001</v>
      </c>
      <c r="K1225">
        <f t="shared" si="308"/>
        <v>35.156999999999996</v>
      </c>
      <c r="L1225">
        <f t="shared" si="309"/>
        <v>-2.3503160800000056</v>
      </c>
      <c r="M1225">
        <f t="shared" si="310"/>
        <v>313.15699999999998</v>
      </c>
      <c r="O1225">
        <v>329</v>
      </c>
      <c r="P1225">
        <v>400</v>
      </c>
      <c r="Q1225">
        <v>0.432</v>
      </c>
      <c r="R1225">
        <f t="shared" si="311"/>
        <v>-0.43013741514380466</v>
      </c>
    </row>
    <row r="1226" spans="1:18" x14ac:dyDescent="0.25">
      <c r="A1226">
        <v>711</v>
      </c>
      <c r="B1226">
        <v>62</v>
      </c>
      <c r="C1226">
        <v>188</v>
      </c>
      <c r="D1226">
        <v>382</v>
      </c>
      <c r="E1226">
        <v>486</v>
      </c>
      <c r="F1226">
        <v>901</v>
      </c>
      <c r="G1226" t="s">
        <v>5</v>
      </c>
      <c r="H1226" s="1">
        <f t="shared" si="304"/>
        <v>36854.187500001201</v>
      </c>
      <c r="I1226">
        <f t="shared" si="306"/>
        <v>5.0251999999999999</v>
      </c>
      <c r="J1226">
        <f t="shared" si="307"/>
        <v>14.424799999999999</v>
      </c>
      <c r="K1226">
        <f t="shared" si="308"/>
        <v>36.894399999999997</v>
      </c>
      <c r="L1226">
        <f t="shared" si="309"/>
        <v>-2.3503160800000056</v>
      </c>
      <c r="M1226">
        <f t="shared" si="310"/>
        <v>315.94899999999996</v>
      </c>
      <c r="O1226">
        <v>329</v>
      </c>
      <c r="P1226">
        <v>430</v>
      </c>
      <c r="Q1226">
        <v>0.42499999999999999</v>
      </c>
      <c r="R1226">
        <f t="shared" si="311"/>
        <v>-0.42316759591693742</v>
      </c>
    </row>
    <row r="1227" spans="1:18" x14ac:dyDescent="0.25">
      <c r="A1227">
        <v>711</v>
      </c>
      <c r="B1227">
        <v>83</v>
      </c>
      <c r="C1227">
        <v>224</v>
      </c>
      <c r="D1227">
        <v>204</v>
      </c>
      <c r="E1227">
        <v>488</v>
      </c>
      <c r="F1227">
        <v>847</v>
      </c>
      <c r="G1227" t="s">
        <v>5</v>
      </c>
      <c r="H1227" s="1">
        <f t="shared" si="304"/>
        <v>36854.208333334536</v>
      </c>
      <c r="I1227">
        <f t="shared" si="306"/>
        <v>6.5918000000000001</v>
      </c>
      <c r="J1227">
        <f t="shared" si="307"/>
        <v>17.110399999999998</v>
      </c>
      <c r="K1227">
        <f t="shared" si="308"/>
        <v>18.7028</v>
      </c>
      <c r="L1227">
        <f t="shared" si="309"/>
        <v>-2.1697971200000041</v>
      </c>
      <c r="M1227">
        <f t="shared" si="310"/>
        <v>297.10300000000001</v>
      </c>
      <c r="O1227">
        <v>329</v>
      </c>
      <c r="P1227">
        <v>500</v>
      </c>
      <c r="Q1227">
        <v>0.42499999999999999</v>
      </c>
      <c r="R1227">
        <f t="shared" si="311"/>
        <v>-0.42330861721878349</v>
      </c>
    </row>
    <row r="1228" spans="1:18" x14ac:dyDescent="0.25">
      <c r="A1228">
        <v>711</v>
      </c>
      <c r="B1228">
        <v>48</v>
      </c>
      <c r="C1228">
        <v>120</v>
      </c>
      <c r="D1228">
        <v>286</v>
      </c>
      <c r="E1228">
        <v>486</v>
      </c>
      <c r="F1228">
        <v>912</v>
      </c>
      <c r="G1228" t="s">
        <v>5</v>
      </c>
      <c r="H1228" s="1">
        <f t="shared" si="304"/>
        <v>36854.229166667872</v>
      </c>
      <c r="I1228">
        <f t="shared" si="306"/>
        <v>3.9807999999999999</v>
      </c>
      <c r="J1228">
        <f t="shared" si="307"/>
        <v>9.3520000000000003</v>
      </c>
      <c r="K1228">
        <f t="shared" si="308"/>
        <v>27.083199999999998</v>
      </c>
      <c r="L1228">
        <f t="shared" si="309"/>
        <v>-2.3503160800000056</v>
      </c>
      <c r="M1228">
        <f t="shared" si="310"/>
        <v>319.78799999999995</v>
      </c>
      <c r="O1228">
        <v>329</v>
      </c>
      <c r="P1228">
        <v>530</v>
      </c>
      <c r="Q1228">
        <v>0.42499999999999999</v>
      </c>
      <c r="R1228">
        <f t="shared" si="311"/>
        <v>-0.42316759591693742</v>
      </c>
    </row>
    <row r="1229" spans="1:18" x14ac:dyDescent="0.25">
      <c r="A1229">
        <v>711</v>
      </c>
      <c r="B1229">
        <v>56</v>
      </c>
      <c r="C1229">
        <v>244</v>
      </c>
      <c r="D1229">
        <v>777</v>
      </c>
      <c r="E1229">
        <v>486</v>
      </c>
      <c r="F1229">
        <v>905</v>
      </c>
      <c r="G1229" t="s">
        <v>5</v>
      </c>
      <c r="H1229" s="1">
        <f t="shared" si="304"/>
        <v>36854.250000001208</v>
      </c>
      <c r="I1229">
        <f t="shared" si="306"/>
        <v>4.5776000000000003</v>
      </c>
      <c r="J1229">
        <f t="shared" si="307"/>
        <v>18.602399999999999</v>
      </c>
      <c r="K1229">
        <f t="shared" si="308"/>
        <v>77.263400000000004</v>
      </c>
      <c r="L1229">
        <f t="shared" si="309"/>
        <v>-2.3503160800000056</v>
      </c>
      <c r="M1229">
        <f t="shared" si="310"/>
        <v>317.34499999999997</v>
      </c>
      <c r="O1229">
        <v>329</v>
      </c>
      <c r="P1229">
        <v>600</v>
      </c>
      <c r="Q1229">
        <v>0.42199999999999999</v>
      </c>
      <c r="R1229">
        <f t="shared" si="311"/>
        <v>-0.42018053053399435</v>
      </c>
    </row>
    <row r="1230" spans="1:18" x14ac:dyDescent="0.25">
      <c r="A1230">
        <v>711</v>
      </c>
      <c r="B1230">
        <v>48</v>
      </c>
      <c r="C1230">
        <v>104</v>
      </c>
      <c r="D1230">
        <v>111</v>
      </c>
      <c r="E1230">
        <v>487</v>
      </c>
      <c r="F1230">
        <v>921</v>
      </c>
      <c r="G1230" t="s">
        <v>5</v>
      </c>
      <c r="H1230" s="1">
        <f t="shared" si="304"/>
        <v>36854.270833334544</v>
      </c>
      <c r="I1230">
        <f t="shared" si="306"/>
        <v>3.9807999999999999</v>
      </c>
      <c r="J1230">
        <f t="shared" si="307"/>
        <v>8.1584000000000003</v>
      </c>
      <c r="K1230">
        <f t="shared" si="308"/>
        <v>9.1981999999999999</v>
      </c>
      <c r="L1230">
        <f t="shared" si="309"/>
        <v>-2.2600666200000052</v>
      </c>
      <c r="M1230">
        <f t="shared" si="310"/>
        <v>322.92899999999997</v>
      </c>
      <c r="O1230">
        <v>329</v>
      </c>
      <c r="P1230">
        <v>630</v>
      </c>
      <c r="Q1230">
        <v>0.42499999999999999</v>
      </c>
      <c r="R1230">
        <f t="shared" si="311"/>
        <v>-0.42323810461371164</v>
      </c>
    </row>
    <row r="1231" spans="1:18" x14ac:dyDescent="0.25">
      <c r="A1231">
        <v>711</v>
      </c>
      <c r="B1231">
        <v>71</v>
      </c>
      <c r="C1231">
        <v>232</v>
      </c>
      <c r="D1231">
        <v>848</v>
      </c>
      <c r="E1231">
        <v>489</v>
      </c>
      <c r="F1231">
        <v>865</v>
      </c>
      <c r="G1231" t="s">
        <v>5</v>
      </c>
      <c r="H1231" s="1">
        <f t="shared" si="304"/>
        <v>36854.291666667879</v>
      </c>
      <c r="I1231">
        <f t="shared" si="306"/>
        <v>5.6966000000000001</v>
      </c>
      <c r="J1231">
        <f t="shared" si="307"/>
        <v>17.7072</v>
      </c>
      <c r="K1231">
        <f t="shared" si="308"/>
        <v>84.519599999999997</v>
      </c>
      <c r="L1231">
        <f t="shared" si="309"/>
        <v>-2.0795075800000036</v>
      </c>
      <c r="M1231">
        <f t="shared" si="310"/>
        <v>303.38499999999999</v>
      </c>
      <c r="O1231">
        <v>329</v>
      </c>
      <c r="P1231">
        <v>700</v>
      </c>
      <c r="Q1231">
        <v>0.42499999999999999</v>
      </c>
      <c r="R1231">
        <f t="shared" si="311"/>
        <v>-0.4233791337302002</v>
      </c>
    </row>
    <row r="1232" spans="1:18" x14ac:dyDescent="0.25">
      <c r="A1232">
        <v>711</v>
      </c>
      <c r="B1232">
        <v>48</v>
      </c>
      <c r="C1232">
        <v>124</v>
      </c>
      <c r="D1232">
        <v>235</v>
      </c>
      <c r="E1232">
        <v>488</v>
      </c>
      <c r="F1232">
        <v>908</v>
      </c>
      <c r="G1232" t="s">
        <v>5</v>
      </c>
      <c r="H1232" s="1">
        <f t="shared" si="304"/>
        <v>36854.312500001215</v>
      </c>
      <c r="I1232">
        <f t="shared" si="306"/>
        <v>3.9807999999999999</v>
      </c>
      <c r="J1232">
        <f t="shared" si="307"/>
        <v>9.6503999999999994</v>
      </c>
      <c r="K1232">
        <f t="shared" si="308"/>
        <v>21.870999999999999</v>
      </c>
      <c r="L1232">
        <f t="shared" si="309"/>
        <v>-2.1697971200000041</v>
      </c>
      <c r="M1232">
        <f t="shared" si="310"/>
        <v>318.392</v>
      </c>
      <c r="O1232">
        <v>329</v>
      </c>
      <c r="P1232">
        <v>730</v>
      </c>
      <c r="Q1232">
        <v>0.42199999999999999</v>
      </c>
      <c r="R1232">
        <f t="shared" si="311"/>
        <v>-0.42032055639135679</v>
      </c>
    </row>
    <row r="1233" spans="1:18" x14ac:dyDescent="0.25">
      <c r="A1233">
        <v>711</v>
      </c>
      <c r="B1233">
        <v>56</v>
      </c>
      <c r="C1233">
        <v>128</v>
      </c>
      <c r="D1233">
        <v>717</v>
      </c>
      <c r="E1233">
        <v>490</v>
      </c>
      <c r="F1233">
        <v>896</v>
      </c>
      <c r="G1233" t="s">
        <v>5</v>
      </c>
      <c r="H1233" s="1">
        <f t="shared" si="304"/>
        <v>36854.333333334551</v>
      </c>
      <c r="I1233">
        <f t="shared" si="306"/>
        <v>4.5776000000000003</v>
      </c>
      <c r="J1233">
        <f t="shared" si="307"/>
        <v>9.9488000000000003</v>
      </c>
      <c r="K1233">
        <f t="shared" si="308"/>
        <v>71.131399999999999</v>
      </c>
      <c r="L1233">
        <f t="shared" si="309"/>
        <v>-1.9891980000000031</v>
      </c>
      <c r="M1233">
        <f t="shared" si="310"/>
        <v>314.20399999999995</v>
      </c>
      <c r="O1233">
        <v>329</v>
      </c>
      <c r="P1233">
        <v>800</v>
      </c>
      <c r="Q1233">
        <v>0.42499999999999999</v>
      </c>
      <c r="R1233">
        <f t="shared" si="311"/>
        <v>-0.42344965414601016</v>
      </c>
    </row>
    <row r="1234" spans="1:18" x14ac:dyDescent="0.25">
      <c r="A1234">
        <v>711</v>
      </c>
      <c r="B1234">
        <v>66</v>
      </c>
      <c r="C1234">
        <v>260</v>
      </c>
      <c r="D1234">
        <v>754</v>
      </c>
      <c r="E1234">
        <v>491</v>
      </c>
      <c r="F1234">
        <v>885</v>
      </c>
      <c r="G1234" t="s">
        <v>5</v>
      </c>
      <c r="H1234" s="1">
        <f t="shared" si="304"/>
        <v>36854.354166667887</v>
      </c>
      <c r="I1234">
        <f t="shared" si="306"/>
        <v>5.3236000000000008</v>
      </c>
      <c r="J1234">
        <f t="shared" si="307"/>
        <v>19.795999999999999</v>
      </c>
      <c r="K1234">
        <f t="shared" si="308"/>
        <v>74.912800000000004</v>
      </c>
      <c r="L1234">
        <f t="shared" si="309"/>
        <v>-1.8988683800000024</v>
      </c>
      <c r="M1234">
        <f t="shared" si="310"/>
        <v>310.36499999999995</v>
      </c>
      <c r="O1234">
        <v>329</v>
      </c>
      <c r="P1234">
        <v>830</v>
      </c>
      <c r="Q1234">
        <v>0.42</v>
      </c>
      <c r="R1234">
        <f t="shared" si="311"/>
        <v>-0.41853758812938935</v>
      </c>
    </row>
    <row r="1235" spans="1:18" x14ac:dyDescent="0.25">
      <c r="A1235">
        <v>711</v>
      </c>
      <c r="B1235">
        <v>59</v>
      </c>
      <c r="C1235">
        <v>128</v>
      </c>
      <c r="D1235">
        <v>287</v>
      </c>
      <c r="E1235">
        <v>499</v>
      </c>
      <c r="F1235">
        <v>853</v>
      </c>
      <c r="G1235" t="s">
        <v>5</v>
      </c>
      <c r="H1235" s="1">
        <f t="shared" si="304"/>
        <v>36854.375000001222</v>
      </c>
      <c r="I1235">
        <f t="shared" si="306"/>
        <v>4.8014000000000001</v>
      </c>
      <c r="J1235">
        <f t="shared" si="307"/>
        <v>9.9488000000000003</v>
      </c>
      <c r="K1235">
        <f t="shared" si="308"/>
        <v>27.185399999999998</v>
      </c>
      <c r="L1235">
        <f t="shared" si="309"/>
        <v>-1.1755099800000037</v>
      </c>
      <c r="M1235">
        <f t="shared" si="310"/>
        <v>299.197</v>
      </c>
      <c r="O1235">
        <v>329</v>
      </c>
      <c r="P1235">
        <v>900</v>
      </c>
      <c r="Q1235">
        <v>0.42</v>
      </c>
      <c r="R1235">
        <f t="shared" si="311"/>
        <v>-0.41909528369676247</v>
      </c>
    </row>
    <row r="1236" spans="1:18" x14ac:dyDescent="0.25">
      <c r="A1236">
        <v>711</v>
      </c>
      <c r="B1236">
        <v>72</v>
      </c>
      <c r="C1236">
        <v>148</v>
      </c>
      <c r="D1236">
        <v>749</v>
      </c>
      <c r="E1236">
        <v>491</v>
      </c>
      <c r="F1236">
        <v>861</v>
      </c>
      <c r="G1236" t="s">
        <v>5</v>
      </c>
      <c r="H1236" s="1">
        <f t="shared" si="304"/>
        <v>36854.395833334558</v>
      </c>
      <c r="I1236">
        <f t="shared" si="306"/>
        <v>5.7712000000000003</v>
      </c>
      <c r="J1236">
        <f t="shared" si="307"/>
        <v>11.440800000000001</v>
      </c>
      <c r="K1236">
        <f t="shared" si="308"/>
        <v>74.401799999999994</v>
      </c>
      <c r="L1236">
        <f t="shared" si="309"/>
        <v>-1.8988683800000024</v>
      </c>
      <c r="M1236">
        <f t="shared" si="310"/>
        <v>301.98899999999998</v>
      </c>
      <c r="O1236">
        <v>329</v>
      </c>
      <c r="P1236">
        <v>930</v>
      </c>
      <c r="Q1236">
        <v>0.42199999999999999</v>
      </c>
      <c r="R1236">
        <f t="shared" si="311"/>
        <v>-0.42053062426333881</v>
      </c>
    </row>
    <row r="1237" spans="1:18" x14ac:dyDescent="0.25">
      <c r="A1237">
        <v>711</v>
      </c>
      <c r="B1237">
        <v>72</v>
      </c>
      <c r="C1237">
        <v>144</v>
      </c>
      <c r="D1237">
        <v>346</v>
      </c>
      <c r="E1237">
        <v>495</v>
      </c>
      <c r="F1237">
        <v>761</v>
      </c>
      <c r="G1237" t="s">
        <v>5</v>
      </c>
      <c r="H1237" s="1">
        <f t="shared" si="304"/>
        <v>36854.416666667894</v>
      </c>
      <c r="I1237">
        <f t="shared" si="306"/>
        <v>5.7712000000000003</v>
      </c>
      <c r="J1237">
        <f t="shared" si="307"/>
        <v>11.1424</v>
      </c>
      <c r="K1237">
        <f t="shared" si="308"/>
        <v>33.215199999999996</v>
      </c>
      <c r="L1237">
        <f t="shared" si="309"/>
        <v>-1.5373494999999995</v>
      </c>
      <c r="M1237">
        <f t="shared" si="310"/>
        <v>267.089</v>
      </c>
      <c r="O1237">
        <v>329</v>
      </c>
      <c r="P1237">
        <v>1000</v>
      </c>
      <c r="Q1237">
        <v>0.42199999999999999</v>
      </c>
      <c r="R1237">
        <f t="shared" si="311"/>
        <v>-0.42081076897175446</v>
      </c>
    </row>
    <row r="1238" spans="1:18" x14ac:dyDescent="0.25">
      <c r="A1238">
        <v>711</v>
      </c>
      <c r="B1238">
        <v>71</v>
      </c>
      <c r="C1238">
        <v>120</v>
      </c>
      <c r="D1238">
        <v>783</v>
      </c>
      <c r="E1238">
        <v>495</v>
      </c>
      <c r="F1238">
        <v>821</v>
      </c>
      <c r="G1238" t="s">
        <v>5</v>
      </c>
      <c r="H1238" s="1">
        <f t="shared" si="304"/>
        <v>36854.43750000123</v>
      </c>
      <c r="I1238">
        <f t="shared" si="306"/>
        <v>5.6966000000000001</v>
      </c>
      <c r="J1238">
        <f t="shared" si="307"/>
        <v>9.3520000000000003</v>
      </c>
      <c r="K1238">
        <f t="shared" si="308"/>
        <v>77.876599999999996</v>
      </c>
      <c r="L1238">
        <f t="shared" si="309"/>
        <v>-1.5373494999999995</v>
      </c>
      <c r="M1238">
        <f t="shared" si="310"/>
        <v>288.029</v>
      </c>
      <c r="O1238">
        <v>329</v>
      </c>
      <c r="P1238">
        <v>1030</v>
      </c>
      <c r="Q1238">
        <v>0.42499999999999999</v>
      </c>
      <c r="R1238">
        <f t="shared" si="311"/>
        <v>-0.42380231472273849</v>
      </c>
    </row>
    <row r="1239" spans="1:18" x14ac:dyDescent="0.25">
      <c r="A1239">
        <v>711</v>
      </c>
      <c r="B1239">
        <v>30</v>
      </c>
      <c r="C1239">
        <v>84</v>
      </c>
      <c r="D1239">
        <v>889</v>
      </c>
      <c r="E1239">
        <v>500</v>
      </c>
      <c r="F1239">
        <v>797</v>
      </c>
      <c r="G1239" t="s">
        <v>5</v>
      </c>
      <c r="H1239" s="1">
        <f t="shared" si="304"/>
        <v>36854.458333334565</v>
      </c>
      <c r="I1239">
        <f t="shared" si="306"/>
        <v>2.6379999999999999</v>
      </c>
      <c r="J1239">
        <f t="shared" si="307"/>
        <v>6.6664000000000003</v>
      </c>
      <c r="K1239">
        <f t="shared" si="308"/>
        <v>88.709800000000001</v>
      </c>
      <c r="L1239">
        <f t="shared" si="309"/>
        <v>-1.0850000000000031</v>
      </c>
      <c r="M1239">
        <f t="shared" si="310"/>
        <v>279.65299999999996</v>
      </c>
      <c r="O1239">
        <v>329</v>
      </c>
      <c r="P1239">
        <v>1100</v>
      </c>
      <c r="Q1239">
        <v>0.41699999999999998</v>
      </c>
      <c r="R1239">
        <f t="shared" si="311"/>
        <v>-0.4161709771326903</v>
      </c>
    </row>
    <row r="1240" spans="1:18" x14ac:dyDescent="0.25">
      <c r="A1240">
        <v>711</v>
      </c>
      <c r="B1240">
        <v>63</v>
      </c>
      <c r="C1240">
        <v>108</v>
      </c>
      <c r="D1240">
        <v>985</v>
      </c>
      <c r="E1240">
        <v>500</v>
      </c>
      <c r="F1240">
        <v>757</v>
      </c>
      <c r="G1240" t="s">
        <v>5</v>
      </c>
      <c r="H1240" s="1">
        <f t="shared" si="304"/>
        <v>36854.479166667901</v>
      </c>
      <c r="I1240">
        <f t="shared" si="306"/>
        <v>5.0998000000000001</v>
      </c>
      <c r="J1240">
        <f t="shared" si="307"/>
        <v>8.4567999999999994</v>
      </c>
      <c r="K1240">
        <f t="shared" si="308"/>
        <v>98.521000000000001</v>
      </c>
      <c r="L1240">
        <f t="shared" si="309"/>
        <v>-1.0850000000000031</v>
      </c>
      <c r="M1240">
        <f t="shared" si="310"/>
        <v>265.69299999999998</v>
      </c>
      <c r="O1240">
        <v>329</v>
      </c>
      <c r="P1240">
        <v>1130</v>
      </c>
      <c r="Q1240">
        <v>0.41499999999999998</v>
      </c>
      <c r="R1240">
        <f t="shared" si="311"/>
        <v>-0.41417495326155029</v>
      </c>
    </row>
    <row r="1241" spans="1:18" x14ac:dyDescent="0.25">
      <c r="A1241">
        <v>711</v>
      </c>
      <c r="B1241">
        <v>26</v>
      </c>
      <c r="C1241">
        <v>60</v>
      </c>
      <c r="D1241">
        <v>841</v>
      </c>
      <c r="E1241">
        <v>503</v>
      </c>
      <c r="F1241">
        <v>765</v>
      </c>
      <c r="G1241" t="s">
        <v>5</v>
      </c>
      <c r="H1241" s="1">
        <f t="shared" si="304"/>
        <v>36854.500000001237</v>
      </c>
      <c r="I1241">
        <f t="shared" si="306"/>
        <v>2.3395999999999999</v>
      </c>
      <c r="J1241">
        <f t="shared" si="307"/>
        <v>4.8760000000000003</v>
      </c>
      <c r="K1241">
        <f t="shared" si="308"/>
        <v>83.804199999999994</v>
      </c>
      <c r="L1241">
        <f t="shared" si="309"/>
        <v>-0.81334982000000133</v>
      </c>
      <c r="M1241">
        <f t="shared" si="310"/>
        <v>268.48499999999996</v>
      </c>
      <c r="O1241">
        <v>329</v>
      </c>
      <c r="P1241">
        <v>1200</v>
      </c>
      <c r="Q1241">
        <v>0.41</v>
      </c>
      <c r="R1241">
        <f t="shared" si="311"/>
        <v>-0.40938912311969544</v>
      </c>
    </row>
    <row r="1242" spans="1:18" x14ac:dyDescent="0.25">
      <c r="A1242">
        <v>711</v>
      </c>
      <c r="B1242">
        <v>49</v>
      </c>
      <c r="C1242">
        <v>96</v>
      </c>
      <c r="D1242">
        <v>975</v>
      </c>
      <c r="E1242">
        <v>500</v>
      </c>
      <c r="F1242">
        <v>765</v>
      </c>
      <c r="G1242" t="s">
        <v>5</v>
      </c>
      <c r="H1242" s="1">
        <f t="shared" si="304"/>
        <v>36854.520833334573</v>
      </c>
      <c r="I1242">
        <f t="shared" si="306"/>
        <v>4.0554000000000006</v>
      </c>
      <c r="J1242">
        <f t="shared" si="307"/>
        <v>7.5616000000000003</v>
      </c>
      <c r="K1242">
        <f t="shared" si="308"/>
        <v>97.498999999999995</v>
      </c>
      <c r="L1242">
        <f t="shared" si="309"/>
        <v>-1.0850000000000031</v>
      </c>
      <c r="M1242">
        <f t="shared" si="310"/>
        <v>268.48499999999996</v>
      </c>
      <c r="O1242">
        <v>329</v>
      </c>
      <c r="P1242">
        <v>1230</v>
      </c>
      <c r="Q1242">
        <v>0.41</v>
      </c>
      <c r="R1242">
        <f t="shared" si="311"/>
        <v>-0.4091848935837003</v>
      </c>
    </row>
    <row r="1243" spans="1:18" x14ac:dyDescent="0.25">
      <c r="A1243">
        <v>711</v>
      </c>
      <c r="B1243">
        <v>31</v>
      </c>
      <c r="C1243">
        <v>64</v>
      </c>
      <c r="D1243">
        <v>828</v>
      </c>
      <c r="E1243">
        <v>501</v>
      </c>
      <c r="F1243">
        <v>761</v>
      </c>
      <c r="G1243" t="s">
        <v>5</v>
      </c>
      <c r="H1243" s="1">
        <f t="shared" si="304"/>
        <v>36854.541666667908</v>
      </c>
      <c r="I1243">
        <f t="shared" si="306"/>
        <v>2.7125999999999997</v>
      </c>
      <c r="J1243">
        <f t="shared" si="307"/>
        <v>5.1744000000000003</v>
      </c>
      <c r="K1243">
        <f t="shared" si="308"/>
        <v>82.4756</v>
      </c>
      <c r="L1243">
        <f t="shared" si="309"/>
        <v>-0.99446998000000253</v>
      </c>
      <c r="M1243">
        <f t="shared" si="310"/>
        <v>267.089</v>
      </c>
      <c r="O1243">
        <v>329</v>
      </c>
      <c r="P1243">
        <v>1300</v>
      </c>
      <c r="Q1243">
        <v>0.41499999999999998</v>
      </c>
      <c r="R1243">
        <f t="shared" si="311"/>
        <v>-0.41424385618579657</v>
      </c>
    </row>
    <row r="1244" spans="1:18" x14ac:dyDescent="0.25">
      <c r="A1244">
        <v>11</v>
      </c>
      <c r="B1244">
        <v>72</v>
      </c>
      <c r="C1244">
        <v>140</v>
      </c>
      <c r="D1244">
        <v>906</v>
      </c>
      <c r="E1244">
        <v>498</v>
      </c>
      <c r="F1244">
        <v>833</v>
      </c>
      <c r="G1244" t="s">
        <v>5</v>
      </c>
      <c r="H1244" s="1">
        <f t="shared" si="304"/>
        <v>36854.562500001244</v>
      </c>
      <c r="I1244">
        <f t="shared" ref="I1244:I1258" si="312">0.4+0.0746*B1244</f>
        <v>5.7712000000000003</v>
      </c>
      <c r="J1244">
        <f t="shared" ref="J1244:J1258" si="313">0.4+0.0746*C1244</f>
        <v>10.843999999999999</v>
      </c>
      <c r="K1244">
        <f t="shared" ref="K1244:K1258" si="314">-2.146+0.1022*D1244</f>
        <v>90.447199999999995</v>
      </c>
      <c r="L1244">
        <f t="shared" ref="L1244:L1258" si="315">-43.84+0.0805*E1244+0.00001002*E1244^2</f>
        <v>-1.2659999200000045</v>
      </c>
      <c r="M1244">
        <f t="shared" ref="M1244:M1258" si="316">1.5+0.349*F1244</f>
        <v>292.21699999999998</v>
      </c>
      <c r="O1244">
        <v>329</v>
      </c>
      <c r="P1244">
        <v>1330</v>
      </c>
      <c r="Q1244">
        <v>0.41499999999999998</v>
      </c>
      <c r="R1244">
        <f t="shared" si="311"/>
        <v>-0.41403715878987019</v>
      </c>
    </row>
    <row r="1245" spans="1:18" x14ac:dyDescent="0.25">
      <c r="A1245">
        <v>11</v>
      </c>
      <c r="B1245">
        <v>49</v>
      </c>
      <c r="C1245">
        <v>132</v>
      </c>
      <c r="D1245">
        <v>154</v>
      </c>
      <c r="E1245">
        <v>494</v>
      </c>
      <c r="F1245">
        <v>840</v>
      </c>
      <c r="G1245" t="s">
        <v>5</v>
      </c>
      <c r="H1245" s="1">
        <f t="shared" si="304"/>
        <v>36854.58333333458</v>
      </c>
      <c r="I1245">
        <f t="shared" si="312"/>
        <v>4.0554000000000006</v>
      </c>
      <c r="J1245">
        <f t="shared" si="313"/>
        <v>10.247200000000001</v>
      </c>
      <c r="K1245">
        <f t="shared" si="314"/>
        <v>13.5928</v>
      </c>
      <c r="L1245">
        <f t="shared" si="315"/>
        <v>-1.6277592800000003</v>
      </c>
      <c r="M1245">
        <f t="shared" si="316"/>
        <v>294.65999999999997</v>
      </c>
      <c r="O1245">
        <v>329</v>
      </c>
      <c r="P1245">
        <v>1400</v>
      </c>
      <c r="Q1245">
        <v>0.41699999999999998</v>
      </c>
      <c r="R1245">
        <f t="shared" si="311"/>
        <v>-0.41575564728827941</v>
      </c>
    </row>
    <row r="1246" spans="1:18" x14ac:dyDescent="0.25">
      <c r="A1246">
        <v>1</v>
      </c>
      <c r="B1246">
        <v>56</v>
      </c>
      <c r="C1246">
        <v>112</v>
      </c>
      <c r="D1246">
        <v>905</v>
      </c>
      <c r="E1246">
        <v>503</v>
      </c>
      <c r="F1246">
        <v>813</v>
      </c>
      <c r="G1246" t="s">
        <v>5</v>
      </c>
      <c r="H1246" s="1">
        <f t="shared" si="304"/>
        <v>36854.604166667916</v>
      </c>
      <c r="I1246">
        <f t="shared" si="312"/>
        <v>4.5776000000000003</v>
      </c>
      <c r="J1246">
        <f t="shared" si="313"/>
        <v>8.7552000000000003</v>
      </c>
      <c r="K1246">
        <f t="shared" si="314"/>
        <v>90.344999999999999</v>
      </c>
      <c r="L1246">
        <f t="shared" si="315"/>
        <v>-0.81334982000000133</v>
      </c>
      <c r="M1246">
        <f t="shared" si="316"/>
        <v>285.23699999999997</v>
      </c>
      <c r="O1246">
        <v>329</v>
      </c>
      <c r="P1246">
        <v>1430</v>
      </c>
      <c r="Q1246">
        <v>0.41699999999999998</v>
      </c>
      <c r="R1246">
        <f t="shared" si="311"/>
        <v>-0.41637869351442197</v>
      </c>
    </row>
    <row r="1247" spans="1:18" x14ac:dyDescent="0.25">
      <c r="A1247">
        <v>1</v>
      </c>
      <c r="B1247">
        <v>51</v>
      </c>
      <c r="C1247">
        <v>112</v>
      </c>
      <c r="D1247">
        <v>138</v>
      </c>
      <c r="E1247">
        <v>493</v>
      </c>
      <c r="F1247">
        <v>825</v>
      </c>
      <c r="G1247" t="s">
        <v>5</v>
      </c>
      <c r="H1247" s="1">
        <f t="shared" si="304"/>
        <v>36854.625000001251</v>
      </c>
      <c r="I1247">
        <f t="shared" si="312"/>
        <v>4.2046000000000001</v>
      </c>
      <c r="J1247">
        <f t="shared" si="313"/>
        <v>8.7552000000000003</v>
      </c>
      <c r="K1247">
        <f t="shared" si="314"/>
        <v>11.957599999999999</v>
      </c>
      <c r="L1247">
        <f t="shared" si="315"/>
        <v>-1.7181490200000011</v>
      </c>
      <c r="M1247">
        <f t="shared" si="316"/>
        <v>289.42499999999995</v>
      </c>
      <c r="O1247">
        <v>329</v>
      </c>
      <c r="P1247">
        <v>1500</v>
      </c>
      <c r="Q1247">
        <v>0.42</v>
      </c>
      <c r="R1247">
        <f t="shared" si="311"/>
        <v>-0.41867698893206334</v>
      </c>
    </row>
    <row r="1248" spans="1:18" x14ac:dyDescent="0.25">
      <c r="A1248">
        <v>1</v>
      </c>
      <c r="B1248">
        <v>49</v>
      </c>
      <c r="C1248">
        <v>96</v>
      </c>
      <c r="D1248">
        <v>791</v>
      </c>
      <c r="E1248">
        <v>504</v>
      </c>
      <c r="F1248">
        <v>797</v>
      </c>
      <c r="G1248" t="s">
        <v>5</v>
      </c>
      <c r="H1248" s="1">
        <f t="shared" si="304"/>
        <v>36854.645833334587</v>
      </c>
      <c r="I1248">
        <f t="shared" si="312"/>
        <v>4.0554000000000006</v>
      </c>
      <c r="J1248">
        <f t="shared" si="313"/>
        <v>7.5616000000000003</v>
      </c>
      <c r="K1248">
        <f t="shared" si="314"/>
        <v>78.694199999999995</v>
      </c>
      <c r="L1248">
        <f t="shared" si="315"/>
        <v>-0.72275968000000068</v>
      </c>
      <c r="M1248">
        <f t="shared" si="316"/>
        <v>279.65299999999996</v>
      </c>
      <c r="O1248">
        <v>329</v>
      </c>
      <c r="P1248">
        <v>1530</v>
      </c>
      <c r="Q1248">
        <v>0.42</v>
      </c>
      <c r="R1248">
        <f t="shared" si="311"/>
        <v>-0.41944396826403491</v>
      </c>
    </row>
    <row r="1249" spans="1:18" x14ac:dyDescent="0.25">
      <c r="A1249">
        <v>1</v>
      </c>
      <c r="B1249">
        <v>49</v>
      </c>
      <c r="C1249">
        <v>116</v>
      </c>
      <c r="D1249">
        <v>195</v>
      </c>
      <c r="E1249">
        <v>500</v>
      </c>
      <c r="F1249">
        <v>784</v>
      </c>
      <c r="G1249" t="s">
        <v>5</v>
      </c>
      <c r="H1249" s="1">
        <f t="shared" si="304"/>
        <v>36854.666666667923</v>
      </c>
      <c r="I1249">
        <f t="shared" si="312"/>
        <v>4.0554000000000006</v>
      </c>
      <c r="J1249">
        <f t="shared" si="313"/>
        <v>9.0536000000000012</v>
      </c>
      <c r="K1249">
        <f t="shared" si="314"/>
        <v>17.782999999999998</v>
      </c>
      <c r="L1249">
        <f t="shared" si="315"/>
        <v>-1.0850000000000031</v>
      </c>
      <c r="M1249">
        <f t="shared" si="316"/>
        <v>275.11599999999999</v>
      </c>
      <c r="O1249">
        <v>329</v>
      </c>
      <c r="P1249">
        <v>1600</v>
      </c>
      <c r="Q1249">
        <v>0.42199999999999999</v>
      </c>
      <c r="R1249">
        <f t="shared" si="311"/>
        <v>-0.42116103681054029</v>
      </c>
    </row>
    <row r="1250" spans="1:18" x14ac:dyDescent="0.25">
      <c r="A1250">
        <v>7</v>
      </c>
      <c r="B1250">
        <v>48</v>
      </c>
      <c r="C1250">
        <v>84</v>
      </c>
      <c r="D1250">
        <v>842</v>
      </c>
      <c r="E1250">
        <v>501</v>
      </c>
      <c r="F1250">
        <v>821</v>
      </c>
      <c r="G1250" t="s">
        <v>5</v>
      </c>
      <c r="H1250" s="1">
        <f t="shared" si="304"/>
        <v>36854.687500001259</v>
      </c>
      <c r="I1250">
        <f t="shared" si="312"/>
        <v>3.9807999999999999</v>
      </c>
      <c r="J1250">
        <f t="shared" si="313"/>
        <v>6.6664000000000003</v>
      </c>
      <c r="K1250">
        <f t="shared" si="314"/>
        <v>83.906400000000005</v>
      </c>
      <c r="L1250">
        <f t="shared" si="315"/>
        <v>-0.99446998000000253</v>
      </c>
      <c r="M1250">
        <f t="shared" si="316"/>
        <v>288.029</v>
      </c>
      <c r="O1250">
        <v>329</v>
      </c>
      <c r="P1250">
        <v>1630</v>
      </c>
      <c r="Q1250">
        <v>0.42199999999999999</v>
      </c>
      <c r="R1250">
        <f t="shared" si="311"/>
        <v>-0.4212311019527859</v>
      </c>
    </row>
    <row r="1251" spans="1:18" x14ac:dyDescent="0.25">
      <c r="A1251">
        <v>7</v>
      </c>
      <c r="B1251">
        <v>72</v>
      </c>
      <c r="C1251">
        <v>120</v>
      </c>
      <c r="D1251">
        <v>963</v>
      </c>
      <c r="E1251">
        <v>502</v>
      </c>
      <c r="F1251">
        <v>785</v>
      </c>
      <c r="G1251" t="s">
        <v>5</v>
      </c>
      <c r="H1251" s="1">
        <f t="shared" si="304"/>
        <v>36854.708333334594</v>
      </c>
      <c r="I1251">
        <f t="shared" si="312"/>
        <v>5.7712000000000003</v>
      </c>
      <c r="J1251">
        <f t="shared" si="313"/>
        <v>9.3520000000000003</v>
      </c>
      <c r="K1251">
        <f t="shared" si="314"/>
        <v>96.272599999999997</v>
      </c>
      <c r="L1251">
        <f t="shared" si="315"/>
        <v>-0.9039199200000021</v>
      </c>
      <c r="M1251">
        <f t="shared" si="316"/>
        <v>275.46499999999997</v>
      </c>
      <c r="O1251">
        <v>329</v>
      </c>
      <c r="P1251">
        <v>1700</v>
      </c>
      <c r="Q1251">
        <v>0.42499999999999999</v>
      </c>
      <c r="R1251">
        <f t="shared" si="311"/>
        <v>-0.42429620296966547</v>
      </c>
    </row>
    <row r="1252" spans="1:18" x14ac:dyDescent="0.25">
      <c r="A1252">
        <v>7</v>
      </c>
      <c r="B1252">
        <v>45</v>
      </c>
      <c r="C1252">
        <v>92</v>
      </c>
      <c r="D1252">
        <v>844</v>
      </c>
      <c r="E1252">
        <v>496</v>
      </c>
      <c r="F1252">
        <v>805</v>
      </c>
      <c r="G1252" t="s">
        <v>5</v>
      </c>
      <c r="H1252" s="1">
        <f t="shared" si="304"/>
        <v>36854.72916666793</v>
      </c>
      <c r="I1252">
        <f t="shared" si="312"/>
        <v>3.7570000000000001</v>
      </c>
      <c r="J1252">
        <f t="shared" si="313"/>
        <v>7.2632000000000003</v>
      </c>
      <c r="K1252">
        <f t="shared" si="314"/>
        <v>84.110799999999998</v>
      </c>
      <c r="L1252">
        <f t="shared" si="315"/>
        <v>-1.4469196799999988</v>
      </c>
      <c r="M1252">
        <f t="shared" si="316"/>
        <v>282.44499999999999</v>
      </c>
      <c r="O1252">
        <v>329</v>
      </c>
      <c r="P1252">
        <v>1730</v>
      </c>
      <c r="Q1252">
        <v>0.42499999999999999</v>
      </c>
      <c r="R1252">
        <f t="shared" si="311"/>
        <v>-0.42387285852399231</v>
      </c>
    </row>
    <row r="1253" spans="1:18" x14ac:dyDescent="0.25">
      <c r="A1253">
        <v>71</v>
      </c>
      <c r="B1253">
        <v>88</v>
      </c>
      <c r="C1253">
        <v>136</v>
      </c>
      <c r="D1253">
        <v>886</v>
      </c>
      <c r="E1253">
        <v>499</v>
      </c>
      <c r="F1253">
        <v>780</v>
      </c>
      <c r="G1253" t="s">
        <v>5</v>
      </c>
      <c r="H1253" s="1">
        <f t="shared" si="304"/>
        <v>36854.750000001266</v>
      </c>
      <c r="I1253">
        <f t="shared" si="312"/>
        <v>6.9648000000000003</v>
      </c>
      <c r="J1253">
        <f t="shared" si="313"/>
        <v>10.5456</v>
      </c>
      <c r="K1253">
        <f t="shared" si="314"/>
        <v>88.403199999999998</v>
      </c>
      <c r="L1253">
        <f t="shared" si="315"/>
        <v>-1.1755099800000037</v>
      </c>
      <c r="M1253">
        <f t="shared" si="316"/>
        <v>273.71999999999997</v>
      </c>
      <c r="O1253">
        <v>329</v>
      </c>
      <c r="P1253">
        <v>1800</v>
      </c>
      <c r="Q1253">
        <v>0.42499999999999999</v>
      </c>
      <c r="R1253">
        <f t="shared" si="311"/>
        <v>-0.42408451326458108</v>
      </c>
    </row>
    <row r="1254" spans="1:18" x14ac:dyDescent="0.25">
      <c r="A1254">
        <v>71</v>
      </c>
      <c r="B1254">
        <v>60</v>
      </c>
      <c r="C1254">
        <v>140</v>
      </c>
      <c r="D1254">
        <v>283</v>
      </c>
      <c r="E1254">
        <v>493</v>
      </c>
      <c r="F1254">
        <v>821</v>
      </c>
      <c r="G1254" t="s">
        <v>5</v>
      </c>
      <c r="H1254" s="1">
        <f t="shared" si="304"/>
        <v>36854.770833334602</v>
      </c>
      <c r="I1254">
        <f t="shared" si="312"/>
        <v>4.8760000000000003</v>
      </c>
      <c r="J1254">
        <f t="shared" si="313"/>
        <v>10.843999999999999</v>
      </c>
      <c r="K1254">
        <f t="shared" si="314"/>
        <v>26.776599999999998</v>
      </c>
      <c r="L1254">
        <f t="shared" si="315"/>
        <v>-1.7181490200000011</v>
      </c>
      <c r="M1254">
        <f t="shared" si="316"/>
        <v>288.029</v>
      </c>
      <c r="O1254">
        <v>329</v>
      </c>
      <c r="P1254">
        <v>1830</v>
      </c>
      <c r="Q1254">
        <v>0.42699999999999999</v>
      </c>
      <c r="R1254">
        <f t="shared" si="311"/>
        <v>-0.42565493874759774</v>
      </c>
    </row>
    <row r="1255" spans="1:18" x14ac:dyDescent="0.25">
      <c r="A1255">
        <v>71</v>
      </c>
      <c r="B1255">
        <v>56</v>
      </c>
      <c r="C1255">
        <v>104</v>
      </c>
      <c r="D1255">
        <v>881</v>
      </c>
      <c r="E1255">
        <v>498</v>
      </c>
      <c r="F1255">
        <v>804</v>
      </c>
      <c r="G1255" t="s">
        <v>5</v>
      </c>
      <c r="H1255" s="1">
        <f t="shared" si="304"/>
        <v>36854.791666667938</v>
      </c>
      <c r="I1255">
        <f t="shared" si="312"/>
        <v>4.5776000000000003</v>
      </c>
      <c r="J1255">
        <f t="shared" si="313"/>
        <v>8.1584000000000003</v>
      </c>
      <c r="K1255">
        <f t="shared" si="314"/>
        <v>87.892200000000003</v>
      </c>
      <c r="L1255">
        <f t="shared" si="315"/>
        <v>-1.2659999200000045</v>
      </c>
      <c r="M1255">
        <f t="shared" si="316"/>
        <v>282.096</v>
      </c>
      <c r="O1255">
        <v>329</v>
      </c>
      <c r="P1255">
        <v>1900</v>
      </c>
      <c r="Q1255">
        <v>0.42699999999999999</v>
      </c>
      <c r="R1255">
        <f t="shared" si="311"/>
        <v>-0.426009317598252</v>
      </c>
    </row>
    <row r="1256" spans="1:18" x14ac:dyDescent="0.25">
      <c r="A1256">
        <v>71</v>
      </c>
      <c r="B1256">
        <v>72</v>
      </c>
      <c r="C1256">
        <v>140</v>
      </c>
      <c r="D1256">
        <v>302</v>
      </c>
      <c r="E1256">
        <v>493</v>
      </c>
      <c r="F1256">
        <v>819</v>
      </c>
      <c r="G1256" t="s">
        <v>5</v>
      </c>
      <c r="H1256" s="1">
        <f t="shared" si="304"/>
        <v>36854.812500001273</v>
      </c>
      <c r="I1256">
        <f t="shared" si="312"/>
        <v>5.7712000000000003</v>
      </c>
      <c r="J1256">
        <f t="shared" si="313"/>
        <v>10.843999999999999</v>
      </c>
      <c r="K1256">
        <f t="shared" si="314"/>
        <v>28.718399999999999</v>
      </c>
      <c r="L1256">
        <f t="shared" si="315"/>
        <v>-1.7181490200000011</v>
      </c>
      <c r="M1256">
        <f t="shared" si="316"/>
        <v>287.33099999999996</v>
      </c>
      <c r="O1256">
        <v>329</v>
      </c>
      <c r="P1256">
        <v>1930</v>
      </c>
      <c r="Q1256">
        <v>0.42699999999999999</v>
      </c>
      <c r="R1256">
        <f t="shared" si="311"/>
        <v>-0.42565493874759774</v>
      </c>
    </row>
    <row r="1257" spans="1:18" x14ac:dyDescent="0.25">
      <c r="A1257">
        <v>71</v>
      </c>
      <c r="B1257">
        <v>46</v>
      </c>
      <c r="C1257">
        <v>88</v>
      </c>
      <c r="D1257">
        <v>875</v>
      </c>
      <c r="E1257">
        <v>490</v>
      </c>
      <c r="F1257">
        <v>841</v>
      </c>
      <c r="G1257" t="s">
        <v>5</v>
      </c>
      <c r="H1257" s="1">
        <f t="shared" si="304"/>
        <v>36854.833333334609</v>
      </c>
      <c r="I1257">
        <f t="shared" si="312"/>
        <v>3.8315999999999999</v>
      </c>
      <c r="J1257">
        <f t="shared" si="313"/>
        <v>6.9648000000000003</v>
      </c>
      <c r="K1257">
        <f t="shared" si="314"/>
        <v>87.278999999999996</v>
      </c>
      <c r="L1257">
        <f t="shared" si="315"/>
        <v>-1.9891980000000031</v>
      </c>
      <c r="M1257">
        <f t="shared" si="316"/>
        <v>295.00899999999996</v>
      </c>
      <c r="O1257">
        <v>329</v>
      </c>
      <c r="P1257">
        <v>2000</v>
      </c>
      <c r="Q1257">
        <v>0.42699999999999999</v>
      </c>
      <c r="R1257">
        <f t="shared" si="311"/>
        <v>-0.4254423584008149</v>
      </c>
    </row>
    <row r="1258" spans="1:18" x14ac:dyDescent="0.25">
      <c r="A1258">
        <v>71</v>
      </c>
      <c r="B1258">
        <v>54</v>
      </c>
      <c r="C1258">
        <v>88</v>
      </c>
      <c r="D1258">
        <v>906</v>
      </c>
      <c r="E1258">
        <v>493</v>
      </c>
      <c r="F1258">
        <v>832</v>
      </c>
      <c r="G1258" t="s">
        <v>5</v>
      </c>
      <c r="H1258" s="1">
        <f>H1257+1/48</f>
        <v>36854.854166667945</v>
      </c>
      <c r="I1258">
        <f t="shared" si="312"/>
        <v>4.4283999999999999</v>
      </c>
      <c r="J1258">
        <f t="shared" si="313"/>
        <v>6.9648000000000003</v>
      </c>
      <c r="K1258">
        <f t="shared" si="314"/>
        <v>90.447199999999995</v>
      </c>
      <c r="L1258">
        <f t="shared" si="315"/>
        <v>-1.7181490200000011</v>
      </c>
      <c r="M1258">
        <f t="shared" si="316"/>
        <v>291.86799999999999</v>
      </c>
      <c r="O1258">
        <v>329</v>
      </c>
      <c r="P1258">
        <v>2030</v>
      </c>
      <c r="Q1258">
        <v>0.42699999999999999</v>
      </c>
      <c r="R1258">
        <f t="shared" si="311"/>
        <v>-0.42565493874759774</v>
      </c>
    </row>
    <row r="1259" spans="1:18" x14ac:dyDescent="0.25">
      <c r="A1259">
        <v>71</v>
      </c>
      <c r="B1259">
        <v>22</v>
      </c>
      <c r="C1259">
        <v>72</v>
      </c>
      <c r="D1259">
        <v>519</v>
      </c>
      <c r="E1259">
        <v>490</v>
      </c>
      <c r="F1259">
        <v>869</v>
      </c>
      <c r="G1259" t="s">
        <v>5</v>
      </c>
      <c r="H1259" s="1">
        <f t="shared" ref="H1259:H1292" si="317">H1258+1/48</f>
        <v>36854.875000001281</v>
      </c>
      <c r="I1259">
        <f t="shared" ref="I1259:I1292" si="318">0.4+0.0746*B1259</f>
        <v>2.0411999999999999</v>
      </c>
      <c r="J1259">
        <f t="shared" ref="J1259:J1292" si="319">0.4+0.0746*C1259</f>
        <v>5.7712000000000003</v>
      </c>
      <c r="K1259">
        <f t="shared" ref="K1259:K1292" si="320">-2.146+0.1022*D1259</f>
        <v>50.895800000000001</v>
      </c>
      <c r="L1259">
        <f t="shared" ref="L1259:L1292" si="321">-43.84+0.0805*E1259+0.00001002*E1259^2</f>
        <v>-1.9891980000000031</v>
      </c>
      <c r="M1259">
        <f t="shared" ref="M1259:M1292" si="322">1.5+0.349*F1259</f>
        <v>304.78100000000001</v>
      </c>
      <c r="O1259">
        <v>329</v>
      </c>
      <c r="P1259">
        <v>2100</v>
      </c>
      <c r="Q1259">
        <v>0.42699999999999999</v>
      </c>
      <c r="R1259">
        <f t="shared" si="311"/>
        <v>-0.4254423584008149</v>
      </c>
    </row>
    <row r="1260" spans="1:18" x14ac:dyDescent="0.25">
      <c r="A1260">
        <v>711</v>
      </c>
      <c r="B1260">
        <v>16</v>
      </c>
      <c r="C1260">
        <v>48</v>
      </c>
      <c r="D1260">
        <v>879</v>
      </c>
      <c r="E1260">
        <v>492</v>
      </c>
      <c r="F1260">
        <v>848</v>
      </c>
      <c r="G1260" t="s">
        <v>5</v>
      </c>
      <c r="H1260" s="1">
        <f t="shared" si="317"/>
        <v>36854.895833334616</v>
      </c>
      <c r="I1260">
        <f t="shared" si="318"/>
        <v>1.5935999999999999</v>
      </c>
      <c r="J1260">
        <f t="shared" si="319"/>
        <v>3.9807999999999999</v>
      </c>
      <c r="K1260">
        <f t="shared" si="320"/>
        <v>87.687799999999996</v>
      </c>
      <c r="L1260">
        <f t="shared" si="321"/>
        <v>-1.8085187200000017</v>
      </c>
      <c r="M1260">
        <f t="shared" si="322"/>
        <v>297.452</v>
      </c>
      <c r="O1260">
        <v>329</v>
      </c>
      <c r="P1260">
        <v>2130</v>
      </c>
      <c r="Q1260">
        <v>0.42699999999999999</v>
      </c>
      <c r="R1260">
        <f t="shared" si="311"/>
        <v>-0.42558407471445919</v>
      </c>
    </row>
    <row r="1261" spans="1:18" x14ac:dyDescent="0.25">
      <c r="A1261">
        <v>711</v>
      </c>
      <c r="B1261">
        <v>46</v>
      </c>
      <c r="C1261">
        <v>84</v>
      </c>
      <c r="D1261">
        <v>952</v>
      </c>
      <c r="E1261">
        <v>492</v>
      </c>
      <c r="F1261">
        <v>849</v>
      </c>
      <c r="G1261" t="s">
        <v>5</v>
      </c>
      <c r="H1261" s="1">
        <f t="shared" si="317"/>
        <v>36854.916666667952</v>
      </c>
      <c r="I1261">
        <f t="shared" si="318"/>
        <v>3.8315999999999999</v>
      </c>
      <c r="J1261">
        <f t="shared" si="319"/>
        <v>6.6664000000000003</v>
      </c>
      <c r="K1261">
        <f t="shared" si="320"/>
        <v>95.148399999999995</v>
      </c>
      <c r="L1261">
        <f t="shared" si="321"/>
        <v>-1.8085187200000017</v>
      </c>
      <c r="M1261">
        <f t="shared" si="322"/>
        <v>297.80099999999999</v>
      </c>
      <c r="O1261">
        <v>329</v>
      </c>
      <c r="P1261">
        <v>2200</v>
      </c>
      <c r="Q1261">
        <v>0.42699999999999999</v>
      </c>
      <c r="R1261">
        <f t="shared" si="311"/>
        <v>-0.42558407471445919</v>
      </c>
    </row>
    <row r="1262" spans="1:18" x14ac:dyDescent="0.25">
      <c r="A1262">
        <v>711</v>
      </c>
      <c r="B1262">
        <v>30</v>
      </c>
      <c r="C1262">
        <v>80</v>
      </c>
      <c r="D1262">
        <v>486</v>
      </c>
      <c r="E1262">
        <v>485</v>
      </c>
      <c r="F1262">
        <v>825</v>
      </c>
      <c r="G1262" t="s">
        <v>5</v>
      </c>
      <c r="H1262" s="1">
        <f t="shared" si="317"/>
        <v>36854.937500001288</v>
      </c>
      <c r="I1262">
        <f t="shared" si="318"/>
        <v>2.6379999999999999</v>
      </c>
      <c r="J1262">
        <f t="shared" si="319"/>
        <v>6.3680000000000003</v>
      </c>
      <c r="K1262">
        <f t="shared" si="320"/>
        <v>47.523199999999996</v>
      </c>
      <c r="L1262">
        <f t="shared" si="321"/>
        <v>-2.4405454999999994</v>
      </c>
      <c r="M1262">
        <f t="shared" si="322"/>
        <v>289.42499999999995</v>
      </c>
      <c r="O1262">
        <v>329</v>
      </c>
      <c r="P1262">
        <v>2230</v>
      </c>
      <c r="Q1262">
        <v>0.42699999999999999</v>
      </c>
      <c r="R1262">
        <f t="shared" si="311"/>
        <v>-0.42508813626514613</v>
      </c>
    </row>
    <row r="1263" spans="1:18" x14ac:dyDescent="0.25">
      <c r="A1263">
        <v>711</v>
      </c>
      <c r="B1263">
        <v>56</v>
      </c>
      <c r="C1263">
        <v>112</v>
      </c>
      <c r="D1263">
        <v>237</v>
      </c>
      <c r="E1263">
        <v>489</v>
      </c>
      <c r="F1263">
        <v>901</v>
      </c>
      <c r="G1263" t="s">
        <v>5</v>
      </c>
      <c r="H1263" s="1">
        <f t="shared" si="317"/>
        <v>36854.958333334624</v>
      </c>
      <c r="I1263">
        <f t="shared" si="318"/>
        <v>4.5776000000000003</v>
      </c>
      <c r="J1263">
        <f t="shared" si="319"/>
        <v>8.7552000000000003</v>
      </c>
      <c r="K1263">
        <f t="shared" si="320"/>
        <v>22.075399999999998</v>
      </c>
      <c r="L1263">
        <f t="shared" si="321"/>
        <v>-2.0795075800000036</v>
      </c>
      <c r="M1263">
        <f t="shared" si="322"/>
        <v>315.94899999999996</v>
      </c>
      <c r="O1263">
        <v>329</v>
      </c>
      <c r="P1263">
        <v>2300</v>
      </c>
      <c r="Q1263">
        <v>0.42699999999999999</v>
      </c>
      <c r="R1263">
        <f t="shared" si="311"/>
        <v>-0.42537150612422464</v>
      </c>
    </row>
    <row r="1264" spans="1:18" x14ac:dyDescent="0.25">
      <c r="A1264">
        <v>711</v>
      </c>
      <c r="B1264">
        <v>56</v>
      </c>
      <c r="C1264">
        <v>104</v>
      </c>
      <c r="D1264">
        <v>909</v>
      </c>
      <c r="E1264">
        <v>490</v>
      </c>
      <c r="F1264">
        <v>881</v>
      </c>
      <c r="G1264" t="s">
        <v>5</v>
      </c>
      <c r="H1264" s="1">
        <f t="shared" si="317"/>
        <v>36854.979166667959</v>
      </c>
      <c r="I1264">
        <f t="shared" si="318"/>
        <v>4.5776000000000003</v>
      </c>
      <c r="J1264">
        <f t="shared" si="319"/>
        <v>8.1584000000000003</v>
      </c>
      <c r="K1264">
        <f t="shared" si="320"/>
        <v>90.753799999999998</v>
      </c>
      <c r="L1264">
        <f t="shared" si="321"/>
        <v>-1.9891980000000031</v>
      </c>
      <c r="M1264">
        <f t="shared" si="322"/>
        <v>308.96899999999999</v>
      </c>
      <c r="O1264">
        <v>329</v>
      </c>
      <c r="P1264">
        <v>2330</v>
      </c>
      <c r="Q1264">
        <v>0.42699999999999999</v>
      </c>
      <c r="R1264">
        <f t="shared" si="311"/>
        <v>-0.4254423584008149</v>
      </c>
    </row>
    <row r="1265" spans="1:18" x14ac:dyDescent="0.25">
      <c r="A1265">
        <v>711</v>
      </c>
      <c r="B1265">
        <v>41</v>
      </c>
      <c r="C1265">
        <v>104</v>
      </c>
      <c r="D1265">
        <v>493</v>
      </c>
      <c r="E1265">
        <v>487</v>
      </c>
      <c r="F1265">
        <v>921</v>
      </c>
      <c r="G1265" t="s">
        <v>5</v>
      </c>
      <c r="H1265" s="1">
        <f t="shared" si="317"/>
        <v>36855.000000001295</v>
      </c>
      <c r="I1265">
        <f t="shared" si="318"/>
        <v>3.4586000000000001</v>
      </c>
      <c r="J1265">
        <f t="shared" si="319"/>
        <v>8.1584000000000003</v>
      </c>
      <c r="K1265">
        <f t="shared" si="320"/>
        <v>48.238599999999998</v>
      </c>
      <c r="L1265">
        <f t="shared" si="321"/>
        <v>-2.2600666200000052</v>
      </c>
      <c r="M1265">
        <f t="shared" si="322"/>
        <v>322.92899999999997</v>
      </c>
      <c r="O1265">
        <v>329</v>
      </c>
      <c r="P1265">
        <v>2400</v>
      </c>
      <c r="Q1265">
        <v>0.42699999999999999</v>
      </c>
      <c r="R1265">
        <f t="shared" si="311"/>
        <v>-0.42522981334130555</v>
      </c>
    </row>
    <row r="1266" spans="1:18" x14ac:dyDescent="0.25">
      <c r="A1266">
        <v>711</v>
      </c>
      <c r="B1266">
        <v>75</v>
      </c>
      <c r="C1266">
        <v>116</v>
      </c>
      <c r="D1266">
        <v>513</v>
      </c>
      <c r="E1266">
        <v>488</v>
      </c>
      <c r="F1266">
        <v>921</v>
      </c>
      <c r="G1266" t="s">
        <v>5</v>
      </c>
      <c r="H1266" s="1">
        <f t="shared" si="317"/>
        <v>36855.020833334631</v>
      </c>
      <c r="I1266">
        <f t="shared" si="318"/>
        <v>5.9950000000000001</v>
      </c>
      <c r="J1266">
        <f t="shared" si="319"/>
        <v>9.0536000000000012</v>
      </c>
      <c r="K1266">
        <f t="shared" si="320"/>
        <v>50.282600000000002</v>
      </c>
      <c r="L1266">
        <f t="shared" si="321"/>
        <v>-2.1697971200000041</v>
      </c>
      <c r="M1266">
        <f t="shared" si="322"/>
        <v>322.92899999999997</v>
      </c>
      <c r="O1266">
        <v>330</v>
      </c>
      <c r="P1266">
        <v>30</v>
      </c>
      <c r="Q1266">
        <v>0.42699999999999999</v>
      </c>
      <c r="R1266">
        <f t="shared" si="311"/>
        <v>-0.42530065777040132</v>
      </c>
    </row>
    <row r="1267" spans="1:18" x14ac:dyDescent="0.25">
      <c r="A1267">
        <v>711</v>
      </c>
      <c r="B1267">
        <v>39</v>
      </c>
      <c r="C1267">
        <v>92</v>
      </c>
      <c r="D1267">
        <v>940</v>
      </c>
      <c r="E1267">
        <v>484</v>
      </c>
      <c r="F1267">
        <v>925</v>
      </c>
      <c r="G1267" t="s">
        <v>5</v>
      </c>
      <c r="H1267" s="1">
        <f t="shared" si="317"/>
        <v>36855.041666667967</v>
      </c>
      <c r="I1267">
        <f t="shared" si="318"/>
        <v>3.3093999999999997</v>
      </c>
      <c r="J1267">
        <f t="shared" si="319"/>
        <v>7.2632000000000003</v>
      </c>
      <c r="K1267">
        <f t="shared" si="320"/>
        <v>93.921999999999997</v>
      </c>
      <c r="L1267">
        <f t="shared" si="321"/>
        <v>-2.5307548799999999</v>
      </c>
      <c r="M1267">
        <f t="shared" si="322"/>
        <v>324.32499999999999</v>
      </c>
      <c r="O1267">
        <v>330</v>
      </c>
      <c r="P1267">
        <v>100</v>
      </c>
      <c r="Q1267">
        <v>0.42699999999999999</v>
      </c>
      <c r="R1267">
        <f t="shared" si="311"/>
        <v>-0.42501730362200973</v>
      </c>
    </row>
    <row r="1268" spans="1:18" x14ac:dyDescent="0.25">
      <c r="A1268">
        <v>711</v>
      </c>
      <c r="B1268">
        <v>62</v>
      </c>
      <c r="C1268">
        <v>100</v>
      </c>
      <c r="D1268">
        <v>939</v>
      </c>
      <c r="E1268">
        <v>485</v>
      </c>
      <c r="F1268">
        <v>925</v>
      </c>
      <c r="G1268" t="s">
        <v>5</v>
      </c>
      <c r="H1268" s="1">
        <f t="shared" si="317"/>
        <v>36855.062500001302</v>
      </c>
      <c r="I1268">
        <f t="shared" si="318"/>
        <v>5.0251999999999999</v>
      </c>
      <c r="J1268">
        <f t="shared" si="319"/>
        <v>7.86</v>
      </c>
      <c r="K1268">
        <f t="shared" si="320"/>
        <v>93.819800000000001</v>
      </c>
      <c r="L1268">
        <f t="shared" si="321"/>
        <v>-2.4405454999999994</v>
      </c>
      <c r="M1268">
        <f t="shared" si="322"/>
        <v>324.32499999999999</v>
      </c>
      <c r="O1268">
        <v>330</v>
      </c>
      <c r="P1268">
        <v>130</v>
      </c>
      <c r="Q1268">
        <v>0.43</v>
      </c>
      <c r="R1268">
        <f t="shared" si="311"/>
        <v>-0.42807470396724318</v>
      </c>
    </row>
    <row r="1269" spans="1:18" x14ac:dyDescent="0.25">
      <c r="A1269">
        <v>711</v>
      </c>
      <c r="B1269">
        <v>38</v>
      </c>
      <c r="C1269">
        <v>96</v>
      </c>
      <c r="D1269">
        <v>492</v>
      </c>
      <c r="E1269">
        <v>481</v>
      </c>
      <c r="F1269">
        <v>921</v>
      </c>
      <c r="G1269" t="s">
        <v>5</v>
      </c>
      <c r="H1269" s="1">
        <f t="shared" si="317"/>
        <v>36855.083333334638</v>
      </c>
      <c r="I1269">
        <f t="shared" si="318"/>
        <v>3.2347999999999999</v>
      </c>
      <c r="J1269">
        <f t="shared" si="319"/>
        <v>7.5616000000000003</v>
      </c>
      <c r="K1269">
        <f t="shared" si="320"/>
        <v>48.136400000000002</v>
      </c>
      <c r="L1269">
        <f t="shared" si="321"/>
        <v>-2.8012627800000018</v>
      </c>
      <c r="M1269">
        <f t="shared" si="322"/>
        <v>322.92899999999997</v>
      </c>
      <c r="O1269">
        <v>330</v>
      </c>
      <c r="P1269">
        <v>200</v>
      </c>
      <c r="Q1269">
        <v>0.43</v>
      </c>
      <c r="R1269">
        <f t="shared" si="311"/>
        <v>-0.42778940655097136</v>
      </c>
    </row>
    <row r="1270" spans="1:18" x14ac:dyDescent="0.25">
      <c r="A1270">
        <v>711</v>
      </c>
      <c r="B1270">
        <v>89</v>
      </c>
      <c r="C1270">
        <v>176</v>
      </c>
      <c r="D1270">
        <v>514</v>
      </c>
      <c r="E1270">
        <v>478</v>
      </c>
      <c r="F1270">
        <v>908</v>
      </c>
      <c r="G1270" t="s">
        <v>5</v>
      </c>
      <c r="H1270" s="1">
        <f t="shared" si="317"/>
        <v>36855.104166667974</v>
      </c>
      <c r="I1270">
        <f t="shared" si="318"/>
        <v>7.0394000000000005</v>
      </c>
      <c r="J1270">
        <f t="shared" si="319"/>
        <v>13.5296</v>
      </c>
      <c r="K1270">
        <f t="shared" si="320"/>
        <v>50.384799999999998</v>
      </c>
      <c r="L1270">
        <f t="shared" si="321"/>
        <v>-3.0715903200000039</v>
      </c>
      <c r="M1270">
        <f t="shared" si="322"/>
        <v>318.392</v>
      </c>
      <c r="O1270">
        <v>330</v>
      </c>
      <c r="P1270">
        <v>230</v>
      </c>
      <c r="Q1270">
        <v>0.43</v>
      </c>
      <c r="R1270">
        <f t="shared" si="311"/>
        <v>-0.42757547512648925</v>
      </c>
    </row>
    <row r="1271" spans="1:18" x14ac:dyDescent="0.25">
      <c r="A1271">
        <v>711</v>
      </c>
      <c r="B1271">
        <v>56</v>
      </c>
      <c r="C1271">
        <v>124</v>
      </c>
      <c r="D1271">
        <v>875</v>
      </c>
      <c r="E1271">
        <v>486</v>
      </c>
      <c r="F1271">
        <v>893</v>
      </c>
      <c r="G1271" t="s">
        <v>5</v>
      </c>
      <c r="H1271" s="1">
        <f t="shared" si="317"/>
        <v>36855.12500000131</v>
      </c>
      <c r="I1271">
        <f t="shared" si="318"/>
        <v>4.5776000000000003</v>
      </c>
      <c r="J1271">
        <f t="shared" si="319"/>
        <v>9.6503999999999994</v>
      </c>
      <c r="K1271">
        <f t="shared" si="320"/>
        <v>87.278999999999996</v>
      </c>
      <c r="L1271">
        <f t="shared" si="321"/>
        <v>-2.3503160800000056</v>
      </c>
      <c r="M1271">
        <f t="shared" si="322"/>
        <v>313.15699999999998</v>
      </c>
      <c r="O1271">
        <v>330</v>
      </c>
      <c r="P1271">
        <v>300</v>
      </c>
      <c r="Q1271">
        <v>0.42699999999999999</v>
      </c>
      <c r="R1271">
        <f t="shared" si="311"/>
        <v>-0.42515897283889947</v>
      </c>
    </row>
    <row r="1272" spans="1:18" x14ac:dyDescent="0.25">
      <c r="A1272">
        <v>711</v>
      </c>
      <c r="B1272">
        <v>32</v>
      </c>
      <c r="C1272">
        <v>68</v>
      </c>
      <c r="D1272">
        <v>312</v>
      </c>
      <c r="E1272">
        <v>483</v>
      </c>
      <c r="F1272">
        <v>913</v>
      </c>
      <c r="G1272" t="s">
        <v>5</v>
      </c>
      <c r="H1272" s="1">
        <f t="shared" si="317"/>
        <v>36855.145833334645</v>
      </c>
      <c r="I1272">
        <f t="shared" si="318"/>
        <v>2.7871999999999999</v>
      </c>
      <c r="J1272">
        <f t="shared" si="319"/>
        <v>5.4728000000000003</v>
      </c>
      <c r="K1272">
        <f t="shared" si="320"/>
        <v>29.740399999999998</v>
      </c>
      <c r="L1272">
        <f t="shared" si="321"/>
        <v>-2.6209442200000006</v>
      </c>
      <c r="M1272">
        <f t="shared" si="322"/>
        <v>320.137</v>
      </c>
      <c r="O1272">
        <v>330</v>
      </c>
      <c r="P1272">
        <v>330</v>
      </c>
      <c r="Q1272">
        <v>0.42699999999999999</v>
      </c>
      <c r="R1272">
        <f t="shared" si="311"/>
        <v>-0.42494647491145604</v>
      </c>
    </row>
    <row r="1273" spans="1:18" x14ac:dyDescent="0.25">
      <c r="A1273">
        <v>711</v>
      </c>
      <c r="B1273">
        <v>42</v>
      </c>
      <c r="C1273">
        <v>72</v>
      </c>
      <c r="D1273">
        <v>507</v>
      </c>
      <c r="E1273">
        <v>493</v>
      </c>
      <c r="F1273">
        <v>82</v>
      </c>
      <c r="G1273" t="s">
        <v>5</v>
      </c>
      <c r="H1273" s="1">
        <f t="shared" si="317"/>
        <v>36855.166666667981</v>
      </c>
      <c r="I1273">
        <f t="shared" si="318"/>
        <v>3.5331999999999999</v>
      </c>
      <c r="J1273">
        <f t="shared" si="319"/>
        <v>5.7712000000000003</v>
      </c>
      <c r="K1273">
        <f t="shared" si="320"/>
        <v>49.669399999999996</v>
      </c>
      <c r="L1273">
        <f t="shared" si="321"/>
        <v>-1.7181490200000011</v>
      </c>
      <c r="M1273">
        <f t="shared" si="322"/>
        <v>30.117999999999999</v>
      </c>
      <c r="O1273">
        <v>330</v>
      </c>
      <c r="P1273">
        <v>400</v>
      </c>
      <c r="Q1273">
        <v>0.42699999999999999</v>
      </c>
      <c r="R1273">
        <f t="shared" si="311"/>
        <v>-0.42565493874759774</v>
      </c>
    </row>
    <row r="1274" spans="1:18" x14ac:dyDescent="0.25">
      <c r="A1274">
        <v>711</v>
      </c>
      <c r="B1274">
        <v>43</v>
      </c>
      <c r="C1274">
        <v>84</v>
      </c>
      <c r="D1274">
        <v>351</v>
      </c>
      <c r="E1274">
        <v>497</v>
      </c>
      <c r="F1274">
        <v>776</v>
      </c>
      <c r="G1274" t="s">
        <v>5</v>
      </c>
      <c r="H1274" s="1">
        <f t="shared" si="317"/>
        <v>36855.187500001317</v>
      </c>
      <c r="I1274">
        <f t="shared" si="318"/>
        <v>3.6077999999999997</v>
      </c>
      <c r="J1274">
        <f t="shared" si="319"/>
        <v>6.6664000000000003</v>
      </c>
      <c r="K1274">
        <f t="shared" si="320"/>
        <v>33.726199999999999</v>
      </c>
      <c r="L1274">
        <f t="shared" si="321"/>
        <v>-1.3564698200000054</v>
      </c>
      <c r="M1274">
        <f t="shared" si="322"/>
        <v>272.32399999999996</v>
      </c>
      <c r="O1274">
        <v>330</v>
      </c>
      <c r="P1274">
        <v>430</v>
      </c>
      <c r="Q1274">
        <v>0.42699999999999999</v>
      </c>
      <c r="R1274">
        <f t="shared" si="311"/>
        <v>-0.4259384340099695</v>
      </c>
    </row>
    <row r="1275" spans="1:18" x14ac:dyDescent="0.25">
      <c r="A1275">
        <v>711</v>
      </c>
      <c r="B1275">
        <v>22</v>
      </c>
      <c r="C1275">
        <v>56</v>
      </c>
      <c r="D1275">
        <v>477</v>
      </c>
      <c r="E1275">
        <v>496</v>
      </c>
      <c r="F1275">
        <v>809</v>
      </c>
      <c r="G1275" t="s">
        <v>5</v>
      </c>
      <c r="H1275" s="1">
        <f t="shared" si="317"/>
        <v>36855.208333334653</v>
      </c>
      <c r="I1275">
        <f t="shared" si="318"/>
        <v>2.0411999999999999</v>
      </c>
      <c r="J1275">
        <f t="shared" si="319"/>
        <v>4.5776000000000003</v>
      </c>
      <c r="K1275">
        <f t="shared" si="320"/>
        <v>46.603400000000001</v>
      </c>
      <c r="L1275">
        <f t="shared" si="321"/>
        <v>-1.4469196799999988</v>
      </c>
      <c r="M1275">
        <f t="shared" si="322"/>
        <v>283.84100000000001</v>
      </c>
      <c r="O1275">
        <v>330</v>
      </c>
      <c r="P1275">
        <v>500</v>
      </c>
      <c r="Q1275">
        <v>0.42499999999999999</v>
      </c>
      <c r="R1275">
        <f t="shared" si="311"/>
        <v>-0.42387285852399231</v>
      </c>
    </row>
    <row r="1276" spans="1:18" x14ac:dyDescent="0.25">
      <c r="A1276">
        <v>711</v>
      </c>
      <c r="B1276">
        <v>47</v>
      </c>
      <c r="C1276">
        <v>100</v>
      </c>
      <c r="D1276">
        <v>431</v>
      </c>
      <c r="E1276">
        <v>495</v>
      </c>
      <c r="F1276">
        <v>833</v>
      </c>
      <c r="G1276" t="s">
        <v>5</v>
      </c>
      <c r="H1276" s="1">
        <f t="shared" si="317"/>
        <v>36855.229166667988</v>
      </c>
      <c r="I1276">
        <f t="shared" si="318"/>
        <v>3.9061999999999997</v>
      </c>
      <c r="J1276">
        <f t="shared" si="319"/>
        <v>7.86</v>
      </c>
      <c r="K1276">
        <f t="shared" si="320"/>
        <v>41.902200000000001</v>
      </c>
      <c r="L1276">
        <f t="shared" si="321"/>
        <v>-1.5373494999999995</v>
      </c>
      <c r="M1276">
        <f t="shared" si="322"/>
        <v>292.21699999999998</v>
      </c>
      <c r="O1276">
        <v>330</v>
      </c>
      <c r="P1276">
        <v>530</v>
      </c>
      <c r="Q1276">
        <v>0.42499999999999999</v>
      </c>
      <c r="R1276">
        <f t="shared" si="311"/>
        <v>-0.42380231472273849</v>
      </c>
    </row>
    <row r="1277" spans="1:18" x14ac:dyDescent="0.25">
      <c r="A1277">
        <v>711</v>
      </c>
      <c r="B1277">
        <v>70</v>
      </c>
      <c r="C1277">
        <v>116</v>
      </c>
      <c r="D1277">
        <v>546</v>
      </c>
      <c r="E1277">
        <v>505</v>
      </c>
      <c r="F1277">
        <v>801</v>
      </c>
      <c r="G1277" t="s">
        <v>5</v>
      </c>
      <c r="H1277" s="1">
        <f t="shared" si="317"/>
        <v>36855.250000001324</v>
      </c>
      <c r="I1277">
        <f t="shared" si="318"/>
        <v>5.6219999999999999</v>
      </c>
      <c r="J1277">
        <f t="shared" si="319"/>
        <v>9.0536000000000012</v>
      </c>
      <c r="K1277">
        <f t="shared" si="320"/>
        <v>53.655200000000001</v>
      </c>
      <c r="L1277">
        <f t="shared" si="321"/>
        <v>-0.6321494999999997</v>
      </c>
      <c r="M1277">
        <f t="shared" si="322"/>
        <v>281.04899999999998</v>
      </c>
      <c r="O1277">
        <v>330</v>
      </c>
      <c r="P1277">
        <v>600</v>
      </c>
      <c r="Q1277">
        <v>0.42499999999999999</v>
      </c>
      <c r="R1277">
        <f t="shared" si="311"/>
        <v>-0.42450792758693801</v>
      </c>
    </row>
    <row r="1278" spans="1:18" x14ac:dyDescent="0.25">
      <c r="A1278">
        <v>711</v>
      </c>
      <c r="B1278">
        <v>27</v>
      </c>
      <c r="C1278">
        <v>76</v>
      </c>
      <c r="D1278">
        <v>659</v>
      </c>
      <c r="E1278">
        <v>503</v>
      </c>
      <c r="F1278">
        <v>867</v>
      </c>
      <c r="G1278" t="s">
        <v>5</v>
      </c>
      <c r="H1278" s="1">
        <f t="shared" si="317"/>
        <v>36855.27083333466</v>
      </c>
      <c r="I1278">
        <f t="shared" si="318"/>
        <v>2.4141999999999997</v>
      </c>
      <c r="J1278">
        <f t="shared" si="319"/>
        <v>6.0696000000000003</v>
      </c>
      <c r="K1278">
        <f t="shared" si="320"/>
        <v>65.203800000000001</v>
      </c>
      <c r="L1278">
        <f t="shared" si="321"/>
        <v>-0.81334982000000133</v>
      </c>
      <c r="M1278">
        <f t="shared" si="322"/>
        <v>304.08299999999997</v>
      </c>
      <c r="O1278">
        <v>330</v>
      </c>
      <c r="P1278">
        <v>630</v>
      </c>
      <c r="Q1278">
        <v>0.42499999999999999</v>
      </c>
      <c r="R1278">
        <f t="shared" si="311"/>
        <v>-0.42436677396553801</v>
      </c>
    </row>
    <row r="1279" spans="1:18" x14ac:dyDescent="0.25">
      <c r="A1279">
        <v>711</v>
      </c>
      <c r="B1279">
        <v>35</v>
      </c>
      <c r="C1279">
        <v>108</v>
      </c>
      <c r="D1279">
        <v>532</v>
      </c>
      <c r="E1279">
        <v>510</v>
      </c>
      <c r="F1279">
        <v>860</v>
      </c>
      <c r="G1279" t="s">
        <v>5</v>
      </c>
      <c r="H1279" s="1">
        <f t="shared" si="317"/>
        <v>36855.291666667996</v>
      </c>
      <c r="I1279">
        <f t="shared" si="318"/>
        <v>3.0109999999999997</v>
      </c>
      <c r="J1279">
        <f t="shared" si="319"/>
        <v>8.4567999999999994</v>
      </c>
      <c r="K1279">
        <f t="shared" si="320"/>
        <v>52.224399999999996</v>
      </c>
      <c r="L1279">
        <f t="shared" si="321"/>
        <v>-0.17879800000000357</v>
      </c>
      <c r="M1279">
        <f t="shared" si="322"/>
        <v>301.64</v>
      </c>
      <c r="O1279">
        <v>330</v>
      </c>
      <c r="P1279">
        <v>700</v>
      </c>
      <c r="Q1279">
        <v>0.42499999999999999</v>
      </c>
      <c r="R1279">
        <f t="shared" si="311"/>
        <v>-0.42486087938993339</v>
      </c>
    </row>
    <row r="1280" spans="1:18" x14ac:dyDescent="0.25">
      <c r="A1280">
        <v>711</v>
      </c>
      <c r="B1280">
        <v>55</v>
      </c>
      <c r="C1280">
        <v>124</v>
      </c>
      <c r="D1280">
        <v>454</v>
      </c>
      <c r="E1280">
        <v>508</v>
      </c>
      <c r="F1280">
        <v>881</v>
      </c>
      <c r="G1280" t="s">
        <v>5</v>
      </c>
      <c r="H1280" s="1">
        <f t="shared" si="317"/>
        <v>36855.312500001332</v>
      </c>
      <c r="I1280">
        <f t="shared" si="318"/>
        <v>4.5030000000000001</v>
      </c>
      <c r="J1280">
        <f t="shared" si="319"/>
        <v>9.6503999999999994</v>
      </c>
      <c r="K1280">
        <f t="shared" si="320"/>
        <v>44.252800000000001</v>
      </c>
      <c r="L1280">
        <f t="shared" si="321"/>
        <v>-0.36019872000000497</v>
      </c>
      <c r="M1280">
        <f t="shared" si="322"/>
        <v>308.96899999999999</v>
      </c>
      <c r="O1280">
        <v>330</v>
      </c>
      <c r="P1280">
        <v>730</v>
      </c>
      <c r="Q1280">
        <v>0.42499999999999999</v>
      </c>
      <c r="R1280">
        <f t="shared" si="311"/>
        <v>-0.42471968706418722</v>
      </c>
    </row>
    <row r="1281" spans="1:18" x14ac:dyDescent="0.25">
      <c r="A1281">
        <v>711</v>
      </c>
      <c r="B1281">
        <v>64</v>
      </c>
      <c r="C1281">
        <v>164</v>
      </c>
      <c r="D1281">
        <v>413</v>
      </c>
      <c r="E1281">
        <v>521</v>
      </c>
      <c r="F1281">
        <v>861</v>
      </c>
      <c r="G1281" t="s">
        <v>5</v>
      </c>
      <c r="H1281" s="1">
        <f t="shared" si="317"/>
        <v>36855.333333334667</v>
      </c>
      <c r="I1281">
        <f t="shared" si="318"/>
        <v>5.1744000000000003</v>
      </c>
      <c r="J1281">
        <f t="shared" si="319"/>
        <v>12.634400000000001</v>
      </c>
      <c r="K1281">
        <f t="shared" si="320"/>
        <v>40.062599999999996</v>
      </c>
      <c r="L1281">
        <f t="shared" si="321"/>
        <v>0.8203388199999968</v>
      </c>
      <c r="M1281">
        <f t="shared" si="322"/>
        <v>301.98899999999998</v>
      </c>
      <c r="O1281">
        <v>330</v>
      </c>
      <c r="P1281">
        <v>800</v>
      </c>
      <c r="Q1281">
        <v>0.42499999999999999</v>
      </c>
      <c r="R1281">
        <f t="shared" si="311"/>
        <v>-0.42563771302255538</v>
      </c>
    </row>
    <row r="1282" spans="1:18" x14ac:dyDescent="0.25">
      <c r="A1282">
        <v>711</v>
      </c>
      <c r="B1282">
        <v>44</v>
      </c>
      <c r="C1282">
        <v>108</v>
      </c>
      <c r="D1282">
        <v>420</v>
      </c>
      <c r="E1282">
        <v>525</v>
      </c>
      <c r="F1282">
        <v>857</v>
      </c>
      <c r="G1282" t="s">
        <v>5</v>
      </c>
      <c r="H1282" s="1">
        <f t="shared" si="317"/>
        <v>36855.354166668003</v>
      </c>
      <c r="I1282">
        <f t="shared" si="318"/>
        <v>3.6823999999999999</v>
      </c>
      <c r="J1282">
        <f t="shared" si="319"/>
        <v>8.4567999999999994</v>
      </c>
      <c r="K1282">
        <f t="shared" si="320"/>
        <v>40.777999999999999</v>
      </c>
      <c r="L1282">
        <f t="shared" si="321"/>
        <v>1.1842624999999996</v>
      </c>
      <c r="M1282">
        <f t="shared" si="322"/>
        <v>300.59299999999996</v>
      </c>
      <c r="O1282">
        <v>330</v>
      </c>
      <c r="P1282">
        <v>830</v>
      </c>
      <c r="Q1282">
        <v>0.42499999999999999</v>
      </c>
      <c r="R1282">
        <f t="shared" si="311"/>
        <v>-0.42592031339111902</v>
      </c>
    </row>
    <row r="1283" spans="1:18" x14ac:dyDescent="0.25">
      <c r="A1283">
        <v>711</v>
      </c>
      <c r="B1283">
        <v>61</v>
      </c>
      <c r="C1283">
        <v>228</v>
      </c>
      <c r="D1283">
        <v>766</v>
      </c>
      <c r="E1283">
        <v>629</v>
      </c>
      <c r="F1283">
        <v>573</v>
      </c>
      <c r="G1283" t="s">
        <v>5</v>
      </c>
      <c r="H1283" s="1">
        <f t="shared" si="317"/>
        <v>36855.375000001339</v>
      </c>
      <c r="I1283">
        <f t="shared" si="318"/>
        <v>4.9506000000000006</v>
      </c>
      <c r="J1283">
        <f t="shared" si="319"/>
        <v>17.408799999999999</v>
      </c>
      <c r="K1283">
        <f t="shared" si="320"/>
        <v>76.139200000000002</v>
      </c>
      <c r="L1283">
        <f t="shared" si="321"/>
        <v>10.758822819999999</v>
      </c>
      <c r="M1283">
        <f t="shared" si="322"/>
        <v>201.47699999999998</v>
      </c>
      <c r="O1283">
        <v>330</v>
      </c>
      <c r="P1283">
        <v>900</v>
      </c>
      <c r="Q1283">
        <v>0.41699999999999998</v>
      </c>
      <c r="R1283">
        <f t="shared" si="311"/>
        <v>-0.42513307794222882</v>
      </c>
    </row>
    <row r="1284" spans="1:18" x14ac:dyDescent="0.25">
      <c r="A1284">
        <v>711</v>
      </c>
      <c r="B1284">
        <v>113</v>
      </c>
      <c r="C1284">
        <v>392</v>
      </c>
      <c r="D1284">
        <v>618</v>
      </c>
      <c r="E1284">
        <v>648</v>
      </c>
      <c r="F1284">
        <v>480</v>
      </c>
      <c r="G1284" t="s">
        <v>5</v>
      </c>
      <c r="H1284" s="1">
        <f t="shared" si="317"/>
        <v>36855.395833334675</v>
      </c>
      <c r="I1284">
        <f t="shared" si="318"/>
        <v>8.8298000000000005</v>
      </c>
      <c r="J1284">
        <f t="shared" si="319"/>
        <v>29.6432</v>
      </c>
      <c r="K1284">
        <f t="shared" si="320"/>
        <v>61.013599999999997</v>
      </c>
      <c r="L1284">
        <f t="shared" si="321"/>
        <v>12.531438079999997</v>
      </c>
      <c r="M1284">
        <f t="shared" si="322"/>
        <v>169.01999999999998</v>
      </c>
      <c r="O1284">
        <v>330</v>
      </c>
      <c r="P1284">
        <v>930</v>
      </c>
      <c r="Q1284">
        <v>0.435</v>
      </c>
      <c r="R1284">
        <f t="shared" si="311"/>
        <v>-0.44486646222610993</v>
      </c>
    </row>
    <row r="1285" spans="1:18" x14ac:dyDescent="0.25">
      <c r="A1285">
        <v>711</v>
      </c>
      <c r="B1285">
        <v>74</v>
      </c>
      <c r="C1285">
        <v>268</v>
      </c>
      <c r="D1285">
        <v>645</v>
      </c>
      <c r="E1285">
        <v>640</v>
      </c>
      <c r="F1285">
        <v>372</v>
      </c>
      <c r="G1285" t="s">
        <v>5</v>
      </c>
      <c r="H1285" s="1">
        <f t="shared" si="317"/>
        <v>36855.41666666801</v>
      </c>
      <c r="I1285">
        <f t="shared" si="318"/>
        <v>5.9204000000000008</v>
      </c>
      <c r="J1285">
        <f t="shared" si="319"/>
        <v>20.392799999999998</v>
      </c>
      <c r="K1285">
        <f t="shared" si="320"/>
        <v>63.772999999999996</v>
      </c>
      <c r="L1285">
        <f t="shared" si="321"/>
        <v>11.784192000000001</v>
      </c>
      <c r="M1285">
        <f t="shared" si="322"/>
        <v>131.328</v>
      </c>
      <c r="O1285">
        <v>330</v>
      </c>
      <c r="P1285">
        <v>1000</v>
      </c>
      <c r="Q1285">
        <v>0.437</v>
      </c>
      <c r="R1285">
        <f t="shared" si="311"/>
        <v>-0.44632695742822764</v>
      </c>
    </row>
    <row r="1286" spans="1:18" x14ac:dyDescent="0.25">
      <c r="A1286">
        <v>711</v>
      </c>
      <c r="B1286">
        <v>102</v>
      </c>
      <c r="C1286">
        <v>256</v>
      </c>
      <c r="D1286">
        <v>607</v>
      </c>
      <c r="E1286">
        <v>646</v>
      </c>
      <c r="F1286">
        <v>320</v>
      </c>
      <c r="G1286" t="s">
        <v>5</v>
      </c>
      <c r="H1286" s="1">
        <f t="shared" si="317"/>
        <v>36855.437500001346</v>
      </c>
      <c r="I1286">
        <f t="shared" si="318"/>
        <v>8.0091999999999999</v>
      </c>
      <c r="J1286">
        <f t="shared" si="319"/>
        <v>19.497599999999998</v>
      </c>
      <c r="K1286">
        <f t="shared" si="320"/>
        <v>59.889400000000002</v>
      </c>
      <c r="L1286">
        <f t="shared" si="321"/>
        <v>12.344506319999997</v>
      </c>
      <c r="M1286">
        <f t="shared" si="322"/>
        <v>113.17999999999999</v>
      </c>
      <c r="O1286">
        <v>330</v>
      </c>
      <c r="P1286">
        <v>1030</v>
      </c>
      <c r="Q1286">
        <v>0.44500000000000001</v>
      </c>
      <c r="R1286">
        <f t="shared" si="311"/>
        <v>-0.45494436103991975</v>
      </c>
    </row>
    <row r="1287" spans="1:18" x14ac:dyDescent="0.25">
      <c r="A1287">
        <v>711</v>
      </c>
      <c r="B1287">
        <v>107</v>
      </c>
      <c r="C1287">
        <v>312</v>
      </c>
      <c r="D1287">
        <v>635</v>
      </c>
      <c r="E1287">
        <v>638</v>
      </c>
      <c r="F1287">
        <v>296</v>
      </c>
      <c r="G1287" t="s">
        <v>5</v>
      </c>
      <c r="H1287" s="1">
        <f t="shared" si="317"/>
        <v>36855.458333334682</v>
      </c>
      <c r="I1287">
        <f t="shared" si="318"/>
        <v>8.3821999999999992</v>
      </c>
      <c r="J1287">
        <f t="shared" si="319"/>
        <v>23.675199999999997</v>
      </c>
      <c r="K1287">
        <f t="shared" si="320"/>
        <v>62.751000000000005</v>
      </c>
      <c r="L1287">
        <f t="shared" si="321"/>
        <v>11.597580879999999</v>
      </c>
      <c r="M1287">
        <f t="shared" si="322"/>
        <v>104.80399999999999</v>
      </c>
      <c r="O1287">
        <v>330</v>
      </c>
      <c r="P1287">
        <v>1100</v>
      </c>
      <c r="Q1287">
        <v>0.44500000000000001</v>
      </c>
      <c r="R1287">
        <f t="shared" ref="R1287:R1292" si="323">-SQRT((L1287+273.15)/273.15)*Q1287</f>
        <v>-0.45434884683994992</v>
      </c>
    </row>
    <row r="1288" spans="1:18" x14ac:dyDescent="0.25">
      <c r="A1288">
        <v>711</v>
      </c>
      <c r="B1288">
        <v>102</v>
      </c>
      <c r="C1288">
        <v>236</v>
      </c>
      <c r="D1288">
        <v>711</v>
      </c>
      <c r="E1288">
        <v>631</v>
      </c>
      <c r="F1288">
        <v>354</v>
      </c>
      <c r="G1288" t="s">
        <v>5</v>
      </c>
      <c r="H1288" s="1">
        <f t="shared" si="317"/>
        <v>36855.479166668018</v>
      </c>
      <c r="I1288">
        <f t="shared" si="318"/>
        <v>8.0091999999999999</v>
      </c>
      <c r="J1288">
        <f t="shared" si="319"/>
        <v>18.005599999999998</v>
      </c>
      <c r="K1288">
        <f t="shared" si="320"/>
        <v>70.518199999999993</v>
      </c>
      <c r="L1288">
        <f t="shared" si="321"/>
        <v>10.945073220000001</v>
      </c>
      <c r="M1288">
        <f t="shared" si="322"/>
        <v>125.04599999999999</v>
      </c>
      <c r="O1288">
        <v>330</v>
      </c>
      <c r="P1288">
        <v>1130</v>
      </c>
      <c r="Q1288">
        <v>0.45200000000000001</v>
      </c>
      <c r="R1288">
        <f t="shared" si="323"/>
        <v>-0.46096683819627604</v>
      </c>
    </row>
    <row r="1289" spans="1:18" x14ac:dyDescent="0.25">
      <c r="A1289">
        <v>711</v>
      </c>
      <c r="B1289">
        <v>138</v>
      </c>
      <c r="C1289">
        <v>324</v>
      </c>
      <c r="D1289">
        <v>643</v>
      </c>
      <c r="E1289">
        <v>635</v>
      </c>
      <c r="F1289">
        <v>398</v>
      </c>
      <c r="G1289" t="s">
        <v>5</v>
      </c>
      <c r="H1289" s="1">
        <f t="shared" si="317"/>
        <v>36855.500000001353</v>
      </c>
      <c r="I1289">
        <f t="shared" si="318"/>
        <v>10.694800000000001</v>
      </c>
      <c r="J1289">
        <f t="shared" si="319"/>
        <v>24.570399999999999</v>
      </c>
      <c r="K1289">
        <f t="shared" si="320"/>
        <v>63.568600000000004</v>
      </c>
      <c r="L1289">
        <f t="shared" si="321"/>
        <v>11.317814499999997</v>
      </c>
      <c r="M1289">
        <f t="shared" si="322"/>
        <v>140.40199999999999</v>
      </c>
      <c r="O1289">
        <v>330</v>
      </c>
      <c r="P1289">
        <v>1200</v>
      </c>
      <c r="Q1289">
        <v>0.46500000000000002</v>
      </c>
      <c r="R1289">
        <f t="shared" si="323"/>
        <v>-0.47453573056578985</v>
      </c>
    </row>
    <row r="1290" spans="1:18" x14ac:dyDescent="0.25">
      <c r="A1290">
        <v>711</v>
      </c>
      <c r="B1290">
        <v>123</v>
      </c>
      <c r="C1290">
        <v>296</v>
      </c>
      <c r="D1290">
        <v>714</v>
      </c>
      <c r="E1290">
        <v>638</v>
      </c>
      <c r="F1290">
        <v>336</v>
      </c>
      <c r="G1290" t="s">
        <v>5</v>
      </c>
      <c r="H1290" s="1">
        <f t="shared" si="317"/>
        <v>36855.520833334689</v>
      </c>
      <c r="I1290">
        <f t="shared" si="318"/>
        <v>9.575800000000001</v>
      </c>
      <c r="J1290">
        <f t="shared" si="319"/>
        <v>22.4816</v>
      </c>
      <c r="K1290">
        <f t="shared" si="320"/>
        <v>70.824799999999996</v>
      </c>
      <c r="L1290">
        <f t="shared" si="321"/>
        <v>11.597580879999999</v>
      </c>
      <c r="M1290">
        <f t="shared" si="322"/>
        <v>118.764</v>
      </c>
      <c r="O1290">
        <v>330</v>
      </c>
      <c r="P1290">
        <v>1230</v>
      </c>
      <c r="Q1290">
        <v>0.47199999999999998</v>
      </c>
      <c r="R1290">
        <f t="shared" si="323"/>
        <v>-0.48191608024372212</v>
      </c>
    </row>
    <row r="1291" spans="1:18" x14ac:dyDescent="0.25">
      <c r="A1291">
        <v>711</v>
      </c>
      <c r="B1291">
        <v>161</v>
      </c>
      <c r="C1291">
        <v>300</v>
      </c>
      <c r="D1291">
        <v>646</v>
      </c>
      <c r="E1291">
        <v>620</v>
      </c>
      <c r="F1291">
        <v>360</v>
      </c>
      <c r="G1291" t="s">
        <v>5</v>
      </c>
      <c r="H1291" s="1">
        <f t="shared" si="317"/>
        <v>36855.541666668025</v>
      </c>
      <c r="I1291">
        <f t="shared" si="318"/>
        <v>12.410600000000001</v>
      </c>
      <c r="K1291">
        <f t="shared" si="320"/>
        <v>63.875199999999992</v>
      </c>
      <c r="L1291">
        <f t="shared" si="321"/>
        <v>9.9216879999999996</v>
      </c>
      <c r="M1291">
        <f t="shared" si="322"/>
        <v>127.13999999999999</v>
      </c>
      <c r="O1291">
        <v>330</v>
      </c>
      <c r="P1291">
        <v>1300</v>
      </c>
      <c r="Q1291">
        <v>0.47699999999999998</v>
      </c>
      <c r="R1291">
        <f t="shared" si="323"/>
        <v>-0.48558581765127029</v>
      </c>
    </row>
    <row r="1292" spans="1:18" x14ac:dyDescent="0.25">
      <c r="A1292">
        <v>711</v>
      </c>
      <c r="B1292">
        <v>202</v>
      </c>
      <c r="C1292">
        <v>388</v>
      </c>
      <c r="D1292">
        <v>729</v>
      </c>
      <c r="E1292">
        <v>625</v>
      </c>
      <c r="F1292">
        <v>374</v>
      </c>
      <c r="G1292" t="s">
        <v>5</v>
      </c>
      <c r="H1292" s="1">
        <f t="shared" si="317"/>
        <v>36855.562500001361</v>
      </c>
      <c r="I1292">
        <f t="shared" si="318"/>
        <v>15.469200000000001</v>
      </c>
      <c r="J1292">
        <f t="shared" si="319"/>
        <v>29.344799999999999</v>
      </c>
      <c r="K1292">
        <f t="shared" si="320"/>
        <v>72.357799999999997</v>
      </c>
      <c r="L1292">
        <f t="shared" si="321"/>
        <v>10.386562499999997</v>
      </c>
      <c r="M1292">
        <f t="shared" si="322"/>
        <v>132.02599999999998</v>
      </c>
      <c r="O1292">
        <v>330</v>
      </c>
      <c r="P1292">
        <v>1330</v>
      </c>
      <c r="Q1292">
        <v>0.54700000000000004</v>
      </c>
      <c r="R1292">
        <f t="shared" si="323"/>
        <v>-0.55730284333996594</v>
      </c>
    </row>
    <row r="1293" spans="1:18" x14ac:dyDescent="0.25">
      <c r="H1293" s="1"/>
    </row>
    <row r="1294" spans="1:18" x14ac:dyDescent="0.25">
      <c r="H1294" s="1"/>
    </row>
    <row r="1295" spans="1:18" x14ac:dyDescent="0.25">
      <c r="H1295" s="1"/>
    </row>
    <row r="1296" spans="1:18" x14ac:dyDescent="0.25">
      <c r="H1296" s="1"/>
    </row>
    <row r="1297" spans="8:8" x14ac:dyDescent="0.25">
      <c r="H1297" s="1"/>
    </row>
    <row r="1298" spans="8:8" x14ac:dyDescent="0.25">
      <c r="H1298" s="1"/>
    </row>
    <row r="1299" spans="8:8" x14ac:dyDescent="0.25">
      <c r="H1299" s="1"/>
    </row>
    <row r="1300" spans="8:8" x14ac:dyDescent="0.25">
      <c r="H1300" s="1"/>
    </row>
    <row r="1301" spans="8:8" x14ac:dyDescent="0.25">
      <c r="H1301" s="1"/>
    </row>
    <row r="1302" spans="8:8" x14ac:dyDescent="0.25">
      <c r="H1302" s="1"/>
    </row>
    <row r="1303" spans="8:8" x14ac:dyDescent="0.25">
      <c r="H1303" s="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5</vt:i4>
      </vt:variant>
    </vt:vector>
  </HeadingPairs>
  <TitlesOfParts>
    <vt:vector size="6" baseType="lpstr">
      <vt:lpstr>AADATA</vt:lpstr>
      <vt:lpstr>Temperature</vt:lpstr>
      <vt:lpstr>Wind Speed</vt:lpstr>
      <vt:lpstr>Wind direction</vt:lpstr>
      <vt:lpstr>Humidity</vt:lpstr>
      <vt:lpstr>Sonic Pinger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mtruffer</dc:creator>
  <cp:lastModifiedBy>Dave Connell</cp:lastModifiedBy>
  <cp:lastPrinted>2001-01-02T04:13:02Z</cp:lastPrinted>
  <dcterms:created xsi:type="dcterms:W3CDTF">2000-11-25T14:01:03Z</dcterms:created>
  <dcterms:modified xsi:type="dcterms:W3CDTF">2020-12-11T05:09:22Z</dcterms:modified>
</cp:coreProperties>
</file>