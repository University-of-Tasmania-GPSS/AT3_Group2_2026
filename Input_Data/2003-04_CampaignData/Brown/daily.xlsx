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1158\Brown\"/>
    </mc:Choice>
  </mc:AlternateContent>
  <bookViews>
    <workbookView xWindow="96" yWindow="60" windowWidth="15120" windowHeight="10320" activeTab="1"/>
  </bookViews>
  <sheets>
    <sheet name="all data" sheetId="1" r:id="rId1"/>
    <sheet name="velocities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C2" i="1" l="1"/>
  <c r="H2" i="1"/>
  <c r="C3" i="1"/>
  <c r="H3" i="1"/>
  <c r="C4" i="1"/>
  <c r="H4" i="1"/>
  <c r="C5" i="1"/>
  <c r="H5" i="1"/>
  <c r="C6" i="1"/>
  <c r="H6" i="1"/>
  <c r="C7" i="1"/>
  <c r="H7" i="1"/>
  <c r="C8" i="1"/>
  <c r="H8" i="1"/>
  <c r="C9" i="1"/>
  <c r="H9" i="1"/>
  <c r="C10" i="1"/>
  <c r="C11" i="1"/>
  <c r="C12" i="1"/>
  <c r="C13" i="1"/>
  <c r="H13" i="1"/>
  <c r="C14" i="1"/>
  <c r="H14" i="1"/>
  <c r="C15" i="1"/>
  <c r="C16" i="1"/>
  <c r="C17" i="1"/>
  <c r="C18" i="1"/>
  <c r="H18" i="1"/>
  <c r="C19" i="1"/>
  <c r="C20" i="1"/>
  <c r="C21" i="1"/>
  <c r="H21" i="1"/>
  <c r="C22" i="1"/>
  <c r="H22" i="1"/>
  <c r="C23" i="1"/>
  <c r="H23" i="1"/>
  <c r="C24" i="1"/>
  <c r="H24" i="1"/>
  <c r="C25" i="1"/>
  <c r="H25" i="1"/>
  <c r="C26" i="1"/>
  <c r="H26" i="1"/>
  <c r="C27" i="1"/>
  <c r="H27" i="1"/>
  <c r="C28" i="1"/>
  <c r="H28" i="1"/>
  <c r="C29" i="1"/>
  <c r="H29" i="1"/>
  <c r="C30" i="1"/>
  <c r="H30" i="1"/>
  <c r="C31" i="1"/>
  <c r="H31" i="1"/>
  <c r="C32" i="1"/>
  <c r="H32" i="1"/>
  <c r="C33" i="1"/>
  <c r="H33" i="1"/>
  <c r="C34" i="1"/>
  <c r="H34" i="1"/>
  <c r="C35" i="1"/>
  <c r="H35" i="1"/>
  <c r="C36" i="1"/>
  <c r="H36" i="1"/>
  <c r="C37" i="1"/>
  <c r="H37" i="1"/>
  <c r="C38" i="1"/>
  <c r="H38" i="1"/>
  <c r="C39" i="1"/>
  <c r="H39" i="1"/>
  <c r="C40" i="1"/>
  <c r="H40" i="1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</calcChain>
</file>

<file path=xl/sharedStrings.xml><?xml version="1.0" encoding="utf-8"?>
<sst xmlns="http://schemas.openxmlformats.org/spreadsheetml/2006/main" count="10" uniqueCount="8">
  <si>
    <t>day</t>
  </si>
  <si>
    <t>total distance</t>
  </si>
  <si>
    <t>azimuth</t>
  </si>
  <si>
    <t>time (local)</t>
  </si>
  <si>
    <t>distance from last</t>
  </si>
  <si>
    <t>dec. time</t>
  </si>
  <si>
    <t>velocity (m/d)</t>
  </si>
  <si>
    <t>est.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</si>
</sst>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13" workbookViewId="0">
      <selection activeCell="C3" sqref="C3:I40"/>
    </sheetView>
  </sheetViews>
  <sheetFormatPr defaultRowHeight="13.2" x14ac:dyDescent="0.25"/>
  <cols>
    <col min="2" max="3" width="10.109375" customWidth="1"/>
    <col min="4" max="4" width="11.5546875" customWidth="1"/>
    <col min="9" max="9" width="15.44140625" customWidth="1"/>
  </cols>
  <sheetData>
    <row r="1" spans="1:9" x14ac:dyDescent="0.25">
      <c r="A1" t="s">
        <v>0</v>
      </c>
      <c r="B1" t="s">
        <v>3</v>
      </c>
      <c r="C1" t="s">
        <v>5</v>
      </c>
      <c r="D1" t="s">
        <v>1</v>
      </c>
      <c r="E1" t="s">
        <v>2</v>
      </c>
      <c r="I1" t="s">
        <v>4</v>
      </c>
    </row>
    <row r="2" spans="1:9" x14ac:dyDescent="0.25">
      <c r="A2">
        <v>307</v>
      </c>
      <c r="B2">
        <v>1900</v>
      </c>
      <c r="C2">
        <f>A2+B2/2400</f>
        <v>307.79166666666669</v>
      </c>
      <c r="D2">
        <v>0</v>
      </c>
      <c r="E2">
        <v>0</v>
      </c>
      <c r="F2">
        <v>0</v>
      </c>
      <c r="G2">
        <v>0</v>
      </c>
      <c r="H2">
        <f>E2+(F2+G2/60)/60</f>
        <v>0</v>
      </c>
    </row>
    <row r="3" spans="1:9" x14ac:dyDescent="0.25">
      <c r="A3">
        <v>308</v>
      </c>
      <c r="B3">
        <v>100</v>
      </c>
      <c r="C3">
        <f t="shared" ref="C3:C40" si="0">A3+B3/2400</f>
        <v>308.04166666666669</v>
      </c>
      <c r="D3">
        <v>2.1999999999999999E-2</v>
      </c>
      <c r="E3">
        <v>74</v>
      </c>
      <c r="F3">
        <v>39</v>
      </c>
      <c r="G3">
        <v>40.5</v>
      </c>
      <c r="H3">
        <f t="shared" ref="H3:H40" si="1">E3+(F3+G3/60)/60</f>
        <v>74.661249999999995</v>
      </c>
      <c r="I3">
        <v>2.1999999999999999E-2</v>
      </c>
    </row>
    <row r="4" spans="1:9" x14ac:dyDescent="0.25">
      <c r="A4">
        <v>308</v>
      </c>
      <c r="B4">
        <v>700</v>
      </c>
      <c r="C4">
        <f t="shared" si="0"/>
        <v>308.29166666666669</v>
      </c>
      <c r="D4">
        <v>4.8000000000000001E-2</v>
      </c>
      <c r="E4">
        <v>80</v>
      </c>
      <c r="F4">
        <v>12</v>
      </c>
      <c r="G4">
        <v>47.7</v>
      </c>
      <c r="H4">
        <f t="shared" si="1"/>
        <v>80.213250000000002</v>
      </c>
      <c r="I4">
        <v>2.5999999999999999E-2</v>
      </c>
    </row>
    <row r="5" spans="1:9" x14ac:dyDescent="0.25">
      <c r="A5">
        <v>308</v>
      </c>
      <c r="B5">
        <v>1300</v>
      </c>
      <c r="C5">
        <f t="shared" si="0"/>
        <v>308.54166666666669</v>
      </c>
      <c r="D5">
        <v>8.7999999999999995E-2</v>
      </c>
      <c r="E5">
        <v>74</v>
      </c>
      <c r="F5">
        <v>47</v>
      </c>
      <c r="G5">
        <v>14.6</v>
      </c>
      <c r="H5">
        <f t="shared" si="1"/>
        <v>74.787388888888884</v>
      </c>
      <c r="I5">
        <v>4.1000000000000002E-2</v>
      </c>
    </row>
    <row r="6" spans="1:9" x14ac:dyDescent="0.25">
      <c r="A6">
        <v>308</v>
      </c>
      <c r="B6">
        <v>1900</v>
      </c>
      <c r="C6">
        <f t="shared" si="0"/>
        <v>308.79166666666669</v>
      </c>
      <c r="D6">
        <v>0.113</v>
      </c>
      <c r="E6">
        <v>77</v>
      </c>
      <c r="F6">
        <v>56</v>
      </c>
      <c r="G6">
        <v>24.7</v>
      </c>
      <c r="H6">
        <f t="shared" si="1"/>
        <v>77.940194444444444</v>
      </c>
      <c r="I6">
        <v>2.5999999999999999E-2</v>
      </c>
    </row>
    <row r="7" spans="1:9" x14ac:dyDescent="0.25">
      <c r="A7">
        <v>309</v>
      </c>
      <c r="B7">
        <v>100</v>
      </c>
      <c r="C7">
        <f t="shared" si="0"/>
        <v>309.04166666666669</v>
      </c>
      <c r="D7">
        <v>0.14099999999999999</v>
      </c>
      <c r="E7">
        <v>69</v>
      </c>
      <c r="F7">
        <v>47</v>
      </c>
      <c r="G7">
        <v>41.3</v>
      </c>
      <c r="H7">
        <f t="shared" si="1"/>
        <v>69.794805555555556</v>
      </c>
      <c r="I7">
        <v>3.3000000000000002E-2</v>
      </c>
    </row>
    <row r="8" spans="1:9" x14ac:dyDescent="0.25">
      <c r="A8">
        <v>309</v>
      </c>
      <c r="B8">
        <v>700</v>
      </c>
      <c r="C8">
        <f t="shared" si="0"/>
        <v>309.29166666666669</v>
      </c>
      <c r="D8">
        <v>0.16500000000000001</v>
      </c>
      <c r="E8">
        <v>76</v>
      </c>
      <c r="F8">
        <v>13</v>
      </c>
      <c r="G8">
        <v>28.7</v>
      </c>
      <c r="H8">
        <f t="shared" si="1"/>
        <v>76.22463888888889</v>
      </c>
      <c r="I8">
        <v>2.9000000000000001E-2</v>
      </c>
    </row>
    <row r="9" spans="1:9" x14ac:dyDescent="0.25">
      <c r="A9">
        <v>309</v>
      </c>
      <c r="B9">
        <v>1300</v>
      </c>
      <c r="C9">
        <f t="shared" si="0"/>
        <v>309.54166666666669</v>
      </c>
      <c r="D9">
        <v>0.22800000000000001</v>
      </c>
      <c r="E9">
        <v>76</v>
      </c>
      <c r="F9">
        <v>39</v>
      </c>
      <c r="G9">
        <v>50.5</v>
      </c>
      <c r="H9">
        <f t="shared" si="1"/>
        <v>76.664027777777775</v>
      </c>
      <c r="I9">
        <v>6.3E-2</v>
      </c>
    </row>
    <row r="10" spans="1:9" x14ac:dyDescent="0.25">
      <c r="A10">
        <v>309</v>
      </c>
      <c r="B10">
        <v>1900</v>
      </c>
      <c r="C10">
        <f t="shared" si="0"/>
        <v>309.79166666666669</v>
      </c>
    </row>
    <row r="11" spans="1:9" x14ac:dyDescent="0.25">
      <c r="A11">
        <v>310</v>
      </c>
      <c r="B11">
        <v>100</v>
      </c>
      <c r="C11">
        <f t="shared" si="0"/>
        <v>310.04166666666669</v>
      </c>
    </row>
    <row r="12" spans="1:9" x14ac:dyDescent="0.25">
      <c r="A12">
        <v>310</v>
      </c>
      <c r="B12">
        <v>700</v>
      </c>
      <c r="C12">
        <f t="shared" si="0"/>
        <v>310.29166666666669</v>
      </c>
    </row>
    <row r="13" spans="1:9" x14ac:dyDescent="0.25">
      <c r="A13">
        <v>310</v>
      </c>
      <c r="B13">
        <v>1300</v>
      </c>
      <c r="C13">
        <f t="shared" si="0"/>
        <v>310.54166666666669</v>
      </c>
      <c r="D13">
        <v>0.33200000000000002</v>
      </c>
      <c r="E13">
        <v>74</v>
      </c>
      <c r="F13">
        <v>12</v>
      </c>
      <c r="G13">
        <v>39</v>
      </c>
      <c r="H13">
        <f t="shared" si="1"/>
        <v>74.210833333333326</v>
      </c>
      <c r="I13">
        <v>0.105</v>
      </c>
    </row>
    <row r="14" spans="1:9" x14ac:dyDescent="0.25">
      <c r="A14">
        <v>310</v>
      </c>
      <c r="B14">
        <v>1900</v>
      </c>
      <c r="C14">
        <f t="shared" si="0"/>
        <v>310.79166666666669</v>
      </c>
      <c r="D14">
        <v>0.35099999999999998</v>
      </c>
      <c r="E14">
        <v>72</v>
      </c>
      <c r="F14">
        <v>24</v>
      </c>
      <c r="G14">
        <v>46.9</v>
      </c>
      <c r="H14">
        <f t="shared" si="1"/>
        <v>72.413027777777785</v>
      </c>
      <c r="I14">
        <v>2.1999999999999999E-2</v>
      </c>
    </row>
    <row r="15" spans="1:9" x14ac:dyDescent="0.25">
      <c r="A15">
        <v>311</v>
      </c>
      <c r="B15">
        <v>100</v>
      </c>
      <c r="C15">
        <f t="shared" si="0"/>
        <v>311.04166666666669</v>
      </c>
    </row>
    <row r="16" spans="1:9" x14ac:dyDescent="0.25">
      <c r="A16">
        <v>311</v>
      </c>
      <c r="B16">
        <v>700</v>
      </c>
      <c r="C16">
        <f t="shared" si="0"/>
        <v>311.29166666666669</v>
      </c>
    </row>
    <row r="17" spans="1:9" x14ac:dyDescent="0.25">
      <c r="A17">
        <v>311</v>
      </c>
      <c r="B17">
        <v>1300</v>
      </c>
      <c r="C17">
        <f t="shared" si="0"/>
        <v>311.54166666666669</v>
      </c>
    </row>
    <row r="18" spans="1:9" x14ac:dyDescent="0.25">
      <c r="A18">
        <v>311</v>
      </c>
      <c r="B18">
        <v>1900</v>
      </c>
      <c r="C18">
        <f t="shared" si="0"/>
        <v>311.79166666666669</v>
      </c>
      <c r="D18">
        <v>0.45600000000000002</v>
      </c>
      <c r="E18">
        <v>76</v>
      </c>
      <c r="F18">
        <v>0</v>
      </c>
      <c r="G18">
        <v>14.5</v>
      </c>
      <c r="H18">
        <f t="shared" si="1"/>
        <v>76.004027777777779</v>
      </c>
      <c r="I18">
        <v>0.108</v>
      </c>
    </row>
    <row r="19" spans="1:9" x14ac:dyDescent="0.25">
      <c r="A19">
        <v>312</v>
      </c>
      <c r="B19">
        <v>100</v>
      </c>
      <c r="C19">
        <f t="shared" si="0"/>
        <v>312.04166666666669</v>
      </c>
    </row>
    <row r="20" spans="1:9" x14ac:dyDescent="0.25">
      <c r="A20">
        <v>312</v>
      </c>
      <c r="B20">
        <v>700</v>
      </c>
      <c r="C20">
        <f t="shared" si="0"/>
        <v>312.29166666666669</v>
      </c>
    </row>
    <row r="21" spans="1:9" x14ac:dyDescent="0.25">
      <c r="A21">
        <v>312</v>
      </c>
      <c r="B21">
        <v>1300</v>
      </c>
      <c r="C21">
        <f t="shared" si="0"/>
        <v>312.54166666666669</v>
      </c>
      <c r="D21">
        <v>0.56699999999999995</v>
      </c>
      <c r="E21">
        <v>73</v>
      </c>
      <c r="F21">
        <v>17</v>
      </c>
      <c r="G21">
        <v>21.6</v>
      </c>
      <c r="H21">
        <f t="shared" si="1"/>
        <v>73.289333333333332</v>
      </c>
      <c r="I21">
        <v>0.114</v>
      </c>
    </row>
    <row r="22" spans="1:9" x14ac:dyDescent="0.25">
      <c r="A22">
        <v>312</v>
      </c>
      <c r="B22">
        <v>1900</v>
      </c>
      <c r="C22">
        <f t="shared" si="0"/>
        <v>312.79166666666669</v>
      </c>
      <c r="D22">
        <v>0.57799999999999996</v>
      </c>
      <c r="E22">
        <v>77</v>
      </c>
      <c r="F22">
        <v>53</v>
      </c>
      <c r="G22">
        <v>31.8</v>
      </c>
      <c r="H22">
        <f t="shared" si="1"/>
        <v>77.892166666666668</v>
      </c>
      <c r="I22">
        <v>4.7E-2</v>
      </c>
    </row>
    <row r="23" spans="1:9" x14ac:dyDescent="0.25">
      <c r="A23">
        <v>313</v>
      </c>
      <c r="B23">
        <v>100</v>
      </c>
      <c r="C23">
        <f t="shared" si="0"/>
        <v>313.04166666666669</v>
      </c>
      <c r="D23">
        <v>0.61</v>
      </c>
      <c r="E23">
        <v>75</v>
      </c>
      <c r="F23">
        <v>7</v>
      </c>
      <c r="G23">
        <v>20</v>
      </c>
      <c r="H23">
        <f t="shared" si="1"/>
        <v>75.12222222222222</v>
      </c>
      <c r="I23">
        <v>4.2999999999999997E-2</v>
      </c>
    </row>
    <row r="24" spans="1:9" x14ac:dyDescent="0.25">
      <c r="A24">
        <v>313</v>
      </c>
      <c r="B24">
        <v>700</v>
      </c>
      <c r="C24">
        <f t="shared" si="0"/>
        <v>313.29166666666669</v>
      </c>
      <c r="D24">
        <v>0.65800000000000003</v>
      </c>
      <c r="E24">
        <v>76</v>
      </c>
      <c r="F24">
        <v>18</v>
      </c>
      <c r="G24">
        <v>36.9</v>
      </c>
      <c r="H24">
        <f t="shared" si="1"/>
        <v>76.310249999999996</v>
      </c>
      <c r="I24">
        <v>0.05</v>
      </c>
    </row>
    <row r="25" spans="1:9" x14ac:dyDescent="0.25">
      <c r="A25">
        <v>313</v>
      </c>
      <c r="B25">
        <v>1300</v>
      </c>
      <c r="C25">
        <f t="shared" si="0"/>
        <v>313.54166666666669</v>
      </c>
      <c r="D25">
        <v>0.70799999999999996</v>
      </c>
      <c r="E25">
        <v>74</v>
      </c>
      <c r="F25">
        <v>45</v>
      </c>
      <c r="G25">
        <v>47.8</v>
      </c>
      <c r="H25">
        <f t="shared" si="1"/>
        <v>74.763277777777773</v>
      </c>
      <c r="I25">
        <v>5.2999999999999999E-2</v>
      </c>
    </row>
    <row r="26" spans="1:9" x14ac:dyDescent="0.25">
      <c r="A26">
        <v>313</v>
      </c>
      <c r="B26">
        <v>1900</v>
      </c>
      <c r="C26">
        <f t="shared" si="0"/>
        <v>313.79166666666669</v>
      </c>
      <c r="D26">
        <v>0.77800000000000002</v>
      </c>
      <c r="E26">
        <v>76</v>
      </c>
      <c r="F26">
        <v>35</v>
      </c>
      <c r="G26">
        <v>16.100000000000001</v>
      </c>
      <c r="H26">
        <f t="shared" si="1"/>
        <v>76.587805555555562</v>
      </c>
      <c r="I26">
        <v>7.4999999999999997E-2</v>
      </c>
    </row>
    <row r="27" spans="1:9" x14ac:dyDescent="0.25">
      <c r="A27">
        <v>314</v>
      </c>
      <c r="B27">
        <v>100</v>
      </c>
      <c r="C27">
        <f t="shared" si="0"/>
        <v>314.04166666666669</v>
      </c>
      <c r="D27">
        <v>0.72799999999999998</v>
      </c>
      <c r="E27">
        <v>75</v>
      </c>
      <c r="F27">
        <v>35</v>
      </c>
      <c r="G27">
        <v>32.4</v>
      </c>
      <c r="H27">
        <f t="shared" si="1"/>
        <v>75.592333333333329</v>
      </c>
      <c r="I27">
        <v>5.1999999999999998E-2</v>
      </c>
    </row>
    <row r="28" spans="1:9" x14ac:dyDescent="0.25">
      <c r="A28">
        <v>325</v>
      </c>
      <c r="B28">
        <v>700</v>
      </c>
      <c r="C28">
        <f t="shared" si="0"/>
        <v>325.29166666666669</v>
      </c>
      <c r="D28">
        <v>2.0840000000000001</v>
      </c>
      <c r="E28">
        <v>74</v>
      </c>
      <c r="F28">
        <v>33</v>
      </c>
      <c r="G28">
        <v>17.899999999999999</v>
      </c>
      <c r="H28">
        <f t="shared" si="1"/>
        <v>74.554972222222219</v>
      </c>
      <c r="I28">
        <v>1.357</v>
      </c>
    </row>
    <row r="29" spans="1:9" x14ac:dyDescent="0.25">
      <c r="A29">
        <v>325</v>
      </c>
      <c r="B29">
        <v>1300</v>
      </c>
      <c r="C29">
        <f t="shared" si="0"/>
        <v>325.54166666666669</v>
      </c>
      <c r="D29">
        <v>2.1080000000000001</v>
      </c>
      <c r="E29">
        <v>74</v>
      </c>
      <c r="F29">
        <v>38</v>
      </c>
      <c r="G29">
        <v>36.1</v>
      </c>
      <c r="H29">
        <f t="shared" si="1"/>
        <v>74.643361111111105</v>
      </c>
      <c r="I29">
        <v>2.3E-2</v>
      </c>
    </row>
    <row r="30" spans="1:9" x14ac:dyDescent="0.25">
      <c r="A30">
        <v>326</v>
      </c>
      <c r="B30">
        <v>100</v>
      </c>
      <c r="C30">
        <f t="shared" si="0"/>
        <v>326.04166666666669</v>
      </c>
      <c r="D30">
        <v>2.165</v>
      </c>
      <c r="E30">
        <v>74</v>
      </c>
      <c r="F30">
        <v>41</v>
      </c>
      <c r="G30">
        <v>33.799999999999997</v>
      </c>
      <c r="H30">
        <f t="shared" si="1"/>
        <v>74.692722222222216</v>
      </c>
      <c r="I30">
        <v>5.7000000000000002E-2</v>
      </c>
    </row>
    <row r="31" spans="1:9" x14ac:dyDescent="0.25">
      <c r="A31">
        <v>326</v>
      </c>
      <c r="B31">
        <v>700</v>
      </c>
      <c r="C31">
        <f t="shared" si="0"/>
        <v>326.29166666666669</v>
      </c>
      <c r="D31">
        <v>2.202</v>
      </c>
      <c r="E31">
        <v>74</v>
      </c>
      <c r="F31">
        <v>14</v>
      </c>
      <c r="G31">
        <v>54.6</v>
      </c>
      <c r="H31">
        <f t="shared" si="1"/>
        <v>74.248500000000007</v>
      </c>
      <c r="I31">
        <v>4.1000000000000002E-2</v>
      </c>
    </row>
    <row r="32" spans="1:9" x14ac:dyDescent="0.25">
      <c r="A32">
        <v>326</v>
      </c>
      <c r="B32">
        <v>1300</v>
      </c>
      <c r="C32">
        <f t="shared" si="0"/>
        <v>326.54166666666669</v>
      </c>
      <c r="D32">
        <v>2.222</v>
      </c>
      <c r="E32">
        <v>74</v>
      </c>
      <c r="F32">
        <v>49</v>
      </c>
      <c r="G32">
        <v>14.2</v>
      </c>
      <c r="H32">
        <f t="shared" si="1"/>
        <v>74.820611111111106</v>
      </c>
      <c r="I32">
        <v>0.03</v>
      </c>
    </row>
    <row r="33" spans="1:9" x14ac:dyDescent="0.25">
      <c r="A33">
        <v>326</v>
      </c>
      <c r="B33">
        <v>1900</v>
      </c>
      <c r="C33">
        <f t="shared" si="0"/>
        <v>326.79166666666669</v>
      </c>
      <c r="D33">
        <v>2.2610000000000001</v>
      </c>
      <c r="E33">
        <v>74</v>
      </c>
      <c r="F33">
        <v>34</v>
      </c>
      <c r="G33">
        <v>58.3</v>
      </c>
      <c r="H33">
        <f t="shared" si="1"/>
        <v>74.582861111111114</v>
      </c>
      <c r="I33">
        <v>0.04</v>
      </c>
    </row>
    <row r="34" spans="1:9" x14ac:dyDescent="0.25">
      <c r="A34">
        <v>327</v>
      </c>
      <c r="B34">
        <v>700</v>
      </c>
      <c r="C34">
        <f t="shared" si="0"/>
        <v>327.29166666666669</v>
      </c>
      <c r="D34">
        <v>2.3159999999999998</v>
      </c>
      <c r="E34">
        <v>74</v>
      </c>
      <c r="F34">
        <v>20</v>
      </c>
      <c r="G34">
        <v>49.2</v>
      </c>
      <c r="H34">
        <f t="shared" si="1"/>
        <v>74.346999999999994</v>
      </c>
      <c r="I34">
        <v>5.6000000000000001E-2</v>
      </c>
    </row>
    <row r="35" spans="1:9" x14ac:dyDescent="0.25">
      <c r="A35">
        <v>327</v>
      </c>
      <c r="B35">
        <v>1300</v>
      </c>
      <c r="C35">
        <f t="shared" si="0"/>
        <v>327.54166666666669</v>
      </c>
      <c r="D35">
        <v>2.3380000000000001</v>
      </c>
      <c r="E35">
        <v>74</v>
      </c>
      <c r="F35">
        <v>17</v>
      </c>
      <c r="G35">
        <v>21.8</v>
      </c>
      <c r="H35">
        <f t="shared" si="1"/>
        <v>74.289388888888894</v>
      </c>
      <c r="I35">
        <v>2.1999999999999999E-2</v>
      </c>
    </row>
    <row r="36" spans="1:9" x14ac:dyDescent="0.25">
      <c r="A36">
        <v>327</v>
      </c>
      <c r="B36">
        <v>1900</v>
      </c>
      <c r="C36">
        <f t="shared" si="0"/>
        <v>327.79166666666669</v>
      </c>
      <c r="D36">
        <v>2.3780000000000001</v>
      </c>
      <c r="E36">
        <v>74</v>
      </c>
      <c r="F36">
        <v>41</v>
      </c>
      <c r="G36">
        <v>32.299999999999997</v>
      </c>
      <c r="H36">
        <f t="shared" si="1"/>
        <v>74.692305555555549</v>
      </c>
      <c r="I36">
        <v>4.3999999999999997E-2</v>
      </c>
    </row>
    <row r="37" spans="1:9" x14ac:dyDescent="0.25">
      <c r="A37">
        <v>328</v>
      </c>
      <c r="B37">
        <v>100</v>
      </c>
      <c r="C37">
        <f t="shared" si="0"/>
        <v>328.04166666666669</v>
      </c>
      <c r="D37">
        <v>2.4060000000000001</v>
      </c>
      <c r="E37">
        <v>75</v>
      </c>
      <c r="F37">
        <v>14</v>
      </c>
      <c r="G37">
        <v>28.1</v>
      </c>
      <c r="H37">
        <f t="shared" si="1"/>
        <v>75.241138888888884</v>
      </c>
      <c r="I37">
        <v>3.5999999999999997E-2</v>
      </c>
    </row>
    <row r="38" spans="1:9" x14ac:dyDescent="0.25">
      <c r="A38">
        <v>328</v>
      </c>
      <c r="B38">
        <v>700</v>
      </c>
      <c r="C38">
        <f t="shared" si="0"/>
        <v>328.29166666666669</v>
      </c>
      <c r="D38">
        <v>2.4220000000000002</v>
      </c>
      <c r="E38">
        <v>73</v>
      </c>
      <c r="F38">
        <v>59</v>
      </c>
      <c r="G38">
        <v>51.9</v>
      </c>
      <c r="H38">
        <f t="shared" si="1"/>
        <v>73.997749999999996</v>
      </c>
      <c r="I38">
        <v>5.5E-2</v>
      </c>
    </row>
    <row r="39" spans="1:9" x14ac:dyDescent="0.25">
      <c r="A39">
        <v>329</v>
      </c>
      <c r="B39">
        <v>1300</v>
      </c>
      <c r="C39">
        <f t="shared" si="0"/>
        <v>329.54166666666669</v>
      </c>
      <c r="D39">
        <v>2.5720000000000001</v>
      </c>
      <c r="E39">
        <v>74</v>
      </c>
      <c r="F39">
        <v>33</v>
      </c>
      <c r="G39">
        <v>12.4</v>
      </c>
      <c r="H39">
        <f t="shared" si="1"/>
        <v>74.553444444444438</v>
      </c>
      <c r="I39">
        <v>0.152</v>
      </c>
    </row>
    <row r="40" spans="1:9" x14ac:dyDescent="0.25">
      <c r="A40">
        <v>329</v>
      </c>
      <c r="B40">
        <v>1900</v>
      </c>
      <c r="C40">
        <f t="shared" si="0"/>
        <v>329.79166666666669</v>
      </c>
      <c r="D40">
        <v>2.5739999999999998</v>
      </c>
      <c r="E40">
        <v>74</v>
      </c>
      <c r="F40">
        <v>40</v>
      </c>
      <c r="G40">
        <v>55.4</v>
      </c>
      <c r="H40">
        <f t="shared" si="1"/>
        <v>74.68205555555555</v>
      </c>
      <c r="I40">
        <v>6.0000000000000001E-3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A3" sqref="A3:D32"/>
    </sheetView>
  </sheetViews>
  <sheetFormatPr defaultRowHeight="13.2" x14ac:dyDescent="0.25"/>
  <cols>
    <col min="2" max="2" width="16.88671875" customWidth="1"/>
    <col min="3" max="3" width="12.44140625" customWidth="1"/>
  </cols>
  <sheetData>
    <row r="1" spans="1:4" x14ac:dyDescent="0.25">
      <c r="A1" t="s">
        <v>5</v>
      </c>
      <c r="B1" t="s">
        <v>4</v>
      </c>
      <c r="C1" t="s">
        <v>6</v>
      </c>
      <c r="D1" t="s">
        <v>7</v>
      </c>
    </row>
    <row r="2" spans="1:4" x14ac:dyDescent="0.25">
      <c r="A2">
        <v>307.79166666666669</v>
      </c>
      <c r="B2">
        <v>0</v>
      </c>
    </row>
    <row r="3" spans="1:4" x14ac:dyDescent="0.25">
      <c r="A3">
        <v>308.04166666666669</v>
      </c>
      <c r="B3">
        <v>2.1999999999999999E-2</v>
      </c>
      <c r="C3">
        <f>B3/(A3-A2)</f>
        <v>8.7999999999999995E-2</v>
      </c>
      <c r="D3">
        <f>SQRT(2)*0.025/(A3-A2)</f>
        <v>0.14142135623730953</v>
      </c>
    </row>
    <row r="4" spans="1:4" x14ac:dyDescent="0.25">
      <c r="A4">
        <v>308.29166666666669</v>
      </c>
      <c r="B4">
        <v>2.5999999999999999E-2</v>
      </c>
      <c r="C4">
        <f t="shared" ref="C4:C32" si="0">B4/(A4-A3)</f>
        <v>0.104</v>
      </c>
      <c r="D4">
        <f t="shared" ref="D4:D32" si="1">SQRT(2)*0.025/(A4-A3)</f>
        <v>0.14142135623730953</v>
      </c>
    </row>
    <row r="5" spans="1:4" x14ac:dyDescent="0.25">
      <c r="A5">
        <v>308.54166666666669</v>
      </c>
      <c r="B5">
        <v>4.1000000000000002E-2</v>
      </c>
      <c r="C5">
        <f t="shared" si="0"/>
        <v>0.16400000000000001</v>
      </c>
      <c r="D5">
        <f t="shared" si="1"/>
        <v>0.14142135623730953</v>
      </c>
    </row>
    <row r="6" spans="1:4" x14ac:dyDescent="0.25">
      <c r="A6">
        <v>308.79166666666669</v>
      </c>
      <c r="B6">
        <v>2.5999999999999999E-2</v>
      </c>
      <c r="C6">
        <f t="shared" si="0"/>
        <v>0.104</v>
      </c>
      <c r="D6">
        <f t="shared" si="1"/>
        <v>0.14142135623730953</v>
      </c>
    </row>
    <row r="7" spans="1:4" x14ac:dyDescent="0.25">
      <c r="A7">
        <v>309.04166666666669</v>
      </c>
      <c r="B7">
        <v>3.3000000000000002E-2</v>
      </c>
      <c r="C7">
        <f t="shared" si="0"/>
        <v>0.13200000000000001</v>
      </c>
      <c r="D7">
        <f t="shared" si="1"/>
        <v>0.14142135623730953</v>
      </c>
    </row>
    <row r="8" spans="1:4" x14ac:dyDescent="0.25">
      <c r="A8">
        <v>309.29166666666669</v>
      </c>
      <c r="B8">
        <v>2.9000000000000001E-2</v>
      </c>
      <c r="C8">
        <f t="shared" si="0"/>
        <v>0.11600000000000001</v>
      </c>
      <c r="D8">
        <f t="shared" si="1"/>
        <v>0.14142135623730953</v>
      </c>
    </row>
    <row r="9" spans="1:4" x14ac:dyDescent="0.25">
      <c r="A9">
        <v>309.54166666666669</v>
      </c>
      <c r="B9">
        <v>6.3E-2</v>
      </c>
      <c r="C9">
        <f t="shared" si="0"/>
        <v>0.252</v>
      </c>
      <c r="D9">
        <f t="shared" si="1"/>
        <v>0.14142135623730953</v>
      </c>
    </row>
    <row r="10" spans="1:4" x14ac:dyDescent="0.25">
      <c r="A10">
        <v>310.54166666666669</v>
      </c>
      <c r="B10">
        <v>0.105</v>
      </c>
      <c r="C10">
        <f t="shared" si="0"/>
        <v>0.105</v>
      </c>
      <c r="D10">
        <f t="shared" si="1"/>
        <v>3.5355339059327383E-2</v>
      </c>
    </row>
    <row r="11" spans="1:4" x14ac:dyDescent="0.25">
      <c r="A11">
        <v>310.79166666666669</v>
      </c>
      <c r="B11">
        <v>2.1999999999999999E-2</v>
      </c>
      <c r="C11">
        <f t="shared" si="0"/>
        <v>8.7999999999999995E-2</v>
      </c>
      <c r="D11">
        <f t="shared" si="1"/>
        <v>0.14142135623730953</v>
      </c>
    </row>
    <row r="12" spans="1:4" x14ac:dyDescent="0.25">
      <c r="A12">
        <v>311.79166666666669</v>
      </c>
      <c r="B12">
        <v>0.108</v>
      </c>
      <c r="C12">
        <f t="shared" si="0"/>
        <v>0.108</v>
      </c>
      <c r="D12">
        <f t="shared" si="1"/>
        <v>3.5355339059327383E-2</v>
      </c>
    </row>
    <row r="13" spans="1:4" x14ac:dyDescent="0.25">
      <c r="A13">
        <v>312.54166666666669</v>
      </c>
      <c r="B13">
        <v>0.114</v>
      </c>
      <c r="C13">
        <f t="shared" si="0"/>
        <v>0.152</v>
      </c>
      <c r="D13">
        <f t="shared" si="1"/>
        <v>4.7140452079103175E-2</v>
      </c>
    </row>
    <row r="14" spans="1:4" x14ac:dyDescent="0.25">
      <c r="A14">
        <v>312.79166666666669</v>
      </c>
      <c r="B14">
        <v>4.7E-2</v>
      </c>
      <c r="C14">
        <f t="shared" si="0"/>
        <v>0.188</v>
      </c>
      <c r="D14">
        <f t="shared" si="1"/>
        <v>0.14142135623730953</v>
      </c>
    </row>
    <row r="15" spans="1:4" x14ac:dyDescent="0.25">
      <c r="A15">
        <v>313.04166666666669</v>
      </c>
      <c r="B15">
        <v>4.2999999999999997E-2</v>
      </c>
      <c r="C15">
        <f t="shared" si="0"/>
        <v>0.17199999999999999</v>
      </c>
      <c r="D15">
        <f t="shared" si="1"/>
        <v>0.14142135623730953</v>
      </c>
    </row>
    <row r="16" spans="1:4" x14ac:dyDescent="0.25">
      <c r="A16">
        <v>313.29166666666669</v>
      </c>
      <c r="B16">
        <v>0.05</v>
      </c>
      <c r="C16">
        <f t="shared" si="0"/>
        <v>0.2</v>
      </c>
      <c r="D16">
        <f t="shared" si="1"/>
        <v>0.14142135623730953</v>
      </c>
    </row>
    <row r="17" spans="1:4" x14ac:dyDescent="0.25">
      <c r="A17">
        <v>313.54166666666669</v>
      </c>
      <c r="B17">
        <v>5.2999999999999999E-2</v>
      </c>
      <c r="C17">
        <f t="shared" si="0"/>
        <v>0.21199999999999999</v>
      </c>
      <c r="D17">
        <f t="shared" si="1"/>
        <v>0.14142135623730953</v>
      </c>
    </row>
    <row r="18" spans="1:4" x14ac:dyDescent="0.25">
      <c r="A18">
        <v>313.79166666666669</v>
      </c>
      <c r="B18">
        <v>7.4999999999999997E-2</v>
      </c>
      <c r="C18">
        <f t="shared" si="0"/>
        <v>0.3</v>
      </c>
      <c r="D18">
        <f t="shared" si="1"/>
        <v>0.14142135623730953</v>
      </c>
    </row>
    <row r="19" spans="1:4" x14ac:dyDescent="0.25">
      <c r="A19">
        <v>314.04166666666669</v>
      </c>
      <c r="B19">
        <v>5.1999999999999998E-2</v>
      </c>
      <c r="C19">
        <f t="shared" si="0"/>
        <v>0.20799999999999999</v>
      </c>
      <c r="D19">
        <f t="shared" si="1"/>
        <v>0.14142135623730953</v>
      </c>
    </row>
    <row r="20" spans="1:4" x14ac:dyDescent="0.25">
      <c r="A20">
        <v>325.29166666666669</v>
      </c>
      <c r="B20">
        <v>1.357</v>
      </c>
      <c r="C20">
        <f t="shared" si="0"/>
        <v>0.12062222222222221</v>
      </c>
      <c r="D20">
        <f t="shared" si="1"/>
        <v>3.1426968052735453E-3</v>
      </c>
    </row>
    <row r="21" spans="1:4" x14ac:dyDescent="0.25">
      <c r="A21">
        <v>325.54166666666669</v>
      </c>
      <c r="B21">
        <v>2.3E-2</v>
      </c>
      <c r="C21">
        <f t="shared" si="0"/>
        <v>9.1999999999999998E-2</v>
      </c>
      <c r="D21">
        <f t="shared" si="1"/>
        <v>0.14142135623730953</v>
      </c>
    </row>
    <row r="22" spans="1:4" x14ac:dyDescent="0.25">
      <c r="A22">
        <v>326.04166666666669</v>
      </c>
      <c r="B22">
        <v>5.7000000000000002E-2</v>
      </c>
      <c r="C22">
        <f t="shared" si="0"/>
        <v>0.114</v>
      </c>
      <c r="D22">
        <f t="shared" si="1"/>
        <v>7.0710678118654766E-2</v>
      </c>
    </row>
    <row r="23" spans="1:4" x14ac:dyDescent="0.25">
      <c r="A23">
        <v>326.29166666666669</v>
      </c>
      <c r="B23">
        <v>4.1000000000000002E-2</v>
      </c>
      <c r="C23">
        <f t="shared" si="0"/>
        <v>0.16400000000000001</v>
      </c>
      <c r="D23">
        <f t="shared" si="1"/>
        <v>0.14142135623730953</v>
      </c>
    </row>
    <row r="24" spans="1:4" x14ac:dyDescent="0.25">
      <c r="A24">
        <v>326.54166666666669</v>
      </c>
      <c r="B24">
        <v>0.03</v>
      </c>
      <c r="C24">
        <f t="shared" si="0"/>
        <v>0.12</v>
      </c>
      <c r="D24">
        <f t="shared" si="1"/>
        <v>0.14142135623730953</v>
      </c>
    </row>
    <row r="25" spans="1:4" x14ac:dyDescent="0.25">
      <c r="A25">
        <v>326.79166666666669</v>
      </c>
      <c r="B25">
        <v>0.04</v>
      </c>
      <c r="C25">
        <f t="shared" si="0"/>
        <v>0.16</v>
      </c>
      <c r="D25">
        <f t="shared" si="1"/>
        <v>0.14142135623730953</v>
      </c>
    </row>
    <row r="26" spans="1:4" x14ac:dyDescent="0.25">
      <c r="A26">
        <v>327.29166666666669</v>
      </c>
      <c r="B26">
        <v>5.6000000000000001E-2</v>
      </c>
      <c r="C26">
        <f t="shared" si="0"/>
        <v>0.112</v>
      </c>
      <c r="D26">
        <f t="shared" si="1"/>
        <v>7.0710678118654766E-2</v>
      </c>
    </row>
    <row r="27" spans="1:4" x14ac:dyDescent="0.25">
      <c r="A27">
        <v>327.54166666666669</v>
      </c>
      <c r="B27">
        <v>2.1999999999999999E-2</v>
      </c>
      <c r="C27">
        <f t="shared" si="0"/>
        <v>8.7999999999999995E-2</v>
      </c>
      <c r="D27">
        <f t="shared" si="1"/>
        <v>0.14142135623730953</v>
      </c>
    </row>
    <row r="28" spans="1:4" x14ac:dyDescent="0.25">
      <c r="A28">
        <v>327.79166666666669</v>
      </c>
      <c r="B28">
        <v>4.3999999999999997E-2</v>
      </c>
      <c r="C28">
        <f t="shared" si="0"/>
        <v>0.17599999999999999</v>
      </c>
      <c r="D28">
        <f t="shared" si="1"/>
        <v>0.14142135623730953</v>
      </c>
    </row>
    <row r="29" spans="1:4" x14ac:dyDescent="0.25">
      <c r="A29">
        <v>328.04166666666669</v>
      </c>
      <c r="B29">
        <v>3.5999999999999997E-2</v>
      </c>
      <c r="C29">
        <f t="shared" si="0"/>
        <v>0.14399999999999999</v>
      </c>
      <c r="D29">
        <f t="shared" si="1"/>
        <v>0.14142135623730953</v>
      </c>
    </row>
    <row r="30" spans="1:4" x14ac:dyDescent="0.25">
      <c r="A30">
        <v>328.29166666666669</v>
      </c>
      <c r="B30">
        <v>5.5E-2</v>
      </c>
      <c r="C30">
        <f t="shared" si="0"/>
        <v>0.22</v>
      </c>
      <c r="D30">
        <f t="shared" si="1"/>
        <v>0.14142135623730953</v>
      </c>
    </row>
    <row r="31" spans="1:4" x14ac:dyDescent="0.25">
      <c r="A31">
        <v>329.54166666666669</v>
      </c>
      <c r="B31">
        <v>0.152</v>
      </c>
      <c r="C31">
        <f t="shared" si="0"/>
        <v>0.1216</v>
      </c>
      <c r="D31">
        <f t="shared" si="1"/>
        <v>2.8284271247461905E-2</v>
      </c>
    </row>
    <row r="32" spans="1:4" x14ac:dyDescent="0.25">
      <c r="A32">
        <v>329.79166666666669</v>
      </c>
      <c r="B32">
        <v>6.0000000000000001E-3</v>
      </c>
      <c r="C32">
        <f t="shared" si="0"/>
        <v>2.4E-2</v>
      </c>
      <c r="D32">
        <f t="shared" si="1"/>
        <v>0.14142135623730953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velocities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dcterms:created xsi:type="dcterms:W3CDTF">2000-11-14T09:11:09Z</dcterms:created>
  <dcterms:modified xsi:type="dcterms:W3CDTF">2020-12-11T05:08:56Z</dcterms:modified>
</cp:coreProperties>
</file>