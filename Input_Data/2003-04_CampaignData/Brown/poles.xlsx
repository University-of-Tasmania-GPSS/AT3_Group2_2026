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datasets\science\ASAC_1158\Brown\"/>
    </mc:Choice>
  </mc:AlternateContent>
  <bookViews>
    <workbookView xWindow="96" yWindow="60" windowWidth="15120" windowHeight="10320"/>
  </bookViews>
  <sheets>
    <sheet name="velocity" sheetId="2" r:id="rId1"/>
    <sheet name="GPS data" sheetId="1" r:id="rId2"/>
  </sheets>
  <calcPr calcId="162913"/>
</workbook>
</file>

<file path=xl/calcChain.xml><?xml version="1.0" encoding="utf-8"?>
<calcChain xmlns="http://schemas.openxmlformats.org/spreadsheetml/2006/main">
  <c r="J3" i="1" l="1"/>
  <c r="J4" i="1"/>
  <c r="J6" i="1"/>
  <c r="J7" i="1"/>
  <c r="J9" i="1"/>
  <c r="J10" i="1"/>
  <c r="J12" i="1"/>
  <c r="J13" i="1"/>
  <c r="J15" i="1"/>
  <c r="J16" i="1"/>
  <c r="J18" i="1"/>
  <c r="J19" i="1"/>
  <c r="J21" i="1"/>
  <c r="J22" i="1"/>
  <c r="J24" i="1"/>
  <c r="J25" i="1"/>
  <c r="J27" i="1"/>
  <c r="J28" i="1"/>
  <c r="J30" i="1"/>
  <c r="J31" i="1"/>
  <c r="J33" i="1"/>
  <c r="J35" i="1"/>
  <c r="J37" i="1"/>
  <c r="J39" i="1"/>
  <c r="J41" i="1"/>
  <c r="J43" i="1"/>
  <c r="J44" i="1"/>
  <c r="J46" i="1"/>
  <c r="J47" i="1"/>
  <c r="J49" i="1"/>
  <c r="J50" i="1"/>
  <c r="J52" i="1"/>
  <c r="J53" i="1"/>
  <c r="G3" i="2"/>
  <c r="H3" i="2" s="1"/>
  <c r="M3" i="2"/>
  <c r="N3" i="2"/>
  <c r="G4" i="2"/>
  <c r="H4" i="2"/>
  <c r="M4" i="2"/>
  <c r="N4" i="2"/>
  <c r="G5" i="2"/>
  <c r="H5" i="2" s="1"/>
  <c r="M5" i="2"/>
  <c r="N5" i="2"/>
  <c r="G6" i="2"/>
  <c r="H6" i="2"/>
  <c r="M6" i="2"/>
  <c r="N6" i="2"/>
  <c r="G7" i="2"/>
  <c r="H7" i="2" s="1"/>
  <c r="M7" i="2"/>
  <c r="N7" i="2"/>
  <c r="G8" i="2"/>
  <c r="H8" i="2"/>
  <c r="M8" i="2"/>
  <c r="N8" i="2"/>
  <c r="G9" i="2"/>
  <c r="H9" i="2" s="1"/>
  <c r="M9" i="2"/>
  <c r="N9" i="2"/>
  <c r="G10" i="2"/>
  <c r="H10" i="2"/>
  <c r="M10" i="2"/>
  <c r="N10" i="2"/>
  <c r="G11" i="2"/>
  <c r="H11" i="2" s="1"/>
  <c r="M11" i="2"/>
  <c r="N11" i="2"/>
  <c r="G12" i="2"/>
  <c r="H12" i="2"/>
  <c r="M12" i="2"/>
  <c r="N12" i="2"/>
  <c r="G13" i="2"/>
  <c r="H13" i="2" s="1"/>
  <c r="M13" i="2"/>
  <c r="N13" i="2"/>
  <c r="G14" i="2"/>
  <c r="H14" i="2"/>
  <c r="M14" i="2"/>
  <c r="N14" i="2"/>
  <c r="G15" i="2"/>
  <c r="H15" i="2" s="1"/>
  <c r="M15" i="2"/>
  <c r="N15" i="2"/>
  <c r="G16" i="2"/>
  <c r="H16" i="2"/>
  <c r="M16" i="2"/>
  <c r="N16" i="2"/>
  <c r="H17" i="2"/>
  <c r="M17" i="2"/>
  <c r="N17" i="2"/>
  <c r="H18" i="2"/>
  <c r="M18" i="2"/>
  <c r="N18" i="2"/>
  <c r="H19" i="2"/>
  <c r="M19" i="2"/>
  <c r="N19" i="2" s="1"/>
  <c r="H20" i="2"/>
  <c r="M20" i="2"/>
  <c r="N20" i="2"/>
  <c r="H21" i="2"/>
  <c r="M21" i="2"/>
  <c r="N21" i="2" s="1"/>
</calcChain>
</file>

<file path=xl/sharedStrings.xml><?xml version="1.0" encoding="utf-8"?>
<sst xmlns="http://schemas.openxmlformats.org/spreadsheetml/2006/main" count="246" uniqueCount="177">
  <si>
    <t>bg40</t>
  </si>
  <si>
    <t>Measured</t>
  </si>
  <si>
    <t>53° 04' 53.35953" S</t>
  </si>
  <si>
    <t>73° 38' 26.11500" E</t>
  </si>
  <si>
    <t>BG15</t>
  </si>
  <si>
    <t>53° 05' 22.05948" S</t>
  </si>
  <si>
    <t>73° 36' 22.55627" E</t>
  </si>
  <si>
    <t>BG10</t>
  </si>
  <si>
    <t>53° 05' 31.51833" S</t>
  </si>
  <si>
    <t>73° 36' 01.33738" E</t>
  </si>
  <si>
    <t>t4</t>
  </si>
  <si>
    <t>53° 04' 47.68156" S</t>
  </si>
  <si>
    <t>73° 38' 23.64344" E</t>
  </si>
  <si>
    <t>BG05</t>
  </si>
  <si>
    <t>53° 05' 40.71425" S</t>
  </si>
  <si>
    <t>73° 35' 49.47287" E</t>
  </si>
  <si>
    <t>t3</t>
  </si>
  <si>
    <t>53° 04' 50.17037" S</t>
  </si>
  <si>
    <t>73° 38' 25.08163" E</t>
  </si>
  <si>
    <t>t2</t>
  </si>
  <si>
    <t>53° 04' 56.24998" S</t>
  </si>
  <si>
    <t>73° 38' 26.92171" E</t>
  </si>
  <si>
    <t>BG25</t>
  </si>
  <si>
    <t>53° 05' 04.67957" S</t>
  </si>
  <si>
    <t>73° 37' 07.19704" E</t>
  </si>
  <si>
    <t>t1</t>
  </si>
  <si>
    <t>53° 05' 00.00182" S</t>
  </si>
  <si>
    <t>73° 38' 28.07929" E</t>
  </si>
  <si>
    <t>BG30</t>
  </si>
  <si>
    <t>53° 04' 58.58867" S</t>
  </si>
  <si>
    <t>73° 37' 32.08091" E</t>
  </si>
  <si>
    <t>BG35</t>
  </si>
  <si>
    <t>53° 04' 55.33393" S</t>
  </si>
  <si>
    <t>73° 37' 58.94631" E</t>
  </si>
  <si>
    <t>base</t>
  </si>
  <si>
    <t>Control</t>
  </si>
  <si>
    <t>53° 04' 50.65784" S</t>
  </si>
  <si>
    <t>73° 40' 28.55394" E</t>
  </si>
  <si>
    <t>BG50</t>
  </si>
  <si>
    <t>53° 04' 43.26036" S</t>
  </si>
  <si>
    <t>73° 39' 11.57811" E</t>
  </si>
  <si>
    <t>BG50.2</t>
  </si>
  <si>
    <t>53° 04' 43.23025" S</t>
  </si>
  <si>
    <t>73° 39' 11.64389" E</t>
  </si>
  <si>
    <t>BG45.2</t>
  </si>
  <si>
    <t>53° 04' 48.96833" S</t>
  </si>
  <si>
    <t>73° 38' 51.91133" E</t>
  </si>
  <si>
    <t>T1.2</t>
  </si>
  <si>
    <t>53° 04' 59.97868" S</t>
  </si>
  <si>
    <t>73° 38' 28.16448" E</t>
  </si>
  <si>
    <t>T2.2</t>
  </si>
  <si>
    <t>53° 04' 56.22468" S</t>
  </si>
  <si>
    <t>73° 38' 27.01006" E</t>
  </si>
  <si>
    <t>BG40.2</t>
  </si>
  <si>
    <t>53° 04' 53.33337" S</t>
  </si>
  <si>
    <t>73° 38' 26.19785" E</t>
  </si>
  <si>
    <t>T3.2</t>
  </si>
  <si>
    <t>53° 04' 50.15638" S</t>
  </si>
  <si>
    <t>73° 38' 25.15184" E</t>
  </si>
  <si>
    <t>T4.2</t>
  </si>
  <si>
    <t>53° 04' 47.67153" S</t>
  </si>
  <si>
    <t>73° 38' 23.67638" E</t>
  </si>
  <si>
    <t>BG35.2</t>
  </si>
  <si>
    <t>53° 04' 55.32018" S</t>
  </si>
  <si>
    <t>73° 37' 59.01554" E</t>
  </si>
  <si>
    <t>bg45</t>
  </si>
  <si>
    <t>Averaged</t>
  </si>
  <si>
    <t>53° 04' 49.00704" S</t>
  </si>
  <si>
    <t>73° 38' 51.83074" E</t>
  </si>
  <si>
    <t>BG20.1</t>
  </si>
  <si>
    <t>53° 05' 13.34862" S</t>
  </si>
  <si>
    <t>73° 36' 46.45271" E</t>
  </si>
  <si>
    <t>pole</t>
  </si>
  <si>
    <t>time diff</t>
  </si>
  <si>
    <t>hor. Dist.</t>
  </si>
  <si>
    <t>m/d</t>
  </si>
  <si>
    <t>m/a</t>
  </si>
  <si>
    <t>BG05.2</t>
  </si>
  <si>
    <t>53° 05' 40.69833" S</t>
  </si>
  <si>
    <t>73° 35' 49.50581" E</t>
  </si>
  <si>
    <t>BG10.2</t>
  </si>
  <si>
    <t>53° 05' 31.50266" S</t>
  </si>
  <si>
    <t>73° 36' 01.35752" E</t>
  </si>
  <si>
    <t>BG15.2</t>
  </si>
  <si>
    <t>53° 05' 22.03543" S</t>
  </si>
  <si>
    <t>73° 36' 22.59189" E</t>
  </si>
  <si>
    <t>BG20.2</t>
  </si>
  <si>
    <t>53° 05' 13.32391" S</t>
  </si>
  <si>
    <t>73° 36' 46.49098" E</t>
  </si>
  <si>
    <t>BG25.2</t>
  </si>
  <si>
    <t>53° 05' 04.66229" S</t>
  </si>
  <si>
    <t>73° 37' 07.24686" E</t>
  </si>
  <si>
    <t>BG30.2</t>
  </si>
  <si>
    <t>53° 04' 58.57987" S</t>
  </si>
  <si>
    <t>73° 37' 32.14540" E</t>
  </si>
  <si>
    <t>BG20</t>
  </si>
  <si>
    <t>Lat</t>
  </si>
  <si>
    <t>Long</t>
  </si>
  <si>
    <t>ellips. Ht.</t>
  </si>
  <si>
    <t>azimuth</t>
  </si>
  <si>
    <t>BG40</t>
  </si>
  <si>
    <t>BG45</t>
  </si>
  <si>
    <t>BG35.3</t>
  </si>
  <si>
    <t>53° 04' 55.30542" S</t>
  </si>
  <si>
    <t>73° 37' 59.10110" E</t>
  </si>
  <si>
    <t>BG05.3</t>
  </si>
  <si>
    <t>53° 05' 40.68458" S</t>
  </si>
  <si>
    <t>73° 35' 49.53159" E</t>
  </si>
  <si>
    <t>BG10.3</t>
  </si>
  <si>
    <t>53° 05' 31.48801" S</t>
  </si>
  <si>
    <t>73° 36' 01.37837" E</t>
  </si>
  <si>
    <t>BG15.3</t>
  </si>
  <si>
    <t>53° 05' 22.01656" S</t>
  </si>
  <si>
    <t>73° 36' 22.61920" E</t>
  </si>
  <si>
    <t>BG20.3</t>
  </si>
  <si>
    <t>53° 05' 13.30613" S</t>
  </si>
  <si>
    <t>73° 36' 46.53460" E</t>
  </si>
  <si>
    <t>BG25.3</t>
  </si>
  <si>
    <t>53° 05' 04.63989" S</t>
  </si>
  <si>
    <t>73° 37' 07.28595" E</t>
  </si>
  <si>
    <t>BG30.3</t>
  </si>
  <si>
    <t>53° 04' 58.57285" S</t>
  </si>
  <si>
    <t>73° 37' 32.20495" E</t>
  </si>
  <si>
    <t>BG40.3</t>
  </si>
  <si>
    <t>53° 04' 53.30458" S</t>
  </si>
  <si>
    <t>73° 38' 26.30566" E</t>
  </si>
  <si>
    <t>BG50.3</t>
  </si>
  <si>
    <t>53° 04' 43.18583" S</t>
  </si>
  <si>
    <t>73° 39' 11.74506" E</t>
  </si>
  <si>
    <t>BG45.3</t>
  </si>
  <si>
    <t>53° 04' 48.91500" S</t>
  </si>
  <si>
    <t>73° 38' 52.02502" E</t>
  </si>
  <si>
    <t>T1.3</t>
  </si>
  <si>
    <t>53° 04' 59.94926" S</t>
  </si>
  <si>
    <t>73° 38' 28.28205" E</t>
  </si>
  <si>
    <t>T2.3</t>
  </si>
  <si>
    <t>53° 04' 56.19380" S</t>
  </si>
  <si>
    <t>73° 38' 27.12925" E</t>
  </si>
  <si>
    <t>T3.3</t>
  </si>
  <si>
    <t>53° 04' 50.13734" S</t>
  </si>
  <si>
    <t>73° 38' 25.24997" E</t>
  </si>
  <si>
    <t>T4.3</t>
  </si>
  <si>
    <t>53° 04' 47.66067" S</t>
  </si>
  <si>
    <t>73° 38' 23.71134" E</t>
  </si>
  <si>
    <t>BOB4.3</t>
  </si>
  <si>
    <t>53° 04' 48.65580" S</t>
  </si>
  <si>
    <t>73° 37' 54.79011" E</t>
  </si>
  <si>
    <t>BOB3.3</t>
  </si>
  <si>
    <t>53° 04' 51.94681" S</t>
  </si>
  <si>
    <t>73° 37' 56.90773" E</t>
  </si>
  <si>
    <t>BOB2.3</t>
  </si>
  <si>
    <t>53° 04' 58.57078" S</t>
  </si>
  <si>
    <t>73° 38' 01.15192" E</t>
  </si>
  <si>
    <t>BOB1.3</t>
  </si>
  <si>
    <t>53° 05' 01.90918" S</t>
  </si>
  <si>
    <t>73° 38' 03.20719" E</t>
  </si>
  <si>
    <t>BOB0.3</t>
  </si>
  <si>
    <t>53° 05' 05.23285" S</t>
  </si>
  <si>
    <t>73° 38' 05.25507" E</t>
  </si>
  <si>
    <t>BOB3</t>
  </si>
  <si>
    <t>53° 04' 51.95643" S</t>
  </si>
  <si>
    <t>73° 37' 56.87078" E</t>
  </si>
  <si>
    <t>BOB2</t>
  </si>
  <si>
    <t>53° 04' 58.58996" S</t>
  </si>
  <si>
    <t>73° 38' 01.07366" E</t>
  </si>
  <si>
    <t>BOB1</t>
  </si>
  <si>
    <t>53° 05' 01.92628" S</t>
  </si>
  <si>
    <t>73° 38' 03.13518" E</t>
  </si>
  <si>
    <t>BOB0</t>
  </si>
  <si>
    <t>53° 05' 05.24873" S</t>
  </si>
  <si>
    <t>73° 38' 05.18235" E</t>
  </si>
  <si>
    <t>BOB4</t>
  </si>
  <si>
    <t>53° 04' 48.66052" S</t>
  </si>
  <si>
    <t>73° 37' 54.77495" E</t>
  </si>
  <si>
    <t>hor. Dist. 2</t>
  </si>
  <si>
    <t>time diff 2</t>
  </si>
  <si>
    <t>azimuth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</si>
</sst>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.0000"/>
    <numFmt numFmtId="173" formatCode="0.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21" fontId="0" fillId="0" borderId="0" xfId="0" applyNumberFormat="1"/>
    <xf numFmtId="0" fontId="0" fillId="0" borderId="0" xfId="0" applyNumberFormat="1"/>
    <xf numFmtId="172" fontId="0" fillId="0" borderId="0" xfId="0" applyNumberFormat="1"/>
    <xf numFmtId="173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tabSelected="1" topLeftCell="E1" workbookViewId="0">
      <selection activeCell="P20" sqref="P20"/>
    </sheetView>
  </sheetViews>
  <sheetFormatPr defaultRowHeight="13.2" x14ac:dyDescent="0.25"/>
  <cols>
    <col min="11" max="11" width="10.88671875" customWidth="1"/>
  </cols>
  <sheetData>
    <row r="1" spans="1:15" x14ac:dyDescent="0.25">
      <c r="A1" t="s">
        <v>72</v>
      </c>
      <c r="B1" t="s">
        <v>96</v>
      </c>
      <c r="C1" t="s">
        <v>97</v>
      </c>
      <c r="D1" t="s">
        <v>98</v>
      </c>
      <c r="E1" t="s">
        <v>74</v>
      </c>
      <c r="F1" t="s">
        <v>73</v>
      </c>
      <c r="G1" t="s">
        <v>75</v>
      </c>
      <c r="H1" t="s">
        <v>76</v>
      </c>
      <c r="I1" t="s">
        <v>99</v>
      </c>
      <c r="K1" t="s">
        <v>174</v>
      </c>
      <c r="L1" t="s">
        <v>175</v>
      </c>
      <c r="M1" t="s">
        <v>75</v>
      </c>
      <c r="N1" t="s">
        <v>76</v>
      </c>
      <c r="O1" t="s">
        <v>176</v>
      </c>
    </row>
    <row r="2" spans="1:15" x14ac:dyDescent="0.25">
      <c r="A2" t="s">
        <v>34</v>
      </c>
      <c r="B2">
        <v>53.080738288888888</v>
      </c>
      <c r="C2">
        <v>73.67459831666666</v>
      </c>
      <c r="D2">
        <v>90.2346</v>
      </c>
    </row>
    <row r="3" spans="1:15" x14ac:dyDescent="0.25">
      <c r="A3" t="s">
        <v>13</v>
      </c>
      <c r="B3">
        <v>53.094642847222225</v>
      </c>
      <c r="C3">
        <v>73.597075797222217</v>
      </c>
      <c r="D3">
        <v>1101.2837</v>
      </c>
      <c r="E3">
        <v>0.78600000000000003</v>
      </c>
      <c r="F3">
        <v>12.895601851851097</v>
      </c>
      <c r="G3" s="4">
        <f t="shared" ref="G3:G16" si="0">E3/F3</f>
        <v>6.0951013301265483E-2</v>
      </c>
      <c r="H3" s="6">
        <f t="shared" ref="H3:H21" si="1">G3*365</f>
        <v>22.247119854961902</v>
      </c>
      <c r="I3">
        <v>51.237194444444441</v>
      </c>
      <c r="K3">
        <v>0.64100000000000001</v>
      </c>
      <c r="L3">
        <v>11.990972222221899</v>
      </c>
      <c r="M3" s="4">
        <f>K3/L3</f>
        <v>5.3456883071756812E-2</v>
      </c>
      <c r="N3" s="6">
        <f t="shared" ref="N3:N21" si="2">M3*365</f>
        <v>19.511762321191238</v>
      </c>
      <c r="O3">
        <v>48.439388888888892</v>
      </c>
    </row>
    <row r="4" spans="1:15" x14ac:dyDescent="0.25">
      <c r="A4" t="s">
        <v>7</v>
      </c>
      <c r="B4">
        <v>53.092088425</v>
      </c>
      <c r="C4">
        <v>73.600371494444445</v>
      </c>
      <c r="D4">
        <v>998.35310000000004</v>
      </c>
      <c r="E4">
        <v>0.61299999999999999</v>
      </c>
      <c r="F4">
        <v>12.972106481480296</v>
      </c>
      <c r="G4" s="4">
        <f t="shared" si="0"/>
        <v>4.7255239607780976E-2</v>
      </c>
      <c r="H4" s="6">
        <f t="shared" si="1"/>
        <v>17.248162456840056</v>
      </c>
      <c r="I4">
        <v>37.72036111111111</v>
      </c>
      <c r="K4">
        <v>0.59599999999999997</v>
      </c>
      <c r="L4">
        <v>11.987268518518249</v>
      </c>
      <c r="M4" s="4">
        <f t="shared" ref="M4:M21" si="3">K4/L4</f>
        <v>4.9719416819543456E-2</v>
      </c>
      <c r="N4" s="6">
        <f t="shared" si="2"/>
        <v>18.147587139133361</v>
      </c>
      <c r="O4">
        <v>40.598277777777781</v>
      </c>
    </row>
    <row r="5" spans="1:15" x14ac:dyDescent="0.25">
      <c r="A5" t="s">
        <v>4</v>
      </c>
      <c r="B5">
        <v>53.089460966666664</v>
      </c>
      <c r="C5">
        <v>73.606265630555555</v>
      </c>
      <c r="D5">
        <v>904.86980000000005</v>
      </c>
      <c r="E5">
        <v>0.996</v>
      </c>
      <c r="F5">
        <v>13.044675925921183</v>
      </c>
      <c r="G5" s="4">
        <f t="shared" si="0"/>
        <v>7.6352989193149687E-2</v>
      </c>
      <c r="H5" s="6">
        <f t="shared" si="1"/>
        <v>27.868841055499637</v>
      </c>
      <c r="I5">
        <v>41.736555555555555</v>
      </c>
      <c r="K5">
        <v>0.77400000000000002</v>
      </c>
      <c r="L5">
        <v>11.985879629632109</v>
      </c>
      <c r="M5" s="4">
        <f t="shared" si="3"/>
        <v>6.4575986403741056E-2</v>
      </c>
      <c r="N5" s="6">
        <f t="shared" si="2"/>
        <v>23.570235037365485</v>
      </c>
      <c r="O5">
        <v>41.053083333333333</v>
      </c>
    </row>
    <row r="6" spans="1:15" x14ac:dyDescent="0.25">
      <c r="A6" t="s">
        <v>95</v>
      </c>
      <c r="B6">
        <v>53.087041283333335</v>
      </c>
      <c r="C6">
        <v>73.612903530555556</v>
      </c>
      <c r="D6">
        <v>795.7047</v>
      </c>
      <c r="E6">
        <v>1.0449999999999999</v>
      </c>
      <c r="F6">
        <v>12.919537037036207</v>
      </c>
      <c r="G6" s="4">
        <f t="shared" si="0"/>
        <v>8.0885251306166542E-2</v>
      </c>
      <c r="H6" s="6">
        <f t="shared" si="1"/>
        <v>29.523116726750789</v>
      </c>
      <c r="I6">
        <v>42.998194444444444</v>
      </c>
      <c r="K6">
        <v>0.98</v>
      </c>
      <c r="L6">
        <v>11.982291666667152</v>
      </c>
      <c r="M6" s="4">
        <f t="shared" si="3"/>
        <v>8.1787359819174288E-2</v>
      </c>
      <c r="N6" s="6">
        <f t="shared" si="2"/>
        <v>29.852386333998616</v>
      </c>
      <c r="O6">
        <v>55.899166666666666</v>
      </c>
    </row>
    <row r="7" spans="1:15" x14ac:dyDescent="0.25">
      <c r="A7" t="s">
        <v>22</v>
      </c>
      <c r="B7">
        <v>53.084633213888885</v>
      </c>
      <c r="C7">
        <v>73.61866584444445</v>
      </c>
      <c r="D7">
        <v>717.96519999999998</v>
      </c>
      <c r="E7">
        <v>1.07</v>
      </c>
      <c r="F7">
        <v>12.975925925922638</v>
      </c>
      <c r="G7" s="4">
        <f t="shared" si="0"/>
        <v>8.2460396746131925E-2</v>
      </c>
      <c r="H7" s="6">
        <f t="shared" si="1"/>
        <v>30.098044812338152</v>
      </c>
      <c r="I7">
        <v>60.062083333333334</v>
      </c>
      <c r="K7">
        <v>1.004</v>
      </c>
      <c r="L7">
        <v>11.97928240741021</v>
      </c>
      <c r="M7" s="4">
        <f t="shared" si="3"/>
        <v>8.3811364141389649E-2</v>
      </c>
      <c r="N7" s="6">
        <f t="shared" si="2"/>
        <v>30.591147911607223</v>
      </c>
      <c r="O7">
        <v>46.414250000000003</v>
      </c>
    </row>
    <row r="8" spans="1:15" x14ac:dyDescent="0.25">
      <c r="A8" t="s">
        <v>28</v>
      </c>
      <c r="B8">
        <v>53.08294129722222</v>
      </c>
      <c r="C8">
        <v>73.625578030555559</v>
      </c>
      <c r="D8">
        <v>626.58780000000002</v>
      </c>
      <c r="E8">
        <v>1.2310000000000001</v>
      </c>
      <c r="F8">
        <v>12.947222222217533</v>
      </c>
      <c r="G8" s="4">
        <f t="shared" si="0"/>
        <v>9.5078309375704897E-2</v>
      </c>
      <c r="H8" s="6">
        <f t="shared" si="1"/>
        <v>34.703582922132284</v>
      </c>
      <c r="I8">
        <v>77.237583333333333</v>
      </c>
      <c r="K8">
        <v>1.1299999999999999</v>
      </c>
      <c r="L8">
        <v>11.978125000001455</v>
      </c>
      <c r="M8" s="4">
        <f t="shared" si="3"/>
        <v>9.4338638142435705E-2</v>
      </c>
      <c r="N8" s="6">
        <f t="shared" si="2"/>
        <v>34.433602921989035</v>
      </c>
      <c r="O8">
        <v>78.917749999999998</v>
      </c>
    </row>
    <row r="9" spans="1:15" x14ac:dyDescent="0.25">
      <c r="A9" t="s">
        <v>31</v>
      </c>
      <c r="B9">
        <v>53.082037202777776</v>
      </c>
      <c r="C9">
        <v>73.633040641666668</v>
      </c>
      <c r="D9">
        <v>538.50660000000005</v>
      </c>
      <c r="E9">
        <v>1.357</v>
      </c>
      <c r="F9" s="5">
        <v>10.869328703709471</v>
      </c>
      <c r="G9" s="4">
        <f t="shared" si="0"/>
        <v>0.12484671657200731</v>
      </c>
      <c r="H9" s="6">
        <f>G9*365</f>
        <v>45.569051548782667</v>
      </c>
      <c r="I9">
        <v>71.738611111111112</v>
      </c>
      <c r="K9">
        <v>1.657</v>
      </c>
      <c r="L9">
        <v>13.795254629629198</v>
      </c>
      <c r="M9" s="4">
        <f t="shared" si="3"/>
        <v>0.12011376697905418</v>
      </c>
      <c r="N9" s="6">
        <f t="shared" si="2"/>
        <v>43.841524947354777</v>
      </c>
      <c r="O9">
        <v>74.015111111111111</v>
      </c>
    </row>
    <row r="10" spans="1:15" x14ac:dyDescent="0.25">
      <c r="A10" t="s">
        <v>100</v>
      </c>
      <c r="B10">
        <v>53.081488758333336</v>
      </c>
      <c r="C10">
        <v>73.640587499999995</v>
      </c>
      <c r="D10">
        <v>454.33679999999998</v>
      </c>
      <c r="E10">
        <v>1.7410000000000001</v>
      </c>
      <c r="F10" s="5">
        <v>11.004166666665697</v>
      </c>
      <c r="G10" s="4">
        <f t="shared" si="0"/>
        <v>0.15821279818252057</v>
      </c>
      <c r="H10" s="6">
        <f t="shared" si="1"/>
        <v>57.747671336620009</v>
      </c>
      <c r="I10">
        <v>62.327305555555554</v>
      </c>
      <c r="K10">
        <v>2.1949999999999998</v>
      </c>
      <c r="L10">
        <v>14.140277777776646</v>
      </c>
      <c r="M10" s="4">
        <f t="shared" si="3"/>
        <v>0.15523033100875419</v>
      </c>
      <c r="N10" s="6">
        <f t="shared" si="2"/>
        <v>56.659070818195282</v>
      </c>
      <c r="O10">
        <v>66.079222222222228</v>
      </c>
    </row>
    <row r="11" spans="1:15" x14ac:dyDescent="0.25">
      <c r="A11" t="s">
        <v>101</v>
      </c>
      <c r="B11">
        <v>53.080279733333334</v>
      </c>
      <c r="C11">
        <v>73.647730761111106</v>
      </c>
      <c r="D11">
        <v>343.91410000000002</v>
      </c>
      <c r="E11">
        <v>1.919</v>
      </c>
      <c r="F11" s="5">
        <v>10.963703703702777</v>
      </c>
      <c r="G11" s="4">
        <f t="shared" si="0"/>
        <v>0.17503209242620221</v>
      </c>
      <c r="H11" s="6">
        <f t="shared" si="1"/>
        <v>63.886713735563809</v>
      </c>
      <c r="I11">
        <v>51.421805555555558</v>
      </c>
      <c r="K11">
        <v>2.6829999999999998</v>
      </c>
      <c r="L11">
        <v>14.986111111109494</v>
      </c>
      <c r="M11" s="4">
        <f t="shared" si="3"/>
        <v>0.17903243744209529</v>
      </c>
      <c r="N11" s="6">
        <f t="shared" si="2"/>
        <v>65.346839666364787</v>
      </c>
      <c r="O11">
        <v>52.084416666666669</v>
      </c>
    </row>
    <row r="12" spans="1:15" x14ac:dyDescent="0.25">
      <c r="A12" t="s">
        <v>38</v>
      </c>
      <c r="B12">
        <v>53.078683433333332</v>
      </c>
      <c r="C12">
        <v>73.653216141666661</v>
      </c>
      <c r="D12">
        <v>227.41659999999999</v>
      </c>
      <c r="E12">
        <v>1.589</v>
      </c>
      <c r="F12" s="5">
        <v>9.9513888888905058</v>
      </c>
      <c r="G12" s="4">
        <f t="shared" si="0"/>
        <v>0.15967620376829228</v>
      </c>
      <c r="H12" s="6">
        <f t="shared" si="1"/>
        <v>58.281814375426684</v>
      </c>
      <c r="I12">
        <v>52.755472222222224</v>
      </c>
      <c r="K12">
        <v>2.331</v>
      </c>
      <c r="L12">
        <v>14.995486111110949</v>
      </c>
      <c r="M12" s="4">
        <f t="shared" si="3"/>
        <v>0.15544677796559317</v>
      </c>
      <c r="N12" s="6">
        <f>M12*365</f>
        <v>56.738073957441507</v>
      </c>
      <c r="O12">
        <v>53.906694444444447</v>
      </c>
    </row>
    <row r="13" spans="1:15" x14ac:dyDescent="0.25">
      <c r="A13" t="s">
        <v>25</v>
      </c>
      <c r="B13">
        <v>53.08333383888889</v>
      </c>
      <c r="C13">
        <v>73.641133136111108</v>
      </c>
      <c r="D13">
        <v>458.7439</v>
      </c>
      <c r="E13">
        <v>1.74</v>
      </c>
      <c r="F13" s="5">
        <v>10.764583333329938</v>
      </c>
      <c r="G13" s="4">
        <f t="shared" si="0"/>
        <v>0.16164118443976455</v>
      </c>
      <c r="H13" s="6">
        <f t="shared" si="1"/>
        <v>58.999032320514061</v>
      </c>
      <c r="I13">
        <v>65.714888888888893</v>
      </c>
      <c r="K13">
        <v>2.37</v>
      </c>
      <c r="L13">
        <v>14.979976851849642</v>
      </c>
      <c r="M13" s="4">
        <f t="shared" si="3"/>
        <v>0.15821119240964421</v>
      </c>
      <c r="N13" s="6">
        <f t="shared" si="2"/>
        <v>57.747085229520138</v>
      </c>
      <c r="O13">
        <v>67.435277777777785</v>
      </c>
    </row>
    <row r="14" spans="1:15" x14ac:dyDescent="0.25">
      <c r="A14" t="s">
        <v>19</v>
      </c>
      <c r="B14">
        <v>53.082291661111114</v>
      </c>
      <c r="C14">
        <v>73.640811586111113</v>
      </c>
      <c r="D14">
        <v>454.17509999999999</v>
      </c>
      <c r="E14">
        <v>1.821</v>
      </c>
      <c r="F14" s="5">
        <v>10.851851851846732</v>
      </c>
      <c r="G14" s="4">
        <f t="shared" si="0"/>
        <v>0.16780546075093242</v>
      </c>
      <c r="H14" s="6">
        <f t="shared" si="1"/>
        <v>61.24899317409033</v>
      </c>
      <c r="I14">
        <v>64.566666666666663</v>
      </c>
      <c r="K14">
        <v>2.415</v>
      </c>
      <c r="L14">
        <v>14.978703703709471</v>
      </c>
      <c r="M14" s="4">
        <f t="shared" si="3"/>
        <v>0.16122890523576658</v>
      </c>
      <c r="N14" s="6">
        <f t="shared" si="2"/>
        <v>58.848550411054802</v>
      </c>
      <c r="O14">
        <v>66.720472222222227</v>
      </c>
    </row>
    <row r="15" spans="1:15" x14ac:dyDescent="0.25">
      <c r="A15" t="s">
        <v>16</v>
      </c>
      <c r="B15">
        <v>53.080602880555553</v>
      </c>
      <c r="C15">
        <v>73.64030045277778</v>
      </c>
      <c r="D15">
        <v>455.43279999999999</v>
      </c>
      <c r="E15">
        <v>1.377</v>
      </c>
      <c r="F15" s="5">
        <v>10.943749999998545</v>
      </c>
      <c r="G15" s="4">
        <f t="shared" si="0"/>
        <v>0.12582524271846332</v>
      </c>
      <c r="H15" s="6">
        <f t="shared" si="1"/>
        <v>45.926213592239115</v>
      </c>
      <c r="I15">
        <v>71.686027777777781</v>
      </c>
      <c r="K15">
        <v>1.919</v>
      </c>
      <c r="L15">
        <v>14.94999999999709</v>
      </c>
      <c r="M15" s="4">
        <f t="shared" si="3"/>
        <v>0.12836120401340292</v>
      </c>
      <c r="N15" s="6">
        <f t="shared" si="2"/>
        <v>46.851839464892066</v>
      </c>
      <c r="O15">
        <v>72.145916666666665</v>
      </c>
    </row>
    <row r="16" spans="1:15" x14ac:dyDescent="0.25">
      <c r="A16" t="s">
        <v>10</v>
      </c>
      <c r="B16">
        <v>53.079911544444442</v>
      </c>
      <c r="C16">
        <v>73.639900955555561</v>
      </c>
      <c r="D16">
        <v>453.60039999999998</v>
      </c>
      <c r="E16">
        <v>0.68700000000000006</v>
      </c>
      <c r="F16" s="5">
        <v>11.009027777778101</v>
      </c>
      <c r="G16" s="4">
        <f t="shared" si="0"/>
        <v>6.2403330599884628E-2</v>
      </c>
      <c r="H16" s="6">
        <f t="shared" si="1"/>
        <v>22.77721566895789</v>
      </c>
      <c r="I16">
        <v>63.188972222222219</v>
      </c>
      <c r="K16">
        <v>0.73199999999999998</v>
      </c>
      <c r="L16">
        <v>14.949074074072996</v>
      </c>
      <c r="M16" s="4">
        <f t="shared" si="3"/>
        <v>4.8966243419018701E-2</v>
      </c>
      <c r="N16" s="6">
        <f t="shared" si="2"/>
        <v>17.872678847941827</v>
      </c>
      <c r="O16">
        <v>62.703333333333333</v>
      </c>
    </row>
    <row r="17" spans="1:15" x14ac:dyDescent="0.25">
      <c r="A17" t="s">
        <v>168</v>
      </c>
      <c r="B17">
        <v>53.084791313888886</v>
      </c>
      <c r="C17">
        <v>73.634772874999996</v>
      </c>
      <c r="D17">
        <v>531.9135</v>
      </c>
      <c r="E17">
        <v>0</v>
      </c>
      <c r="F17" s="5">
        <v>0</v>
      </c>
      <c r="G17" s="4">
        <v>0</v>
      </c>
      <c r="H17" s="6">
        <f t="shared" si="1"/>
        <v>0</v>
      </c>
      <c r="I17">
        <v>0</v>
      </c>
      <c r="K17">
        <v>1.44</v>
      </c>
      <c r="L17">
        <v>12.909143518518249</v>
      </c>
      <c r="M17" s="4">
        <f t="shared" si="3"/>
        <v>0.11154884117093522</v>
      </c>
      <c r="N17" s="6">
        <f t="shared" si="2"/>
        <v>40.715327027391353</v>
      </c>
      <c r="O17">
        <v>70.067722222222216</v>
      </c>
    </row>
    <row r="18" spans="1:15" x14ac:dyDescent="0.25">
      <c r="A18" t="s">
        <v>165</v>
      </c>
      <c r="B18">
        <v>53.083868411111112</v>
      </c>
      <c r="C18">
        <v>73.63420421666666</v>
      </c>
      <c r="D18">
        <v>534.00879999999995</v>
      </c>
      <c r="E18">
        <v>0</v>
      </c>
      <c r="F18" s="5">
        <v>0</v>
      </c>
      <c r="G18" s="4">
        <v>0</v>
      </c>
      <c r="H18" s="6">
        <f t="shared" si="1"/>
        <v>0</v>
      </c>
      <c r="I18">
        <v>0</v>
      </c>
      <c r="K18">
        <v>1.4410000000000001</v>
      </c>
      <c r="L18">
        <v>12.898263888891961</v>
      </c>
      <c r="M18" s="4">
        <f t="shared" si="3"/>
        <v>0.11172046194844837</v>
      </c>
      <c r="N18" s="6">
        <f t="shared" si="2"/>
        <v>40.777968611183653</v>
      </c>
      <c r="O18">
        <v>68.479111111111109</v>
      </c>
    </row>
    <row r="19" spans="1:15" x14ac:dyDescent="0.25">
      <c r="A19" t="s">
        <v>162</v>
      </c>
      <c r="B19">
        <v>53.082941655555558</v>
      </c>
      <c r="C19">
        <v>73.633631572222228</v>
      </c>
      <c r="D19">
        <v>535.93759999999997</v>
      </c>
      <c r="E19">
        <v>0</v>
      </c>
      <c r="F19" s="5">
        <v>0</v>
      </c>
      <c r="G19" s="4">
        <v>0</v>
      </c>
      <c r="H19" s="6">
        <f t="shared" si="1"/>
        <v>0</v>
      </c>
      <c r="I19">
        <v>0</v>
      </c>
      <c r="K19">
        <v>1.573</v>
      </c>
      <c r="L19">
        <v>12.893749999995634</v>
      </c>
      <c r="M19" s="4">
        <f t="shared" si="3"/>
        <v>0.12199709161419545</v>
      </c>
      <c r="N19" s="6">
        <f t="shared" si="2"/>
        <v>44.528938439181339</v>
      </c>
      <c r="O19">
        <v>67.850305555555551</v>
      </c>
    </row>
    <row r="20" spans="1:15" x14ac:dyDescent="0.25">
      <c r="A20" t="s">
        <v>159</v>
      </c>
      <c r="B20">
        <v>53.081099008333332</v>
      </c>
      <c r="C20">
        <v>73.632464105555556</v>
      </c>
      <c r="D20">
        <v>539.16980000000001</v>
      </c>
      <c r="E20">
        <v>0</v>
      </c>
      <c r="F20" s="5">
        <v>0</v>
      </c>
      <c r="G20" s="4">
        <v>0</v>
      </c>
      <c r="H20" s="6">
        <f t="shared" si="1"/>
        <v>0</v>
      </c>
      <c r="I20">
        <v>0</v>
      </c>
      <c r="K20">
        <v>0.749</v>
      </c>
      <c r="L20">
        <v>12.888773148151813</v>
      </c>
      <c r="M20" s="4">
        <f t="shared" si="3"/>
        <v>5.811259080988658E-2</v>
      </c>
      <c r="N20" s="6">
        <f t="shared" si="2"/>
        <v>21.211095645608602</v>
      </c>
      <c r="O20">
        <v>66.626583333333329</v>
      </c>
    </row>
    <row r="21" spans="1:15" x14ac:dyDescent="0.25">
      <c r="A21" t="s">
        <v>171</v>
      </c>
      <c r="B21">
        <v>53.08018347777778</v>
      </c>
      <c r="C21">
        <v>73.631881930555551</v>
      </c>
      <c r="D21">
        <v>533.67930000000001</v>
      </c>
      <c r="E21">
        <v>0</v>
      </c>
      <c r="F21" s="5">
        <v>0</v>
      </c>
      <c r="G21" s="4">
        <v>0</v>
      </c>
      <c r="H21" s="6">
        <f t="shared" si="1"/>
        <v>0</v>
      </c>
      <c r="I21">
        <v>0</v>
      </c>
      <c r="K21">
        <v>0.318</v>
      </c>
      <c r="L21">
        <v>12.764236111106584</v>
      </c>
      <c r="M21" s="4">
        <f t="shared" si="3"/>
        <v>2.4913359266622911E-2</v>
      </c>
      <c r="N21" s="6">
        <f t="shared" si="2"/>
        <v>9.0933761323173616</v>
      </c>
      <c r="O21">
        <v>62.654222222222224</v>
      </c>
    </row>
    <row r="34" ht="12.6" customHeight="1" x14ac:dyDescent="0.25"/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opLeftCell="A41" workbookViewId="0">
      <selection activeCell="A2" sqref="A2:J53"/>
    </sheetView>
  </sheetViews>
  <sheetFormatPr defaultRowHeight="13.2" x14ac:dyDescent="0.25"/>
  <cols>
    <col min="1" max="1" width="8.77734375" customWidth="1"/>
    <col min="3" max="3" width="18.5546875" customWidth="1"/>
    <col min="4" max="4" width="17.44140625" customWidth="1"/>
    <col min="6" max="6" width="17.88671875" customWidth="1"/>
    <col min="7" max="7" width="14" customWidth="1"/>
    <col min="10" max="10" width="15.44140625" style="2" customWidth="1"/>
  </cols>
  <sheetData>
    <row r="1" spans="1:10" x14ac:dyDescent="0.25">
      <c r="A1" t="s">
        <v>34</v>
      </c>
      <c r="B1" t="s">
        <v>35</v>
      </c>
      <c r="C1" s="1">
        <v>36826.865289351852</v>
      </c>
      <c r="D1" t="s">
        <v>36</v>
      </c>
      <c r="E1">
        <v>53.080738288888888</v>
      </c>
      <c r="F1" t="s">
        <v>37</v>
      </c>
      <c r="G1">
        <v>73.67459831666666</v>
      </c>
      <c r="H1">
        <v>90.2346</v>
      </c>
      <c r="I1">
        <v>0</v>
      </c>
    </row>
    <row r="2" spans="1:10" x14ac:dyDescent="0.25">
      <c r="A2" t="s">
        <v>13</v>
      </c>
      <c r="B2" t="s">
        <v>1</v>
      </c>
      <c r="C2" s="1">
        <v>36826.668287037035</v>
      </c>
      <c r="D2" t="s">
        <v>14</v>
      </c>
      <c r="E2">
        <v>53.094642847222225</v>
      </c>
      <c r="F2" t="s">
        <v>15</v>
      </c>
      <c r="G2">
        <v>73.597075797222217</v>
      </c>
      <c r="H2">
        <v>1101.2837</v>
      </c>
      <c r="I2">
        <v>1.9E-3</v>
      </c>
    </row>
    <row r="3" spans="1:10" x14ac:dyDescent="0.25">
      <c r="A3" t="s">
        <v>77</v>
      </c>
      <c r="B3" t="s">
        <v>1</v>
      </c>
      <c r="C3" s="1">
        <v>36839.563888888886</v>
      </c>
      <c r="D3" t="s">
        <v>78</v>
      </c>
      <c r="E3">
        <v>53.094638424999999</v>
      </c>
      <c r="F3" t="s">
        <v>79</v>
      </c>
      <c r="G3">
        <v>73.597084947222228</v>
      </c>
      <c r="H3">
        <v>1101.3666000000001</v>
      </c>
      <c r="I3">
        <v>2.0999999999999999E-3</v>
      </c>
      <c r="J3" s="3">
        <f>C3-C2</f>
        <v>12.895601851851097</v>
      </c>
    </row>
    <row r="4" spans="1:10" x14ac:dyDescent="0.25">
      <c r="A4" t="s">
        <v>105</v>
      </c>
      <c r="B4" t="s">
        <v>1</v>
      </c>
      <c r="C4" s="1">
        <v>36851.554861111108</v>
      </c>
      <c r="D4" t="s">
        <v>106</v>
      </c>
      <c r="E4">
        <v>53.094634605555555</v>
      </c>
      <c r="F4" t="s">
        <v>107</v>
      </c>
      <c r="G4">
        <v>73.597092108333328</v>
      </c>
      <c r="H4">
        <v>1101.1423</v>
      </c>
      <c r="I4">
        <v>2E-3</v>
      </c>
      <c r="J4" s="3">
        <f>C4-C3</f>
        <v>11.990972222221899</v>
      </c>
    </row>
    <row r="5" spans="1:10" x14ac:dyDescent="0.25">
      <c r="A5" t="s">
        <v>7</v>
      </c>
      <c r="B5" t="s">
        <v>1</v>
      </c>
      <c r="C5" s="1">
        <v>36826.624652777777</v>
      </c>
      <c r="D5" t="s">
        <v>8</v>
      </c>
      <c r="E5">
        <v>53.092088425</v>
      </c>
      <c r="F5" t="s">
        <v>9</v>
      </c>
      <c r="G5">
        <v>73.600371494444445</v>
      </c>
      <c r="H5">
        <v>998.35310000000004</v>
      </c>
      <c r="I5">
        <v>1.6999999999999999E-3</v>
      </c>
    </row>
    <row r="6" spans="1:10" x14ac:dyDescent="0.25">
      <c r="A6" t="s">
        <v>80</v>
      </c>
      <c r="B6" t="s">
        <v>1</v>
      </c>
      <c r="C6" s="1">
        <v>36839.596759259257</v>
      </c>
      <c r="D6" t="s">
        <v>81</v>
      </c>
      <c r="E6">
        <v>53.092084072222221</v>
      </c>
      <c r="F6" t="s">
        <v>82</v>
      </c>
      <c r="G6">
        <v>73.600377088888891</v>
      </c>
      <c r="H6">
        <v>998.16520000000003</v>
      </c>
      <c r="I6">
        <v>1.2999999999999999E-3</v>
      </c>
      <c r="J6" s="3">
        <f>C6-C5</f>
        <v>12.972106481480296</v>
      </c>
    </row>
    <row r="7" spans="1:10" x14ac:dyDescent="0.25">
      <c r="A7" t="s">
        <v>108</v>
      </c>
      <c r="B7" t="s">
        <v>1</v>
      </c>
      <c r="C7" s="1">
        <v>36851.584027777775</v>
      </c>
      <c r="D7" t="s">
        <v>109</v>
      </c>
      <c r="E7">
        <v>53.092080002777777</v>
      </c>
      <c r="F7" t="s">
        <v>110</v>
      </c>
      <c r="G7">
        <v>73.600382880555557</v>
      </c>
      <c r="H7">
        <v>998.12019999999995</v>
      </c>
      <c r="I7">
        <v>1.1000000000000001E-3</v>
      </c>
      <c r="J7" s="3">
        <f>C7-C6</f>
        <v>11.987268518518249</v>
      </c>
    </row>
    <row r="8" spans="1:10" x14ac:dyDescent="0.25">
      <c r="A8" t="s">
        <v>4</v>
      </c>
      <c r="B8" t="s">
        <v>1</v>
      </c>
      <c r="C8" s="1">
        <v>36826.582986111112</v>
      </c>
      <c r="D8" t="s">
        <v>5</v>
      </c>
      <c r="E8">
        <v>53.089460966666664</v>
      </c>
      <c r="F8" t="s">
        <v>6</v>
      </c>
      <c r="G8">
        <v>73.606265630555555</v>
      </c>
      <c r="H8">
        <v>904.86980000000005</v>
      </c>
      <c r="I8">
        <v>1.9E-3</v>
      </c>
    </row>
    <row r="9" spans="1:10" x14ac:dyDescent="0.25">
      <c r="A9" t="s">
        <v>83</v>
      </c>
      <c r="B9" t="s">
        <v>1</v>
      </c>
      <c r="C9" s="1">
        <v>36839.627662037034</v>
      </c>
      <c r="D9" t="s">
        <v>84</v>
      </c>
      <c r="E9">
        <v>53.089454286111113</v>
      </c>
      <c r="F9" t="s">
        <v>85</v>
      </c>
      <c r="G9">
        <v>73.606275525000001</v>
      </c>
      <c r="H9">
        <v>905.04110000000003</v>
      </c>
      <c r="I9">
        <v>8.9999999999999998E-4</v>
      </c>
      <c r="J9" s="3">
        <f>C9-C8</f>
        <v>13.044675925921183</v>
      </c>
    </row>
    <row r="10" spans="1:10" x14ac:dyDescent="0.25">
      <c r="A10" t="s">
        <v>111</v>
      </c>
      <c r="B10" t="s">
        <v>1</v>
      </c>
      <c r="C10" s="1">
        <v>36851.613541666666</v>
      </c>
      <c r="D10" t="s">
        <v>112</v>
      </c>
      <c r="E10">
        <v>53.089449044444443</v>
      </c>
      <c r="F10" t="s">
        <v>113</v>
      </c>
      <c r="G10">
        <v>73.606283111111111</v>
      </c>
      <c r="H10">
        <v>905.22450000000003</v>
      </c>
      <c r="I10">
        <v>1.2999999999999999E-3</v>
      </c>
      <c r="J10" s="3">
        <f>C10-C9</f>
        <v>11.985879629632109</v>
      </c>
    </row>
    <row r="11" spans="1:10" x14ac:dyDescent="0.25">
      <c r="A11" t="s">
        <v>69</v>
      </c>
      <c r="B11" t="s">
        <v>66</v>
      </c>
      <c r="C11" s="1">
        <v>36826.736712962964</v>
      </c>
      <c r="D11" t="s">
        <v>70</v>
      </c>
      <c r="E11">
        <v>53.087041283333335</v>
      </c>
      <c r="F11" t="s">
        <v>71</v>
      </c>
      <c r="G11">
        <v>73.612903530555556</v>
      </c>
      <c r="H11">
        <v>795.7047</v>
      </c>
      <c r="I11">
        <v>0</v>
      </c>
    </row>
    <row r="12" spans="1:10" x14ac:dyDescent="0.25">
      <c r="A12" t="s">
        <v>86</v>
      </c>
      <c r="B12" t="s">
        <v>1</v>
      </c>
      <c r="C12" s="1">
        <v>36839.65625</v>
      </c>
      <c r="D12" t="s">
        <v>87</v>
      </c>
      <c r="E12">
        <v>53.087034419444443</v>
      </c>
      <c r="F12" t="s">
        <v>88</v>
      </c>
      <c r="G12">
        <v>73.612914161111107</v>
      </c>
      <c r="H12">
        <v>795.41150000000005</v>
      </c>
      <c r="I12">
        <v>1.5E-3</v>
      </c>
      <c r="J12" s="3">
        <f>C12-C11</f>
        <v>12.919537037036207</v>
      </c>
    </row>
    <row r="13" spans="1:10" x14ac:dyDescent="0.25">
      <c r="A13" t="s">
        <v>114</v>
      </c>
      <c r="B13" t="s">
        <v>1</v>
      </c>
      <c r="C13" s="1">
        <v>36851.638541666667</v>
      </c>
      <c r="D13" t="s">
        <v>115</v>
      </c>
      <c r="E13">
        <v>53.087029480555557</v>
      </c>
      <c r="F13" t="s">
        <v>116</v>
      </c>
      <c r="G13">
        <v>73.612926277777774</v>
      </c>
      <c r="H13">
        <v>795.34950000000003</v>
      </c>
      <c r="I13">
        <v>1.4E-3</v>
      </c>
      <c r="J13" s="3">
        <f>C13-C12</f>
        <v>11.982291666667152</v>
      </c>
    </row>
    <row r="14" spans="1:10" x14ac:dyDescent="0.25">
      <c r="A14" t="s">
        <v>22</v>
      </c>
      <c r="B14" t="s">
        <v>1</v>
      </c>
      <c r="C14" s="1">
        <v>36826.710069444445</v>
      </c>
      <c r="D14" t="s">
        <v>23</v>
      </c>
      <c r="E14">
        <v>53.084633213888885</v>
      </c>
      <c r="F14" t="s">
        <v>24</v>
      </c>
      <c r="G14">
        <v>73.61866584444445</v>
      </c>
      <c r="H14">
        <v>717.96519999999998</v>
      </c>
      <c r="I14">
        <v>1.8E-3</v>
      </c>
    </row>
    <row r="15" spans="1:10" x14ac:dyDescent="0.25">
      <c r="A15" t="s">
        <v>89</v>
      </c>
      <c r="B15" t="s">
        <v>1</v>
      </c>
      <c r="C15" s="1">
        <v>36839.685995370368</v>
      </c>
      <c r="D15" t="s">
        <v>90</v>
      </c>
      <c r="E15">
        <v>53.084628413888886</v>
      </c>
      <c r="F15" t="s">
        <v>91</v>
      </c>
      <c r="G15">
        <v>73.61867968333334</v>
      </c>
      <c r="H15">
        <v>717.66459999999995</v>
      </c>
      <c r="I15">
        <v>1.6000000000000001E-3</v>
      </c>
      <c r="J15" s="3">
        <f>C15-C14</f>
        <v>12.975925925922638</v>
      </c>
    </row>
    <row r="16" spans="1:10" x14ac:dyDescent="0.25">
      <c r="A16" t="s">
        <v>117</v>
      </c>
      <c r="B16" t="s">
        <v>1</v>
      </c>
      <c r="C16" s="1">
        <v>36851.665277777778</v>
      </c>
      <c r="D16" t="s">
        <v>118</v>
      </c>
      <c r="E16">
        <v>53.084622191666668</v>
      </c>
      <c r="F16" t="s">
        <v>119</v>
      </c>
      <c r="G16">
        <v>73.618690541666666</v>
      </c>
      <c r="H16">
        <v>717.68719999999996</v>
      </c>
      <c r="I16">
        <v>2E-3</v>
      </c>
      <c r="J16" s="3">
        <f>C16-C15</f>
        <v>11.97928240741021</v>
      </c>
    </row>
    <row r="17" spans="1:12" x14ac:dyDescent="0.25">
      <c r="A17" t="s">
        <v>28</v>
      </c>
      <c r="B17" t="s">
        <v>1</v>
      </c>
      <c r="C17" s="1">
        <v>36826.76840277778</v>
      </c>
      <c r="D17" t="s">
        <v>29</v>
      </c>
      <c r="E17">
        <v>53.08294129722222</v>
      </c>
      <c r="F17" t="s">
        <v>30</v>
      </c>
      <c r="G17">
        <v>73.625578030555559</v>
      </c>
      <c r="H17">
        <v>626.58780000000002</v>
      </c>
      <c r="I17">
        <v>1.2999999999999999E-3</v>
      </c>
    </row>
    <row r="18" spans="1:12" x14ac:dyDescent="0.25">
      <c r="A18" t="s">
        <v>92</v>
      </c>
      <c r="B18" t="s">
        <v>1</v>
      </c>
      <c r="C18" s="1">
        <v>36839.715624999997</v>
      </c>
      <c r="D18" t="s">
        <v>93</v>
      </c>
      <c r="E18">
        <v>53.082938852777779</v>
      </c>
      <c r="F18" t="s">
        <v>94</v>
      </c>
      <c r="G18">
        <v>73.625595944444441</v>
      </c>
      <c r="H18">
        <v>626.41769999999997</v>
      </c>
      <c r="I18">
        <v>1E-3</v>
      </c>
      <c r="J18" s="3">
        <f>C18-C17</f>
        <v>12.947222222217533</v>
      </c>
    </row>
    <row r="19" spans="1:12" x14ac:dyDescent="0.25">
      <c r="A19" t="s">
        <v>120</v>
      </c>
      <c r="B19" t="s">
        <v>1</v>
      </c>
      <c r="C19" s="1">
        <v>36851.693749999999</v>
      </c>
      <c r="D19" t="s">
        <v>121</v>
      </c>
      <c r="E19">
        <v>53.082936902777774</v>
      </c>
      <c r="F19" t="s">
        <v>122</v>
      </c>
      <c r="G19">
        <v>73.625612486111109</v>
      </c>
      <c r="H19">
        <v>626.60619999999994</v>
      </c>
      <c r="I19">
        <v>1.1999999999999999E-3</v>
      </c>
      <c r="J19" s="3">
        <f>C19-C18</f>
        <v>11.978125000001455</v>
      </c>
    </row>
    <row r="20" spans="1:12" x14ac:dyDescent="0.25">
      <c r="A20" t="s">
        <v>31</v>
      </c>
      <c r="B20" t="s">
        <v>1</v>
      </c>
      <c r="C20" s="1">
        <v>36826.804861111108</v>
      </c>
      <c r="D20" t="s">
        <v>32</v>
      </c>
      <c r="E20">
        <v>53.082037202777776</v>
      </c>
      <c r="F20" t="s">
        <v>33</v>
      </c>
      <c r="G20">
        <v>73.633040641666668</v>
      </c>
      <c r="H20">
        <v>538.50660000000005</v>
      </c>
      <c r="I20">
        <v>1.6000000000000001E-3</v>
      </c>
    </row>
    <row r="21" spans="1:12" x14ac:dyDescent="0.25">
      <c r="A21" t="s">
        <v>62</v>
      </c>
      <c r="B21" t="s">
        <v>1</v>
      </c>
      <c r="C21" s="1">
        <v>36837.674189814818</v>
      </c>
      <c r="D21" t="s">
        <v>63</v>
      </c>
      <c r="E21">
        <v>53.082033383333332</v>
      </c>
      <c r="F21" t="s">
        <v>64</v>
      </c>
      <c r="G21">
        <v>73.633059872222219</v>
      </c>
      <c r="H21">
        <v>538.245</v>
      </c>
      <c r="I21">
        <v>2.5999999999999999E-3</v>
      </c>
      <c r="J21" s="3">
        <f>C21-C20</f>
        <v>10.869328703709471</v>
      </c>
    </row>
    <row r="22" spans="1:12" x14ac:dyDescent="0.25">
      <c r="A22" t="s">
        <v>102</v>
      </c>
      <c r="B22" t="s">
        <v>1</v>
      </c>
      <c r="C22" s="1">
        <v>36851.469444444447</v>
      </c>
      <c r="D22" t="s">
        <v>103</v>
      </c>
      <c r="E22">
        <v>53.082029283333334</v>
      </c>
      <c r="F22" t="s">
        <v>104</v>
      </c>
      <c r="G22">
        <v>73.633083638888891</v>
      </c>
      <c r="H22">
        <v>538.00840000000005</v>
      </c>
      <c r="I22">
        <v>8.9999999999999998E-4</v>
      </c>
      <c r="J22" s="3">
        <f>C22-C21</f>
        <v>13.795254629629198</v>
      </c>
      <c r="L22" s="2"/>
    </row>
    <row r="23" spans="1:12" x14ac:dyDescent="0.25">
      <c r="A23" t="s">
        <v>0</v>
      </c>
      <c r="B23" t="s">
        <v>1</v>
      </c>
      <c r="C23" s="1">
        <v>36826.582638888889</v>
      </c>
      <c r="D23" t="s">
        <v>2</v>
      </c>
      <c r="E23">
        <v>53.081488758333336</v>
      </c>
      <c r="F23" t="s">
        <v>3</v>
      </c>
      <c r="G23">
        <v>73.640587499999995</v>
      </c>
      <c r="H23">
        <v>454.33679999999998</v>
      </c>
      <c r="I23">
        <v>8.9999999999999998E-4</v>
      </c>
      <c r="L23" s="2"/>
    </row>
    <row r="24" spans="1:12" x14ac:dyDescent="0.25">
      <c r="A24" t="s">
        <v>53</v>
      </c>
      <c r="B24" t="s">
        <v>1</v>
      </c>
      <c r="C24" s="1">
        <v>36837.586805555555</v>
      </c>
      <c r="D24" t="s">
        <v>54</v>
      </c>
      <c r="E24">
        <v>53.081481491666665</v>
      </c>
      <c r="F24" t="s">
        <v>55</v>
      </c>
      <c r="G24">
        <v>73.640610513888888</v>
      </c>
      <c r="H24">
        <v>453.8519</v>
      </c>
      <c r="I24">
        <v>2.0999999999999999E-3</v>
      </c>
      <c r="J24" s="3">
        <f>C24-C23</f>
        <v>11.004166666665697</v>
      </c>
      <c r="L24" s="2"/>
    </row>
    <row r="25" spans="1:12" x14ac:dyDescent="0.25">
      <c r="A25" t="s">
        <v>123</v>
      </c>
      <c r="B25" t="s">
        <v>1</v>
      </c>
      <c r="C25" s="1">
        <v>36851.727083333331</v>
      </c>
      <c r="D25" t="s">
        <v>124</v>
      </c>
      <c r="E25">
        <v>53.081473494444445</v>
      </c>
      <c r="F25" t="s">
        <v>125</v>
      </c>
      <c r="G25">
        <v>73.640640461111104</v>
      </c>
      <c r="H25">
        <v>453.6814</v>
      </c>
      <c r="I25">
        <v>1.4E-3</v>
      </c>
      <c r="J25" s="3">
        <f>C25-C24</f>
        <v>14.140277777776646</v>
      </c>
      <c r="L25" s="2"/>
    </row>
    <row r="26" spans="1:12" x14ac:dyDescent="0.25">
      <c r="A26" t="s">
        <v>65</v>
      </c>
      <c r="B26" t="s">
        <v>66</v>
      </c>
      <c r="C26" s="1">
        <v>36826.527615740742</v>
      </c>
      <c r="D26" t="s">
        <v>67</v>
      </c>
      <c r="E26">
        <v>53.080279733333334</v>
      </c>
      <c r="F26" t="s">
        <v>68</v>
      </c>
      <c r="G26">
        <v>73.647730761111106</v>
      </c>
      <c r="H26">
        <v>343.91410000000002</v>
      </c>
      <c r="I26">
        <v>0</v>
      </c>
      <c r="L26" s="2"/>
    </row>
    <row r="27" spans="1:12" x14ac:dyDescent="0.25">
      <c r="A27" t="s">
        <v>44</v>
      </c>
      <c r="B27" t="s">
        <v>1</v>
      </c>
      <c r="C27" s="1">
        <v>36837.491319444445</v>
      </c>
      <c r="D27" t="s">
        <v>45</v>
      </c>
      <c r="E27">
        <v>53.080268980555559</v>
      </c>
      <c r="F27" t="s">
        <v>46</v>
      </c>
      <c r="G27">
        <v>73.647753147222218</v>
      </c>
      <c r="H27">
        <v>343.80590000000001</v>
      </c>
      <c r="I27">
        <v>1.1999999999999999E-3</v>
      </c>
      <c r="J27" s="3">
        <f>C27-C26</f>
        <v>10.963703703702777</v>
      </c>
    </row>
    <row r="28" spans="1:12" x14ac:dyDescent="0.25">
      <c r="A28" t="s">
        <v>129</v>
      </c>
      <c r="B28" t="s">
        <v>1</v>
      </c>
      <c r="C28" s="1">
        <v>36852.477430555555</v>
      </c>
      <c r="D28" t="s">
        <v>130</v>
      </c>
      <c r="E28">
        <v>53.08025416666667</v>
      </c>
      <c r="F28" t="s">
        <v>131</v>
      </c>
      <c r="G28">
        <v>73.647784727777776</v>
      </c>
      <c r="H28">
        <v>343.3913</v>
      </c>
      <c r="I28">
        <v>1.1999999999999999E-3</v>
      </c>
      <c r="J28" s="3">
        <f>C28-C27</f>
        <v>14.986111111109494</v>
      </c>
    </row>
    <row r="29" spans="1:12" x14ac:dyDescent="0.25">
      <c r="A29" t="s">
        <v>38</v>
      </c>
      <c r="B29" t="s">
        <v>1</v>
      </c>
      <c r="C29" s="1">
        <v>36827.499305555553</v>
      </c>
      <c r="D29" t="s">
        <v>39</v>
      </c>
      <c r="E29">
        <v>53.078683433333332</v>
      </c>
      <c r="F29" t="s">
        <v>40</v>
      </c>
      <c r="G29">
        <v>73.653216141666661</v>
      </c>
      <c r="H29">
        <v>227.41659999999999</v>
      </c>
      <c r="I29">
        <v>6.9999999999999999E-4</v>
      </c>
    </row>
    <row r="30" spans="1:12" x14ac:dyDescent="0.25">
      <c r="A30" t="s">
        <v>41</v>
      </c>
      <c r="B30" t="s">
        <v>1</v>
      </c>
      <c r="C30" s="1">
        <v>36837.450694444444</v>
      </c>
      <c r="D30" t="s">
        <v>42</v>
      </c>
      <c r="E30">
        <v>53.078675069444444</v>
      </c>
      <c r="F30" t="s">
        <v>43</v>
      </c>
      <c r="G30">
        <v>73.653234413888896</v>
      </c>
      <c r="H30">
        <v>227.01910000000001</v>
      </c>
      <c r="I30">
        <v>1.6000000000000001E-3</v>
      </c>
      <c r="J30" s="3">
        <f>C30-C29</f>
        <v>9.9513888888905058</v>
      </c>
    </row>
    <row r="31" spans="1:12" x14ac:dyDescent="0.25">
      <c r="A31" t="s">
        <v>126</v>
      </c>
      <c r="B31" t="s">
        <v>1</v>
      </c>
      <c r="C31" s="1">
        <v>36852.446180555555</v>
      </c>
      <c r="D31" t="s">
        <v>127</v>
      </c>
      <c r="E31">
        <v>53.078662730555557</v>
      </c>
      <c r="F31" t="s">
        <v>128</v>
      </c>
      <c r="G31">
        <v>73.653262516666672</v>
      </c>
      <c r="H31">
        <v>226.43</v>
      </c>
      <c r="I31">
        <v>1E-3</v>
      </c>
      <c r="J31" s="3">
        <f>C31-C30</f>
        <v>14.995486111110949</v>
      </c>
    </row>
    <row r="32" spans="1:12" x14ac:dyDescent="0.25">
      <c r="A32" t="s">
        <v>168</v>
      </c>
      <c r="B32" t="s">
        <v>1</v>
      </c>
      <c r="C32" s="1">
        <v>36839.83090277778</v>
      </c>
      <c r="D32" t="s">
        <v>169</v>
      </c>
      <c r="E32">
        <v>53.084791313888886</v>
      </c>
      <c r="F32" t="s">
        <v>170</v>
      </c>
      <c r="G32">
        <v>73.634772874999996</v>
      </c>
      <c r="H32">
        <v>531.9135</v>
      </c>
      <c r="I32">
        <v>1E-3</v>
      </c>
      <c r="J32"/>
    </row>
    <row r="33" spans="1:12" x14ac:dyDescent="0.25">
      <c r="A33" t="s">
        <v>156</v>
      </c>
      <c r="B33" t="s">
        <v>1</v>
      </c>
      <c r="C33" s="1">
        <v>36852.740046296298</v>
      </c>
      <c r="D33" t="s">
        <v>157</v>
      </c>
      <c r="E33">
        <v>53.084786902777779</v>
      </c>
      <c r="F33" t="s">
        <v>158</v>
      </c>
      <c r="G33">
        <v>73.634793075000005</v>
      </c>
      <c r="H33">
        <v>531.9778</v>
      </c>
      <c r="I33">
        <v>6.9999999999999999E-4</v>
      </c>
      <c r="J33" s="3">
        <f>C33-C32</f>
        <v>12.909143518518249</v>
      </c>
      <c r="L33" s="2"/>
    </row>
    <row r="34" spans="1:12" x14ac:dyDescent="0.25">
      <c r="A34" t="s">
        <v>165</v>
      </c>
      <c r="B34" t="s">
        <v>1</v>
      </c>
      <c r="C34" s="1">
        <v>36839.80810185185</v>
      </c>
      <c r="D34" t="s">
        <v>166</v>
      </c>
      <c r="E34">
        <v>53.083868411111112</v>
      </c>
      <c r="F34" t="s">
        <v>167</v>
      </c>
      <c r="G34">
        <v>73.63420421666666</v>
      </c>
      <c r="H34">
        <v>534.00879999999995</v>
      </c>
      <c r="I34">
        <v>1.1000000000000001E-3</v>
      </c>
      <c r="J34"/>
      <c r="L34" s="2"/>
    </row>
    <row r="35" spans="1:12" x14ac:dyDescent="0.25">
      <c r="A35" t="s">
        <v>153</v>
      </c>
      <c r="B35" t="s">
        <v>1</v>
      </c>
      <c r="C35" s="1">
        <v>36852.706365740742</v>
      </c>
      <c r="D35" t="s">
        <v>154</v>
      </c>
      <c r="E35">
        <v>53.08386366111111</v>
      </c>
      <c r="F35" t="s">
        <v>155</v>
      </c>
      <c r="G35">
        <v>73.634224219444448</v>
      </c>
      <c r="H35">
        <v>533.98140000000001</v>
      </c>
      <c r="I35">
        <v>1.4E-3</v>
      </c>
      <c r="J35" s="3">
        <f>C35-C34</f>
        <v>12.898263888891961</v>
      </c>
      <c r="L35" s="2"/>
    </row>
    <row r="36" spans="1:12" x14ac:dyDescent="0.25">
      <c r="A36" t="s">
        <v>162</v>
      </c>
      <c r="B36" t="s">
        <v>1</v>
      </c>
      <c r="C36" s="1">
        <v>36839.788194444445</v>
      </c>
      <c r="D36" t="s">
        <v>163</v>
      </c>
      <c r="E36">
        <v>53.082941655555558</v>
      </c>
      <c r="F36" t="s">
        <v>164</v>
      </c>
      <c r="G36">
        <v>73.633631572222228</v>
      </c>
      <c r="H36">
        <v>535.93759999999997</v>
      </c>
      <c r="I36">
        <v>1E-3</v>
      </c>
      <c r="J36"/>
      <c r="L36" s="2"/>
    </row>
    <row r="37" spans="1:12" x14ac:dyDescent="0.25">
      <c r="A37" t="s">
        <v>150</v>
      </c>
      <c r="B37" t="s">
        <v>1</v>
      </c>
      <c r="C37" s="1">
        <v>36852.681944444441</v>
      </c>
      <c r="D37" t="s">
        <v>151</v>
      </c>
      <c r="E37">
        <v>53.08293632777778</v>
      </c>
      <c r="F37" t="s">
        <v>152</v>
      </c>
      <c r="G37">
        <v>73.633653311111118</v>
      </c>
      <c r="H37">
        <v>535.70280000000002</v>
      </c>
      <c r="I37">
        <v>1.1000000000000001E-3</v>
      </c>
      <c r="J37" s="3">
        <f>C37-C36</f>
        <v>12.893749999995634</v>
      </c>
      <c r="L37" s="2"/>
    </row>
    <row r="38" spans="1:12" x14ac:dyDescent="0.25">
      <c r="A38" t="s">
        <v>159</v>
      </c>
      <c r="B38" t="s">
        <v>1</v>
      </c>
      <c r="C38" s="1">
        <v>36839.764004629629</v>
      </c>
      <c r="D38" t="s">
        <v>160</v>
      </c>
      <c r="E38">
        <v>53.081099008333332</v>
      </c>
      <c r="F38" t="s">
        <v>161</v>
      </c>
      <c r="G38">
        <v>73.632464105555556</v>
      </c>
      <c r="H38">
        <v>539.16980000000001</v>
      </c>
      <c r="I38">
        <v>1.2999999999999999E-3</v>
      </c>
      <c r="J38"/>
      <c r="L38" s="2"/>
    </row>
    <row r="39" spans="1:12" x14ac:dyDescent="0.25">
      <c r="A39" t="s">
        <v>147</v>
      </c>
      <c r="B39" t="s">
        <v>1</v>
      </c>
      <c r="C39" s="1">
        <v>36852.652777777781</v>
      </c>
      <c r="D39" t="s">
        <v>148</v>
      </c>
      <c r="E39">
        <v>53.081096336111109</v>
      </c>
      <c r="F39" t="s">
        <v>149</v>
      </c>
      <c r="G39">
        <v>73.632474369444438</v>
      </c>
      <c r="H39">
        <v>539.16139999999996</v>
      </c>
      <c r="I39">
        <v>1.6000000000000001E-3</v>
      </c>
      <c r="J39" s="3">
        <f>C39-C38</f>
        <v>12.888773148151813</v>
      </c>
      <c r="L39" s="2"/>
    </row>
    <row r="40" spans="1:12" x14ac:dyDescent="0.25">
      <c r="A40" t="s">
        <v>171</v>
      </c>
      <c r="B40" t="s">
        <v>66</v>
      </c>
      <c r="C40" s="1">
        <v>36839.862500000003</v>
      </c>
      <c r="D40" t="s">
        <v>172</v>
      </c>
      <c r="E40">
        <v>53.08018347777778</v>
      </c>
      <c r="F40" t="s">
        <v>173</v>
      </c>
      <c r="G40">
        <v>73.631881930555551</v>
      </c>
      <c r="H40">
        <v>533.67930000000001</v>
      </c>
      <c r="I40">
        <v>0</v>
      </c>
      <c r="J40"/>
      <c r="L40" s="2"/>
    </row>
    <row r="41" spans="1:12" x14ac:dyDescent="0.25">
      <c r="A41" t="s">
        <v>144</v>
      </c>
      <c r="B41" t="s">
        <v>1</v>
      </c>
      <c r="C41" s="1">
        <v>36852.626736111109</v>
      </c>
      <c r="D41" t="s">
        <v>145</v>
      </c>
      <c r="E41">
        <v>53.080182166666667</v>
      </c>
      <c r="F41" t="s">
        <v>146</v>
      </c>
      <c r="G41">
        <v>73.631886141666669</v>
      </c>
      <c r="H41">
        <v>533.82330000000002</v>
      </c>
      <c r="I41">
        <v>1.1999999999999999E-3</v>
      </c>
      <c r="J41" s="3">
        <f>C41-C40</f>
        <v>12.764236111106584</v>
      </c>
      <c r="L41" s="2"/>
    </row>
    <row r="42" spans="1:12" x14ac:dyDescent="0.25">
      <c r="A42" t="s">
        <v>25</v>
      </c>
      <c r="B42" t="s">
        <v>1</v>
      </c>
      <c r="C42" s="1">
        <v>36826.76666666667</v>
      </c>
      <c r="D42" t="s">
        <v>26</v>
      </c>
      <c r="E42">
        <v>53.08333383888889</v>
      </c>
      <c r="F42" t="s">
        <v>27</v>
      </c>
      <c r="G42">
        <v>73.641133136111108</v>
      </c>
      <c r="H42">
        <v>458.7439</v>
      </c>
      <c r="I42">
        <v>1E-3</v>
      </c>
      <c r="L42" s="2"/>
    </row>
    <row r="43" spans="1:12" x14ac:dyDescent="0.25">
      <c r="A43" t="s">
        <v>47</v>
      </c>
      <c r="B43" t="s">
        <v>1</v>
      </c>
      <c r="C43" s="1">
        <v>36837.53125</v>
      </c>
      <c r="D43" t="s">
        <v>48</v>
      </c>
      <c r="E43">
        <v>53.083327411111114</v>
      </c>
      <c r="F43" t="s">
        <v>49</v>
      </c>
      <c r="G43">
        <v>73.641156800000005</v>
      </c>
      <c r="H43">
        <v>458.4042</v>
      </c>
      <c r="I43">
        <v>2.5999999999999999E-3</v>
      </c>
      <c r="J43" s="3">
        <f>C43-C42</f>
        <v>10.764583333329938</v>
      </c>
      <c r="L43" s="2"/>
    </row>
    <row r="44" spans="1:12" x14ac:dyDescent="0.25">
      <c r="A44" t="s">
        <v>132</v>
      </c>
      <c r="B44" t="s">
        <v>1</v>
      </c>
      <c r="C44" s="1">
        <v>36852.51122685185</v>
      </c>
      <c r="D44" t="s">
        <v>133</v>
      </c>
      <c r="E44">
        <v>53.08331923888889</v>
      </c>
      <c r="F44" t="s">
        <v>134</v>
      </c>
      <c r="G44">
        <v>73.641189458333329</v>
      </c>
      <c r="H44">
        <v>458.19779999999997</v>
      </c>
      <c r="I44">
        <v>1.9E-3</v>
      </c>
      <c r="J44" s="3">
        <f>C44-C43</f>
        <v>14.979976851849642</v>
      </c>
      <c r="L44" s="2"/>
    </row>
    <row r="45" spans="1:12" x14ac:dyDescent="0.25">
      <c r="A45" t="s">
        <v>19</v>
      </c>
      <c r="B45" t="s">
        <v>1</v>
      </c>
      <c r="C45" s="1">
        <v>36826.70590277778</v>
      </c>
      <c r="D45" t="s">
        <v>20</v>
      </c>
      <c r="E45">
        <v>53.082291661111114</v>
      </c>
      <c r="F45" t="s">
        <v>21</v>
      </c>
      <c r="G45">
        <v>73.640811586111113</v>
      </c>
      <c r="H45">
        <v>454.17509999999999</v>
      </c>
      <c r="I45">
        <v>1.5E-3</v>
      </c>
      <c r="L45" s="2"/>
    </row>
    <row r="46" spans="1:12" x14ac:dyDescent="0.25">
      <c r="A46" t="s">
        <v>50</v>
      </c>
      <c r="B46" t="s">
        <v>1</v>
      </c>
      <c r="C46" s="1">
        <v>36837.557754629626</v>
      </c>
      <c r="D46" t="s">
        <v>51</v>
      </c>
      <c r="E46">
        <v>53.08228463333333</v>
      </c>
      <c r="F46" t="s">
        <v>52</v>
      </c>
      <c r="G46">
        <v>73.640836127777774</v>
      </c>
      <c r="H46">
        <v>453.84440000000001</v>
      </c>
      <c r="I46">
        <v>1.6000000000000001E-3</v>
      </c>
      <c r="J46" s="3">
        <f>C46-C45</f>
        <v>10.851851851846732</v>
      </c>
      <c r="L46" s="2"/>
    </row>
    <row r="47" spans="1:12" x14ac:dyDescent="0.25">
      <c r="A47" t="s">
        <v>135</v>
      </c>
      <c r="B47" t="s">
        <v>1</v>
      </c>
      <c r="C47" s="1">
        <v>36852.536458333336</v>
      </c>
      <c r="D47" t="s">
        <v>136</v>
      </c>
      <c r="E47">
        <v>53.082276055555553</v>
      </c>
      <c r="F47" t="s">
        <v>137</v>
      </c>
      <c r="G47">
        <v>73.640869236111115</v>
      </c>
      <c r="H47">
        <v>453.6345</v>
      </c>
      <c r="I47">
        <v>2.0999999999999999E-3</v>
      </c>
      <c r="J47" s="3">
        <f>C47-C46</f>
        <v>14.978703703709471</v>
      </c>
      <c r="L47" s="2"/>
    </row>
    <row r="48" spans="1:12" x14ac:dyDescent="0.25">
      <c r="A48" t="s">
        <v>16</v>
      </c>
      <c r="B48" t="s">
        <v>1</v>
      </c>
      <c r="C48" s="1">
        <v>36826.668402777781</v>
      </c>
      <c r="D48" t="s">
        <v>17</v>
      </c>
      <c r="E48">
        <v>53.080602880555553</v>
      </c>
      <c r="F48" t="s">
        <v>18</v>
      </c>
      <c r="G48">
        <v>73.64030045277778</v>
      </c>
      <c r="H48">
        <v>455.43279999999999</v>
      </c>
      <c r="I48">
        <v>8.9999999999999998E-4</v>
      </c>
      <c r="L48" s="2"/>
    </row>
    <row r="49" spans="1:12" x14ac:dyDescent="0.25">
      <c r="A49" t="s">
        <v>56</v>
      </c>
      <c r="B49" t="s">
        <v>1</v>
      </c>
      <c r="C49" s="1">
        <v>36837.61215277778</v>
      </c>
      <c r="D49" t="s">
        <v>57</v>
      </c>
      <c r="E49">
        <v>53.080598994444443</v>
      </c>
      <c r="F49" t="s">
        <v>58</v>
      </c>
      <c r="G49">
        <v>73.640319955555555</v>
      </c>
      <c r="H49">
        <v>455.05560000000003</v>
      </c>
      <c r="I49">
        <v>1.4E-3</v>
      </c>
      <c r="J49" s="3">
        <f>C49-C48</f>
        <v>10.943749999998545</v>
      </c>
      <c r="L49" s="2"/>
    </row>
    <row r="50" spans="1:12" x14ac:dyDescent="0.25">
      <c r="A50" t="s">
        <v>138</v>
      </c>
      <c r="B50" t="s">
        <v>1</v>
      </c>
      <c r="C50" s="1">
        <v>36852.562152777777</v>
      </c>
      <c r="D50" t="s">
        <v>139</v>
      </c>
      <c r="E50">
        <v>53.080593705555557</v>
      </c>
      <c r="F50" t="s">
        <v>140</v>
      </c>
      <c r="G50">
        <v>73.640347213888887</v>
      </c>
      <c r="H50">
        <v>454.93860000000001</v>
      </c>
      <c r="I50">
        <v>1.1000000000000001E-3</v>
      </c>
      <c r="J50" s="3">
        <f>C50-C49</f>
        <v>14.94999999999709</v>
      </c>
      <c r="L50" s="2"/>
    </row>
    <row r="51" spans="1:12" x14ac:dyDescent="0.25">
      <c r="A51" t="s">
        <v>10</v>
      </c>
      <c r="B51" t="s">
        <v>1</v>
      </c>
      <c r="C51" s="1">
        <v>36826.628819444442</v>
      </c>
      <c r="D51" t="s">
        <v>11</v>
      </c>
      <c r="E51">
        <v>53.079911544444442</v>
      </c>
      <c r="F51" t="s">
        <v>12</v>
      </c>
      <c r="G51">
        <v>73.639900955555561</v>
      </c>
      <c r="H51">
        <v>453.60039999999998</v>
      </c>
      <c r="I51">
        <v>8.0000000000000004E-4</v>
      </c>
      <c r="L51" s="2"/>
    </row>
    <row r="52" spans="1:12" x14ac:dyDescent="0.25">
      <c r="A52" t="s">
        <v>59</v>
      </c>
      <c r="B52" t="s">
        <v>1</v>
      </c>
      <c r="C52" s="1">
        <v>36837.63784722222</v>
      </c>
      <c r="D52" t="s">
        <v>60</v>
      </c>
      <c r="E52">
        <v>53.079908758333332</v>
      </c>
      <c r="F52" t="s">
        <v>61</v>
      </c>
      <c r="G52">
        <v>73.639910105555558</v>
      </c>
      <c r="H52">
        <v>453.52850000000001</v>
      </c>
      <c r="I52">
        <v>1.8E-3</v>
      </c>
      <c r="J52" s="3">
        <f>C52-C51</f>
        <v>11.009027777778101</v>
      </c>
      <c r="L52" s="2"/>
    </row>
    <row r="53" spans="1:12" x14ac:dyDescent="0.25">
      <c r="A53" t="s">
        <v>141</v>
      </c>
      <c r="B53" t="s">
        <v>1</v>
      </c>
      <c r="C53" s="1">
        <v>36852.586921296293</v>
      </c>
      <c r="D53" t="s">
        <v>142</v>
      </c>
      <c r="E53">
        <v>53.079905741666664</v>
      </c>
      <c r="F53" t="s">
        <v>143</v>
      </c>
      <c r="G53">
        <v>73.639919816666662</v>
      </c>
      <c r="H53">
        <v>453.72280000000001</v>
      </c>
      <c r="I53">
        <v>1.4E-3</v>
      </c>
      <c r="J53" s="3">
        <f>C53-C52</f>
        <v>14.949074074072996</v>
      </c>
      <c r="L53" s="2"/>
    </row>
    <row r="54" spans="1:12" x14ac:dyDescent="0.25">
      <c r="L54" s="2"/>
    </row>
    <row r="55" spans="1:12" x14ac:dyDescent="0.25">
      <c r="L55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velocity</vt:lpstr>
      <vt:lpstr>GPS data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mtruffer</dc:creator>
  <cp:lastModifiedBy>Dave Connell</cp:lastModifiedBy>
  <dcterms:created xsi:type="dcterms:W3CDTF">2000-11-07T14:22:53Z</dcterms:created>
  <dcterms:modified xsi:type="dcterms:W3CDTF">2020-12-11T05:08:41Z</dcterms:modified>
</cp:coreProperties>
</file>