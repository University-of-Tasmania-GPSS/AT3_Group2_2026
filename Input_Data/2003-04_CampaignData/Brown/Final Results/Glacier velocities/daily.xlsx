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atasets\science\ASAC_1158\Brown\Final Results\Glacier velocities\"/>
    </mc:Choice>
  </mc:AlternateContent>
  <bookViews>
    <workbookView xWindow="864" yWindow="444" windowWidth="8940" windowHeight="9672" activeTab="1"/>
  </bookViews>
  <sheets>
    <sheet name="daily" sheetId="1" r:id="rId1"/>
    <sheet name="Velocity graph" sheetId="7669" r:id="rId2"/>
    <sheet name="Vert. pos. graph" sheetId="7670" r:id="rId3"/>
  </sheets>
  <calcPr calcId="162913"/>
</workbook>
</file>

<file path=xl/calcChain.xml><?xml version="1.0" encoding="utf-8"?>
<calcChain xmlns="http://schemas.openxmlformats.org/spreadsheetml/2006/main">
  <c r="E4" i="1" l="1"/>
  <c r="T4" i="1"/>
  <c r="U4" i="1"/>
  <c r="E5" i="1"/>
  <c r="T5" i="1"/>
  <c r="U5" i="1"/>
  <c r="E6" i="1"/>
  <c r="T6" i="1"/>
  <c r="U6" i="1"/>
  <c r="E7" i="1"/>
  <c r="T7" i="1"/>
  <c r="U7" i="1"/>
  <c r="E8" i="1"/>
  <c r="T8" i="1"/>
  <c r="U8" i="1"/>
  <c r="E9" i="1"/>
  <c r="T9" i="1"/>
  <c r="U9" i="1"/>
  <c r="E10" i="1"/>
  <c r="T10" i="1"/>
  <c r="U10" i="1"/>
  <c r="E11" i="1"/>
  <c r="T11" i="1"/>
  <c r="U11" i="1"/>
  <c r="E12" i="1"/>
  <c r="T12" i="1"/>
  <c r="U12" i="1"/>
  <c r="E13" i="1"/>
  <c r="T13" i="1"/>
  <c r="U13" i="1"/>
  <c r="E14" i="1"/>
  <c r="T14" i="1"/>
  <c r="U14" i="1"/>
  <c r="E15" i="1"/>
  <c r="T15" i="1"/>
  <c r="U15" i="1"/>
  <c r="E16" i="1"/>
  <c r="T16" i="1"/>
  <c r="U16" i="1"/>
  <c r="E17" i="1"/>
  <c r="T17" i="1"/>
  <c r="U17" i="1"/>
  <c r="E18" i="1"/>
  <c r="T18" i="1"/>
  <c r="U18" i="1"/>
  <c r="E19" i="1"/>
  <c r="T19" i="1"/>
  <c r="U19" i="1"/>
  <c r="E20" i="1"/>
  <c r="T20" i="1"/>
  <c r="U20" i="1"/>
  <c r="E21" i="1"/>
  <c r="T21" i="1"/>
  <c r="U21" i="1"/>
  <c r="E22" i="1"/>
  <c r="T22" i="1"/>
  <c r="U22" i="1"/>
  <c r="E23" i="1"/>
  <c r="T23" i="1"/>
  <c r="U23" i="1"/>
  <c r="E24" i="1"/>
  <c r="T24" i="1"/>
  <c r="U24" i="1"/>
  <c r="E25" i="1"/>
  <c r="T25" i="1"/>
  <c r="U25" i="1"/>
  <c r="E26" i="1"/>
  <c r="T26" i="1"/>
  <c r="U26" i="1"/>
  <c r="E27" i="1"/>
  <c r="T27" i="1"/>
  <c r="U27" i="1"/>
  <c r="E28" i="1"/>
  <c r="T28" i="1"/>
  <c r="U28" i="1"/>
  <c r="E29" i="1"/>
  <c r="T29" i="1"/>
  <c r="U29" i="1"/>
  <c r="E30" i="1"/>
  <c r="T30" i="1"/>
  <c r="U30" i="1"/>
  <c r="E31" i="1"/>
  <c r="T31" i="1"/>
  <c r="U31" i="1"/>
  <c r="E32" i="1"/>
  <c r="T32" i="1"/>
  <c r="U32" i="1"/>
  <c r="E33" i="1"/>
  <c r="T33" i="1"/>
  <c r="U33" i="1"/>
  <c r="E34" i="1"/>
  <c r="T34" i="1"/>
  <c r="U34" i="1"/>
  <c r="E35" i="1"/>
  <c r="T35" i="1"/>
  <c r="U35" i="1"/>
  <c r="E36" i="1"/>
  <c r="T36" i="1"/>
  <c r="U36" i="1"/>
  <c r="E37" i="1"/>
  <c r="T37" i="1"/>
  <c r="U37" i="1"/>
  <c r="E38" i="1"/>
</calcChain>
</file>

<file path=xl/sharedStrings.xml><?xml version="1.0" encoding="utf-8"?>
<sst xmlns="http://schemas.openxmlformats.org/spreadsheetml/2006/main" count="338" uniqueCount="97">
  <si>
    <t>Measured</t>
  </si>
  <si>
    <t>53°</t>
  </si>
  <si>
    <t>04'</t>
  </si>
  <si>
    <t>55.42210"</t>
  </si>
  <si>
    <t>S</t>
  </si>
  <si>
    <t>73°</t>
  </si>
  <si>
    <t>37'</t>
  </si>
  <si>
    <t>59.15337"</t>
  </si>
  <si>
    <t>E</t>
  </si>
  <si>
    <t>55.42621"</t>
  </si>
  <si>
    <t>59.12938"</t>
  </si>
  <si>
    <t>55.44426"</t>
  </si>
  <si>
    <t>59.02019"</t>
  </si>
  <si>
    <t>55.42630"</t>
  </si>
  <si>
    <t>59.12813"</t>
  </si>
  <si>
    <t>55.44407"</t>
  </si>
  <si>
    <t>59.02133"</t>
  </si>
  <si>
    <t>55.44349"</t>
  </si>
  <si>
    <t>59.02615"</t>
  </si>
  <si>
    <t>55.44400"</t>
  </si>
  <si>
    <t>59.02272"</t>
  </si>
  <si>
    <t>55.42227"</t>
  </si>
  <si>
    <t>59.15355"</t>
  </si>
  <si>
    <t>55.42378"</t>
  </si>
  <si>
    <t>59.14110"</t>
  </si>
  <si>
    <t>55.42492"</t>
  </si>
  <si>
    <t>59.13406"</t>
  </si>
  <si>
    <t>55.42544"</t>
  </si>
  <si>
    <t>59.13539"</t>
  </si>
  <si>
    <t>55.44034"</t>
  </si>
  <si>
    <t>59.05055"</t>
  </si>
  <si>
    <t>55.44351"</t>
  </si>
  <si>
    <t>59.02476"</t>
  </si>
  <si>
    <t>55.44269"</t>
  </si>
  <si>
    <t>59.02730"</t>
  </si>
  <si>
    <t>55.44135"</t>
  </si>
  <si>
    <t>59.03733"</t>
  </si>
  <si>
    <t>55.43824"</t>
  </si>
  <si>
    <t>59.05687"</t>
  </si>
  <si>
    <t>55.42577"</t>
  </si>
  <si>
    <t>59.13237"</t>
  </si>
  <si>
    <t>55.44300"</t>
  </si>
  <si>
    <t>59.02878"</t>
  </si>
  <si>
    <t>55.43842"</t>
  </si>
  <si>
    <t>59.06087"</t>
  </si>
  <si>
    <t>55.44256"</t>
  </si>
  <si>
    <t>59.03209"</t>
  </si>
  <si>
    <t>55.42405"</t>
  </si>
  <si>
    <t>59.13998"</t>
  </si>
  <si>
    <t>55.44069"</t>
  </si>
  <si>
    <t>59.04394"</t>
  </si>
  <si>
    <t>55.43922"</t>
  </si>
  <si>
    <t>59.05455"</t>
  </si>
  <si>
    <t>55.44083"</t>
  </si>
  <si>
    <t>59.03818"</t>
  </si>
  <si>
    <t>55.42482"</t>
  </si>
  <si>
    <t>59.13727"</t>
  </si>
  <si>
    <t>55.42395"</t>
  </si>
  <si>
    <t>59.14343"</t>
  </si>
  <si>
    <t>55.43843"</t>
  </si>
  <si>
    <t>59.05808"</t>
  </si>
  <si>
    <t>55.43919"</t>
  </si>
  <si>
    <t>59.05187"</t>
  </si>
  <si>
    <t>55.43916"</t>
  </si>
  <si>
    <t>59.04925"</t>
  </si>
  <si>
    <t>55.44020"</t>
  </si>
  <si>
    <t>59.04633"</t>
  </si>
  <si>
    <t>55.42129"</t>
  </si>
  <si>
    <t>59.15668"</t>
  </si>
  <si>
    <t>55.42620"</t>
  </si>
  <si>
    <t>59.13050"</t>
  </si>
  <si>
    <t>55.42267"</t>
  </si>
  <si>
    <t>59.14525"</t>
  </si>
  <si>
    <t>55.42444"</t>
  </si>
  <si>
    <t>59.14519"</t>
  </si>
  <si>
    <t>55.42443"</t>
  </si>
  <si>
    <t>59.13923"</t>
  </si>
  <si>
    <t>Point</t>
  </si>
  <si>
    <t>Day</t>
  </si>
  <si>
    <t>Time</t>
  </si>
  <si>
    <t>Latitude</t>
  </si>
  <si>
    <t>deg</t>
  </si>
  <si>
    <t>min</t>
  </si>
  <si>
    <t>sec</t>
  </si>
  <si>
    <t>Longitude</t>
  </si>
  <si>
    <t>Ellipsoid Ht</t>
  </si>
  <si>
    <t>Position</t>
  </si>
  <si>
    <t>quality</t>
  </si>
  <si>
    <t>UTM</t>
  </si>
  <si>
    <t>Easting</t>
  </si>
  <si>
    <t>Northing</t>
  </si>
  <si>
    <t>Height</t>
  </si>
  <si>
    <t>m a.s.l.</t>
  </si>
  <si>
    <t>Velocity</t>
  </si>
  <si>
    <t>(m/d)</t>
  </si>
  <si>
    <t>estimated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</si>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</sst>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3" formatCode="m/d/yy\ h:mm"/>
  </numFmts>
  <fonts count="5" x14ac:knownFonts="1">
    <font>
      <sz val="10"/>
      <name val="Arial"/>
    </font>
    <font>
      <sz val="8"/>
      <name val="Arial"/>
    </font>
    <font>
      <sz val="8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752126366950176"/>
          <c:y val="2.01005025125628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048602673147023"/>
          <c:y val="0.10050251256281406"/>
          <c:w val="0.67800729040097207"/>
          <c:h val="0.57537688442211055"/>
        </c:manualLayout>
      </c:layout>
      <c:scatterChart>
        <c:scatterStyle val="lineMarker"/>
        <c:varyColors val="0"/>
        <c:ser>
          <c:idx val="0"/>
          <c:order val="0"/>
          <c:tx>
            <c:v>BG35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daily!$Y:$Y</c:f>
                <c:numCache>
                  <c:formatCode>General</c:formatCode>
                  <c:ptCount val="65536"/>
                  <c:pt idx="3">
                    <c:v>8.4852813742056402E-2</c:v>
                  </c:pt>
                  <c:pt idx="5">
                    <c:v>8.4852813742056402E-2</c:v>
                  </c:pt>
                  <c:pt idx="7">
                    <c:v>8.4852813742056402E-2</c:v>
                  </c:pt>
                  <c:pt idx="9">
                    <c:v>8.4852813742056402E-2</c:v>
                  </c:pt>
                  <c:pt idx="11">
                    <c:v>8.4852813742056402E-2</c:v>
                  </c:pt>
                  <c:pt idx="13">
                    <c:v>8.4852813742056402E-2</c:v>
                  </c:pt>
                  <c:pt idx="15">
                    <c:v>8.4852813742056402E-2</c:v>
                  </c:pt>
                  <c:pt idx="17">
                    <c:v>2.1161768581371379E-2</c:v>
                  </c:pt>
                  <c:pt idx="19">
                    <c:v>8.5685870819464688E-2</c:v>
                  </c:pt>
                  <c:pt idx="21">
                    <c:v>2.1205840296559988E-2</c:v>
                  </c:pt>
                  <c:pt idx="23">
                    <c:v>4.2426406871014503E-2</c:v>
                  </c:pt>
                  <c:pt idx="25">
                    <c:v>8.4970828782031022E-2</c:v>
                  </c:pt>
                  <c:pt idx="27">
                    <c:v>8.4735126066580804E-2</c:v>
                  </c:pt>
                  <c:pt idx="29">
                    <c:v>8.4970828782031049E-2</c:v>
                  </c:pt>
                  <c:pt idx="31">
                    <c:v>8.4852813742056443E-2</c:v>
                  </c:pt>
                  <c:pt idx="33">
                    <c:v>8.4852813742056443E-2</c:v>
                  </c:pt>
                  <c:pt idx="35">
                    <c:v>8.4852813742056443E-2</c:v>
                  </c:pt>
                  <c:pt idx="37">
                    <c:v>8.4852813742056402E-2</c:v>
                  </c:pt>
                  <c:pt idx="39">
                    <c:v>1.8445706921441545E-3</c:v>
                  </c:pt>
                  <c:pt idx="41">
                    <c:v>8.4970828782031008E-2</c:v>
                  </c:pt>
                  <c:pt idx="43">
                    <c:v>8.1968728839395794E-2</c:v>
                  </c:pt>
                  <c:pt idx="45">
                    <c:v>8.7947254166418409E-2</c:v>
                  </c:pt>
                  <c:pt idx="47">
                    <c:v>8.4852813742056443E-2</c:v>
                  </c:pt>
                  <c:pt idx="49">
                    <c:v>8.4735126066580804E-2</c:v>
                  </c:pt>
                  <c:pt idx="51">
                    <c:v>8.4970828782031049E-2</c:v>
                  </c:pt>
                  <c:pt idx="53">
                    <c:v>8.4735126066580804E-2</c:v>
                  </c:pt>
                  <c:pt idx="55">
                    <c:v>8.4852813741672292E-2</c:v>
                  </c:pt>
                  <c:pt idx="57">
                    <c:v>8.4970828782031008E-2</c:v>
                  </c:pt>
                  <c:pt idx="59">
                    <c:v>8.4852813742056402E-2</c:v>
                  </c:pt>
                  <c:pt idx="61">
                    <c:v>8.4852813742056443E-2</c:v>
                  </c:pt>
                  <c:pt idx="63">
                    <c:v>8.4852813742056443E-2</c:v>
                  </c:pt>
                  <c:pt idx="65">
                    <c:v>1.6970562748463969E-2</c:v>
                  </c:pt>
                  <c:pt idx="67">
                    <c:v>8.4852813742056402E-2</c:v>
                  </c:pt>
                  <c:pt idx="69">
                    <c:v>8.4852813742056443E-2</c:v>
                  </c:pt>
                </c:numCache>
              </c:numRef>
            </c:plus>
            <c:minus>
              <c:numRef>
                <c:f>daily!$Y:$Y</c:f>
                <c:numCache>
                  <c:formatCode>General</c:formatCode>
                  <c:ptCount val="65536"/>
                  <c:pt idx="3">
                    <c:v>8.4852813742056402E-2</c:v>
                  </c:pt>
                  <c:pt idx="5">
                    <c:v>8.4852813742056402E-2</c:v>
                  </c:pt>
                  <c:pt idx="7">
                    <c:v>8.4852813742056402E-2</c:v>
                  </c:pt>
                  <c:pt idx="9">
                    <c:v>8.4852813742056402E-2</c:v>
                  </c:pt>
                  <c:pt idx="11">
                    <c:v>8.4852813742056402E-2</c:v>
                  </c:pt>
                  <c:pt idx="13">
                    <c:v>8.4852813742056402E-2</c:v>
                  </c:pt>
                  <c:pt idx="15">
                    <c:v>8.4852813742056402E-2</c:v>
                  </c:pt>
                  <c:pt idx="17">
                    <c:v>2.1161768581371379E-2</c:v>
                  </c:pt>
                  <c:pt idx="19">
                    <c:v>8.5685870819464688E-2</c:v>
                  </c:pt>
                  <c:pt idx="21">
                    <c:v>2.1205840296559988E-2</c:v>
                  </c:pt>
                  <c:pt idx="23">
                    <c:v>4.2426406871014503E-2</c:v>
                  </c:pt>
                  <c:pt idx="25">
                    <c:v>8.4970828782031022E-2</c:v>
                  </c:pt>
                  <c:pt idx="27">
                    <c:v>8.4735126066580804E-2</c:v>
                  </c:pt>
                  <c:pt idx="29">
                    <c:v>8.4970828782031049E-2</c:v>
                  </c:pt>
                  <c:pt idx="31">
                    <c:v>8.4852813742056443E-2</c:v>
                  </c:pt>
                  <c:pt idx="33">
                    <c:v>8.4852813742056443E-2</c:v>
                  </c:pt>
                  <c:pt idx="35">
                    <c:v>8.4852813742056443E-2</c:v>
                  </c:pt>
                  <c:pt idx="37">
                    <c:v>8.4852813742056402E-2</c:v>
                  </c:pt>
                  <c:pt idx="39">
                    <c:v>1.8445706921441545E-3</c:v>
                  </c:pt>
                  <c:pt idx="41">
                    <c:v>8.4970828782031008E-2</c:v>
                  </c:pt>
                  <c:pt idx="43">
                    <c:v>8.1968728839395794E-2</c:v>
                  </c:pt>
                  <c:pt idx="45">
                    <c:v>8.7947254166418409E-2</c:v>
                  </c:pt>
                  <c:pt idx="47">
                    <c:v>8.4852813742056443E-2</c:v>
                  </c:pt>
                  <c:pt idx="49">
                    <c:v>8.4735126066580804E-2</c:v>
                  </c:pt>
                  <c:pt idx="51">
                    <c:v>8.4970828782031049E-2</c:v>
                  </c:pt>
                  <c:pt idx="53">
                    <c:v>8.4735126066580804E-2</c:v>
                  </c:pt>
                  <c:pt idx="55">
                    <c:v>8.4852813741672292E-2</c:v>
                  </c:pt>
                  <c:pt idx="57">
                    <c:v>8.4970828782031008E-2</c:v>
                  </c:pt>
                  <c:pt idx="59">
                    <c:v>8.4852813742056402E-2</c:v>
                  </c:pt>
                  <c:pt idx="61">
                    <c:v>8.4852813742056443E-2</c:v>
                  </c:pt>
                  <c:pt idx="63">
                    <c:v>8.4852813742056443E-2</c:v>
                  </c:pt>
                  <c:pt idx="65">
                    <c:v>1.6970562748463969E-2</c:v>
                  </c:pt>
                  <c:pt idx="67">
                    <c:v>8.4852813742056402E-2</c:v>
                  </c:pt>
                  <c:pt idx="69">
                    <c:v>8.4852813742056443E-2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daily!$W:$W</c:f>
              <c:numCache>
                <c:formatCode>m/d/yy\ h:mm</c:formatCode>
                <c:ptCount val="65536"/>
                <c:pt idx="3">
                  <c:v>36832.792708333334</c:v>
                </c:pt>
                <c:pt idx="4">
                  <c:v>36833.042708333334</c:v>
                </c:pt>
                <c:pt idx="5">
                  <c:v>36833.042708333334</c:v>
                </c:pt>
                <c:pt idx="6">
                  <c:v>36833.292708333334</c:v>
                </c:pt>
                <c:pt idx="7">
                  <c:v>36833.292708333334</c:v>
                </c:pt>
                <c:pt idx="8">
                  <c:v>36833.542708333334</c:v>
                </c:pt>
                <c:pt idx="9">
                  <c:v>36833.542708333334</c:v>
                </c:pt>
                <c:pt idx="10">
                  <c:v>36833.792708333334</c:v>
                </c:pt>
                <c:pt idx="11">
                  <c:v>36833.792708333334</c:v>
                </c:pt>
                <c:pt idx="12">
                  <c:v>36834.042708333334</c:v>
                </c:pt>
                <c:pt idx="13">
                  <c:v>36834.042708333334</c:v>
                </c:pt>
                <c:pt idx="14">
                  <c:v>36834.292708333334</c:v>
                </c:pt>
                <c:pt idx="15">
                  <c:v>36834.292708333334</c:v>
                </c:pt>
                <c:pt idx="16">
                  <c:v>36834.542708333334</c:v>
                </c:pt>
                <c:pt idx="17">
                  <c:v>36834.542708333334</c:v>
                </c:pt>
                <c:pt idx="18">
                  <c:v>36835.545138888891</c:v>
                </c:pt>
                <c:pt idx="19">
                  <c:v>36835.545138888891</c:v>
                </c:pt>
                <c:pt idx="20">
                  <c:v>36835.792708333334</c:v>
                </c:pt>
                <c:pt idx="21">
                  <c:v>36835.792708333334</c:v>
                </c:pt>
                <c:pt idx="22">
                  <c:v>36836.793055555558</c:v>
                </c:pt>
                <c:pt idx="23">
                  <c:v>36836.793055555558</c:v>
                </c:pt>
                <c:pt idx="24">
                  <c:v>36837.293055555558</c:v>
                </c:pt>
                <c:pt idx="25">
                  <c:v>36837.293055555558</c:v>
                </c:pt>
                <c:pt idx="26">
                  <c:v>36837.542708333334</c:v>
                </c:pt>
                <c:pt idx="27">
                  <c:v>36837.542708333334</c:v>
                </c:pt>
                <c:pt idx="28">
                  <c:v>36837.793055555558</c:v>
                </c:pt>
                <c:pt idx="29">
                  <c:v>36837.793055555558</c:v>
                </c:pt>
                <c:pt idx="30">
                  <c:v>36838.042708333334</c:v>
                </c:pt>
                <c:pt idx="31">
                  <c:v>36838.042708333334</c:v>
                </c:pt>
                <c:pt idx="32">
                  <c:v>36838.292708333334</c:v>
                </c:pt>
                <c:pt idx="33">
                  <c:v>36838.292708333334</c:v>
                </c:pt>
                <c:pt idx="34">
                  <c:v>36838.542708333334</c:v>
                </c:pt>
                <c:pt idx="35">
                  <c:v>36838.542708333334</c:v>
                </c:pt>
                <c:pt idx="36">
                  <c:v>36838.792708333334</c:v>
                </c:pt>
                <c:pt idx="37">
                  <c:v>36838.792708333334</c:v>
                </c:pt>
                <c:pt idx="38">
                  <c:v>36839.042708333334</c:v>
                </c:pt>
                <c:pt idx="39">
                  <c:v>36839.042708333334</c:v>
                </c:pt>
                <c:pt idx="40">
                  <c:v>36850.543055555558</c:v>
                </c:pt>
                <c:pt idx="41">
                  <c:v>36850.543055555558</c:v>
                </c:pt>
                <c:pt idx="42">
                  <c:v>36850.792708333334</c:v>
                </c:pt>
                <c:pt idx="43">
                  <c:v>36850.792708333334</c:v>
                </c:pt>
                <c:pt idx="44">
                  <c:v>36851.051504629628</c:v>
                </c:pt>
                <c:pt idx="45">
                  <c:v>36851.051504629628</c:v>
                </c:pt>
                <c:pt idx="46">
                  <c:v>36851.292708333334</c:v>
                </c:pt>
                <c:pt idx="47">
                  <c:v>36851.292708333334</c:v>
                </c:pt>
                <c:pt idx="48">
                  <c:v>36851.542708333334</c:v>
                </c:pt>
                <c:pt idx="49">
                  <c:v>36851.542708333334</c:v>
                </c:pt>
                <c:pt idx="50">
                  <c:v>36851.793055555558</c:v>
                </c:pt>
                <c:pt idx="51">
                  <c:v>36851.793055555558</c:v>
                </c:pt>
                <c:pt idx="52">
                  <c:v>36852.042708333334</c:v>
                </c:pt>
                <c:pt idx="53">
                  <c:v>36852.042708333334</c:v>
                </c:pt>
                <c:pt idx="54">
                  <c:v>36852.293055555558</c:v>
                </c:pt>
                <c:pt idx="55">
                  <c:v>36852.293055555558</c:v>
                </c:pt>
                <c:pt idx="56">
                  <c:v>36852.543055555558</c:v>
                </c:pt>
                <c:pt idx="57">
                  <c:v>36852.543055555558</c:v>
                </c:pt>
                <c:pt idx="58">
                  <c:v>36852.792708333334</c:v>
                </c:pt>
                <c:pt idx="59">
                  <c:v>36852.792708333334</c:v>
                </c:pt>
                <c:pt idx="60">
                  <c:v>36853.042708333334</c:v>
                </c:pt>
                <c:pt idx="61">
                  <c:v>36853.042708333334</c:v>
                </c:pt>
                <c:pt idx="62">
                  <c:v>36853.292708333334</c:v>
                </c:pt>
                <c:pt idx="63">
                  <c:v>36853.292708333334</c:v>
                </c:pt>
                <c:pt idx="64">
                  <c:v>36853.542708333334</c:v>
                </c:pt>
                <c:pt idx="65">
                  <c:v>36853.542708333334</c:v>
                </c:pt>
                <c:pt idx="66">
                  <c:v>36854.792708333334</c:v>
                </c:pt>
                <c:pt idx="67">
                  <c:v>36854.792708333334</c:v>
                </c:pt>
                <c:pt idx="68">
                  <c:v>36855.042708333334</c:v>
                </c:pt>
                <c:pt idx="69">
                  <c:v>36855.042708333334</c:v>
                </c:pt>
                <c:pt idx="70">
                  <c:v>36855.292708333334</c:v>
                </c:pt>
              </c:numCache>
            </c:numRef>
          </c:xVal>
          <c:yVal>
            <c:numRef>
              <c:f>daily!$X:$X</c:f>
              <c:numCache>
                <c:formatCode>0.000</c:formatCode>
                <c:ptCount val="65536"/>
                <c:pt idx="3">
                  <c:v>8.7856246431933641E-2</c:v>
                </c:pt>
                <c:pt idx="4">
                  <c:v>8.7856246431933641E-2</c:v>
                </c:pt>
                <c:pt idx="5">
                  <c:v>0.10424739795971058</c:v>
                </c:pt>
                <c:pt idx="6">
                  <c:v>0.10424739795971058</c:v>
                </c:pt>
                <c:pt idx="7">
                  <c:v>0.16283095528398497</c:v>
                </c:pt>
                <c:pt idx="8">
                  <c:v>0.16283095528398497</c:v>
                </c:pt>
                <c:pt idx="9">
                  <c:v>0.10329375587248608</c:v>
                </c:pt>
                <c:pt idx="10">
                  <c:v>0.10329375587248608</c:v>
                </c:pt>
                <c:pt idx="11">
                  <c:v>0.1318277669316068</c:v>
                </c:pt>
                <c:pt idx="12">
                  <c:v>0.1318277669316068</c:v>
                </c:pt>
                <c:pt idx="13">
                  <c:v>0.11662589765712639</c:v>
                </c:pt>
                <c:pt idx="14">
                  <c:v>0.11662589765712639</c:v>
                </c:pt>
                <c:pt idx="15">
                  <c:v>0.25196634700759779</c:v>
                </c:pt>
                <c:pt idx="16">
                  <c:v>0.25196634700759779</c:v>
                </c:pt>
                <c:pt idx="17">
                  <c:v>0.10438785823226024</c:v>
                </c:pt>
                <c:pt idx="18">
                  <c:v>0.10438785823226024</c:v>
                </c:pt>
                <c:pt idx="19">
                  <c:v>9.0300964873757147E-2</c:v>
                </c:pt>
                <c:pt idx="20">
                  <c:v>9.0300964873757147E-2</c:v>
                </c:pt>
                <c:pt idx="21">
                  <c:v>0.10734186991873393</c:v>
                </c:pt>
                <c:pt idx="22">
                  <c:v>0.10734186991873393</c:v>
                </c:pt>
                <c:pt idx="23">
                  <c:v>9.3962758546883504E-2</c:v>
                </c:pt>
                <c:pt idx="24">
                  <c:v>9.3962758546883504E-2</c:v>
                </c:pt>
                <c:pt idx="25">
                  <c:v>0.25280911988932636</c:v>
                </c:pt>
                <c:pt idx="26">
                  <c:v>0.25280911988932636</c:v>
                </c:pt>
                <c:pt idx="27">
                  <c:v>0.17474575430057268</c:v>
                </c:pt>
                <c:pt idx="28">
                  <c:v>0.17474575430057268</c:v>
                </c:pt>
                <c:pt idx="29">
                  <c:v>0.17230907155288072</c:v>
                </c:pt>
                <c:pt idx="30">
                  <c:v>0.17230907155288072</c:v>
                </c:pt>
                <c:pt idx="31">
                  <c:v>0.19960040073723231</c:v>
                </c:pt>
                <c:pt idx="32">
                  <c:v>0.19960040073723231</c:v>
                </c:pt>
                <c:pt idx="33">
                  <c:v>0.21106548734109232</c:v>
                </c:pt>
                <c:pt idx="34">
                  <c:v>0.21106548734109232</c:v>
                </c:pt>
                <c:pt idx="35">
                  <c:v>0.29805153933572909</c:v>
                </c:pt>
                <c:pt idx="36">
                  <c:v>0.29805153933572909</c:v>
                </c:pt>
                <c:pt idx="37">
                  <c:v>0.20765548402261932</c:v>
                </c:pt>
                <c:pt idx="38">
                  <c:v>0.20765548402261932</c:v>
                </c:pt>
                <c:pt idx="39">
                  <c:v>0.11794149971261372</c:v>
                </c:pt>
                <c:pt idx="40">
                  <c:v>0.11794149971261372</c:v>
                </c:pt>
                <c:pt idx="41">
                  <c:v>9.3584566447790396E-2</c:v>
                </c:pt>
                <c:pt idx="42">
                  <c:v>9.3584566447790396E-2</c:v>
                </c:pt>
                <c:pt idx="43">
                  <c:v>8.0791769356083759E-2</c:v>
                </c:pt>
                <c:pt idx="44">
                  <c:v>8.0791769356083759E-2</c:v>
                </c:pt>
                <c:pt idx="45">
                  <c:v>0.15405085615798919</c:v>
                </c:pt>
                <c:pt idx="46">
                  <c:v>0.15405085615798919</c:v>
                </c:pt>
                <c:pt idx="47">
                  <c:v>0.16417600300985549</c:v>
                </c:pt>
                <c:pt idx="48">
                  <c:v>0.16417600300985549</c:v>
                </c:pt>
                <c:pt idx="49">
                  <c:v>0.11770831116268647</c:v>
                </c:pt>
                <c:pt idx="50">
                  <c:v>0.11770831116268647</c:v>
                </c:pt>
                <c:pt idx="51">
                  <c:v>0.16022753840583226</c:v>
                </c:pt>
                <c:pt idx="52">
                  <c:v>0.16022753840583226</c:v>
                </c:pt>
                <c:pt idx="53">
                  <c:v>0.15286283534716189</c:v>
                </c:pt>
                <c:pt idx="54">
                  <c:v>0.15286283534716189</c:v>
                </c:pt>
                <c:pt idx="55">
                  <c:v>7.3715127235777153E-2</c:v>
                </c:pt>
                <c:pt idx="56">
                  <c:v>7.3715127235777153E-2</c:v>
                </c:pt>
                <c:pt idx="57">
                  <c:v>8.9202734302089318E-2</c:v>
                </c:pt>
                <c:pt idx="58">
                  <c:v>8.9202734302089318E-2</c:v>
                </c:pt>
                <c:pt idx="59">
                  <c:v>0.17488784965105217</c:v>
                </c:pt>
                <c:pt idx="60">
                  <c:v>0.17488784965105217</c:v>
                </c:pt>
                <c:pt idx="61">
                  <c:v>0.14454673992484462</c:v>
                </c:pt>
                <c:pt idx="62">
                  <c:v>0.14454673992484462</c:v>
                </c:pt>
                <c:pt idx="63">
                  <c:v>0.21880000084553691</c:v>
                </c:pt>
                <c:pt idx="64">
                  <c:v>0.21880000084553691</c:v>
                </c:pt>
                <c:pt idx="65">
                  <c:v>0.12181814641666</c:v>
                </c:pt>
                <c:pt idx="66">
                  <c:v>0.12181814641666</c:v>
                </c:pt>
                <c:pt idx="67">
                  <c:v>2.4298148656651419E-2</c:v>
                </c:pt>
                <c:pt idx="68">
                  <c:v>2.4298148656651419E-2</c:v>
                </c:pt>
                <c:pt idx="69">
                  <c:v>0.26311366408658587</c:v>
                </c:pt>
                <c:pt idx="70">
                  <c:v>0.26311366408658587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A-4236-B500-99877983B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01592"/>
        <c:axId val="1"/>
      </c:scatterChart>
      <c:valAx>
        <c:axId val="724401592"/>
        <c:scaling>
          <c:orientation val="minMax"/>
          <c:max val="36857"/>
          <c:min val="36832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Time</a:t>
                </a:r>
              </a:p>
            </c:rich>
          </c:tx>
          <c:layout>
            <c:manualLayout>
              <c:xMode val="edge"/>
              <c:yMode val="edge"/>
              <c:x val="0.51761846901579589"/>
              <c:y val="0.71482412060301503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1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Velocity (m/d)</a:t>
                </a:r>
              </a:p>
            </c:rich>
          </c:tx>
          <c:layout>
            <c:manualLayout>
              <c:xMode val="edge"/>
              <c:yMode val="edge"/>
              <c:x val="0.11421628189550424"/>
              <c:y val="0.331658291457286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44015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Vertical position</a:t>
            </a:r>
          </a:p>
        </c:rich>
      </c:tx>
      <c:layout>
        <c:manualLayout>
          <c:xMode val="edge"/>
          <c:yMode val="edge"/>
          <c:x val="0.42946428571428574"/>
          <c:y val="1.96592398427260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392857142857134E-2"/>
          <c:y val="0.12188728702490172"/>
          <c:w val="0.87678571428571439"/>
          <c:h val="0.77064220183486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daily!$E$1:$E$3</c:f>
              <c:strCache>
                <c:ptCount val="3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daily!$E:$E</c:f>
              <c:numCache>
                <c:formatCode>General</c:formatCode>
                <c:ptCount val="65536"/>
                <c:pt idx="3" formatCode="m/d/yy\ h:mm">
                  <c:v>36832.792708333334</c:v>
                </c:pt>
                <c:pt idx="4" formatCode="m/d/yy\ h:mm">
                  <c:v>36833.042708333334</c:v>
                </c:pt>
                <c:pt idx="5" formatCode="m/d/yy\ h:mm">
                  <c:v>36833.292708333334</c:v>
                </c:pt>
                <c:pt idx="6" formatCode="m/d/yy\ h:mm">
                  <c:v>36833.542708333334</c:v>
                </c:pt>
                <c:pt idx="7" formatCode="m/d/yy\ h:mm">
                  <c:v>36833.792708333334</c:v>
                </c:pt>
                <c:pt idx="8" formatCode="m/d/yy\ h:mm">
                  <c:v>36834.042708333334</c:v>
                </c:pt>
                <c:pt idx="9" formatCode="m/d/yy\ h:mm">
                  <c:v>36834.292708333334</c:v>
                </c:pt>
                <c:pt idx="10" formatCode="m/d/yy\ h:mm">
                  <c:v>36834.542708333334</c:v>
                </c:pt>
                <c:pt idx="11" formatCode="m/d/yy\ h:mm">
                  <c:v>36835.545138888891</c:v>
                </c:pt>
                <c:pt idx="12" formatCode="m/d/yy\ h:mm">
                  <c:v>36835.792708333334</c:v>
                </c:pt>
                <c:pt idx="13" formatCode="m/d/yy\ h:mm">
                  <c:v>36836.793055555558</c:v>
                </c:pt>
                <c:pt idx="14" formatCode="m/d/yy\ h:mm">
                  <c:v>36837.293055555558</c:v>
                </c:pt>
                <c:pt idx="15" formatCode="m/d/yy\ h:mm">
                  <c:v>36837.542708333334</c:v>
                </c:pt>
                <c:pt idx="16" formatCode="m/d/yy\ h:mm">
                  <c:v>36837.793055555558</c:v>
                </c:pt>
                <c:pt idx="17" formatCode="m/d/yy\ h:mm">
                  <c:v>36838.042708333334</c:v>
                </c:pt>
                <c:pt idx="18" formatCode="m/d/yy\ h:mm">
                  <c:v>36838.292708333334</c:v>
                </c:pt>
                <c:pt idx="19" formatCode="m/d/yy\ h:mm">
                  <c:v>36838.542708333334</c:v>
                </c:pt>
                <c:pt idx="20" formatCode="m/d/yy\ h:mm">
                  <c:v>36838.792708333334</c:v>
                </c:pt>
                <c:pt idx="21" formatCode="m/d/yy\ h:mm">
                  <c:v>36839.042708333334</c:v>
                </c:pt>
                <c:pt idx="22" formatCode="m/d/yy\ h:mm">
                  <c:v>36850.543055555558</c:v>
                </c:pt>
                <c:pt idx="23" formatCode="m/d/yy\ h:mm">
                  <c:v>36850.792708333334</c:v>
                </c:pt>
                <c:pt idx="24" formatCode="m/d/yy\ h:mm">
                  <c:v>36851.051504629628</c:v>
                </c:pt>
                <c:pt idx="25" formatCode="m/d/yy\ h:mm">
                  <c:v>36851.292708333334</c:v>
                </c:pt>
                <c:pt idx="26" formatCode="m/d/yy\ h:mm">
                  <c:v>36851.542708333334</c:v>
                </c:pt>
                <c:pt idx="27" formatCode="m/d/yy\ h:mm">
                  <c:v>36851.793055555558</c:v>
                </c:pt>
                <c:pt idx="28" formatCode="m/d/yy\ h:mm">
                  <c:v>36852.042708333334</c:v>
                </c:pt>
                <c:pt idx="29" formatCode="m/d/yy\ h:mm">
                  <c:v>36852.293055555558</c:v>
                </c:pt>
                <c:pt idx="30" formatCode="m/d/yy\ h:mm">
                  <c:v>36852.543055555558</c:v>
                </c:pt>
                <c:pt idx="31" formatCode="m/d/yy\ h:mm">
                  <c:v>36852.792708333334</c:v>
                </c:pt>
                <c:pt idx="32" formatCode="m/d/yy\ h:mm">
                  <c:v>36853.042708333334</c:v>
                </c:pt>
                <c:pt idx="33" formatCode="m/d/yy\ h:mm">
                  <c:v>36853.292708333334</c:v>
                </c:pt>
                <c:pt idx="34" formatCode="m/d/yy\ h:mm">
                  <c:v>36853.542708333334</c:v>
                </c:pt>
                <c:pt idx="35" formatCode="m/d/yy\ h:mm">
                  <c:v>36854.792708333334</c:v>
                </c:pt>
                <c:pt idx="36" formatCode="m/d/yy\ h:mm">
                  <c:v>36855.042708333334</c:v>
                </c:pt>
                <c:pt idx="37" formatCode="m/d/yy\ h:mm">
                  <c:v>36855.292708333334</c:v>
                </c:pt>
              </c:numCache>
            </c:numRef>
          </c:xVal>
          <c:yVal>
            <c:numRef>
              <c:f>daily!$R:$R</c:f>
              <c:numCache>
                <c:formatCode>General</c:formatCode>
                <c:ptCount val="65536"/>
                <c:pt idx="0">
                  <c:v>0</c:v>
                </c:pt>
                <c:pt idx="1">
                  <c:v>0</c:v>
                </c:pt>
                <c:pt idx="3">
                  <c:v>498.45619999999997</c:v>
                </c:pt>
                <c:pt idx="4">
                  <c:v>498.45389999999998</c:v>
                </c:pt>
                <c:pt idx="5">
                  <c:v>498.45119999999997</c:v>
                </c:pt>
                <c:pt idx="6">
                  <c:v>498.43780000000004</c:v>
                </c:pt>
                <c:pt idx="7">
                  <c:v>498.41880000000003</c:v>
                </c:pt>
                <c:pt idx="8">
                  <c:v>498.40239999999994</c:v>
                </c:pt>
                <c:pt idx="9">
                  <c:v>498.40049999999997</c:v>
                </c:pt>
                <c:pt idx="10">
                  <c:v>498.37549999999999</c:v>
                </c:pt>
                <c:pt idx="11">
                  <c:v>498.351</c:v>
                </c:pt>
                <c:pt idx="12">
                  <c:v>498.30340000000001</c:v>
                </c:pt>
                <c:pt idx="13">
                  <c:v>498.31110000000001</c:v>
                </c:pt>
                <c:pt idx="14">
                  <c:v>498.31669999999997</c:v>
                </c:pt>
                <c:pt idx="15">
                  <c:v>498.25170000000003</c:v>
                </c:pt>
                <c:pt idx="16">
                  <c:v>498.20399999999995</c:v>
                </c:pt>
                <c:pt idx="17">
                  <c:v>498.23260000000005</c:v>
                </c:pt>
                <c:pt idx="18">
                  <c:v>498.18380000000002</c:v>
                </c:pt>
                <c:pt idx="19">
                  <c:v>498.16780000000006</c:v>
                </c:pt>
                <c:pt idx="20">
                  <c:v>498.12800000000004</c:v>
                </c:pt>
                <c:pt idx="21">
                  <c:v>498.13909999999998</c:v>
                </c:pt>
                <c:pt idx="22">
                  <c:v>497.69190000000003</c:v>
                </c:pt>
                <c:pt idx="23">
                  <c:v>497.68079999999998</c:v>
                </c:pt>
                <c:pt idx="24">
                  <c:v>497.68910000000005</c:v>
                </c:pt>
                <c:pt idx="25">
                  <c:v>497.66880000000003</c:v>
                </c:pt>
                <c:pt idx="26">
                  <c:v>497.63480000000004</c:v>
                </c:pt>
                <c:pt idx="27">
                  <c:v>497.64859999999999</c:v>
                </c:pt>
                <c:pt idx="28">
                  <c:v>497.67579999999998</c:v>
                </c:pt>
                <c:pt idx="29">
                  <c:v>497.66380000000004</c:v>
                </c:pt>
                <c:pt idx="30">
                  <c:v>497.59460000000001</c:v>
                </c:pt>
                <c:pt idx="31">
                  <c:v>497.54849999999999</c:v>
                </c:pt>
                <c:pt idx="32">
                  <c:v>497.56629999999996</c:v>
                </c:pt>
                <c:pt idx="33">
                  <c:v>497.53200000000004</c:v>
                </c:pt>
                <c:pt idx="34">
                  <c:v>497.49580000000003</c:v>
                </c:pt>
                <c:pt idx="35">
                  <c:v>497.40959999999995</c:v>
                </c:pt>
                <c:pt idx="36">
                  <c:v>497.41579999999999</c:v>
                </c:pt>
                <c:pt idx="37">
                  <c:v>497.35450000000003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F-4C28-92C9-855E5D4D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02576"/>
        <c:axId val="1"/>
      </c:scatterChart>
      <c:valAx>
        <c:axId val="72440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Time</a:t>
                </a:r>
              </a:p>
            </c:rich>
          </c:tx>
          <c:layout>
            <c:manualLayout>
              <c:xMode val="edge"/>
              <c:yMode val="edge"/>
              <c:x val="0.50803571428571426"/>
              <c:y val="0.94495412844036697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499"/>
          <c:min val="49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Elevation (m a.s.l.)</a:t>
                </a:r>
              </a:p>
            </c:rich>
          </c:tx>
          <c:layout>
            <c:manualLayout>
              <c:xMode val="edge"/>
              <c:yMode val="edge"/>
              <c:x val="1.0714285714285714E-2"/>
              <c:y val="0.40891218872870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4402576"/>
        <c:crosses val="autoZero"/>
        <c:crossBetween val="midCat"/>
        <c:majorUnit val="0.5"/>
        <c:minorUnit val="0.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6" workbookViewId="0" zoomToFit="1"/>
  </sheetViews>
  <pageMargins left="0.75" right="0.75" top="1" bottom="1" header="0.5" footer="0.47"/>
  <pageSetup orientation="portrait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262688" cy="8064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34400" cy="58140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0.14275</cdr:x>
      <cdr:y>0.19875</cdr:y>
    </cdr:from>
    <cdr:to>
      <cdr:x>0.14275</cdr:x>
      <cdr:y>0.23725</cdr:y>
    </cdr:to>
    <cdr:sp macro="" textlink="">
      <cdr:nvSpPr>
        <cdr:cNvPr id="1025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218286" y="1155544"/>
          <a:ext cx="0" cy="22384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0.157</cdr:x>
      <cdr:y>0.19875</cdr:y>
    </cdr:from>
    <cdr:to>
      <cdr:x>0.20525</cdr:x>
      <cdr:y>0.238</cdr:y>
    </cdr:to>
    <cdr:sp macro="" textlink="">
      <cdr:nvSpPr>
        <cdr:cNvPr id="102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39901" y="1155544"/>
          <a:ext cx="411785" cy="2282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error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1"/>
  <sheetViews>
    <sheetView topLeftCell="D1" workbookViewId="0">
      <selection activeCell="Q4" sqref="Q4"/>
    </sheetView>
  </sheetViews>
  <sheetFormatPr defaultRowHeight="13.2" x14ac:dyDescent="0.25"/>
  <cols>
    <col min="3" max="3" width="11.109375" customWidth="1"/>
    <col min="5" max="5" width="13.33203125" bestFit="1" customWidth="1"/>
    <col min="6" max="6" width="4.88671875" customWidth="1"/>
    <col min="7" max="7" width="4.5546875" customWidth="1"/>
    <col min="9" max="9" width="2.77734375" customWidth="1"/>
    <col min="10" max="10" width="5.109375" customWidth="1"/>
    <col min="11" max="11" width="4.5546875" customWidth="1"/>
    <col min="13" max="13" width="2.77734375" customWidth="1"/>
    <col min="14" max="14" width="10.109375" customWidth="1"/>
    <col min="16" max="16" width="10.33203125" customWidth="1"/>
    <col min="17" max="17" width="10.77734375" customWidth="1"/>
    <col min="20" max="21" width="12.21875" bestFit="1" customWidth="1"/>
    <col min="22" max="23" width="13.33203125" style="4" bestFit="1" customWidth="1"/>
    <col min="24" max="25" width="8.88671875" style="3"/>
  </cols>
  <sheetData>
    <row r="1" spans="1:25" x14ac:dyDescent="0.25">
      <c r="A1" t="s">
        <v>77</v>
      </c>
      <c r="C1" t="s">
        <v>78</v>
      </c>
      <c r="D1" t="s">
        <v>79</v>
      </c>
      <c r="F1" t="s">
        <v>80</v>
      </c>
      <c r="J1" t="s">
        <v>84</v>
      </c>
      <c r="N1" t="s">
        <v>85</v>
      </c>
      <c r="O1" t="s">
        <v>86</v>
      </c>
      <c r="P1" t="s">
        <v>88</v>
      </c>
      <c r="R1" t="s">
        <v>91</v>
      </c>
      <c r="T1" t="s">
        <v>93</v>
      </c>
      <c r="U1" t="s">
        <v>95</v>
      </c>
    </row>
    <row r="2" spans="1:25" x14ac:dyDescent="0.25">
      <c r="F2" t="s">
        <v>81</v>
      </c>
      <c r="G2" t="s">
        <v>82</v>
      </c>
      <c r="H2" t="s">
        <v>83</v>
      </c>
      <c r="J2" t="s">
        <v>81</v>
      </c>
      <c r="K2" t="s">
        <v>82</v>
      </c>
      <c r="L2" t="s">
        <v>83</v>
      </c>
      <c r="O2" t="s">
        <v>87</v>
      </c>
      <c r="P2" t="s">
        <v>89</v>
      </c>
      <c r="Q2" t="s">
        <v>90</v>
      </c>
      <c r="R2" t="s">
        <v>92</v>
      </c>
      <c r="T2" t="s">
        <v>94</v>
      </c>
      <c r="U2" t="s">
        <v>96</v>
      </c>
    </row>
    <row r="4" spans="1:25" x14ac:dyDescent="0.25">
      <c r="A4">
        <v>11024</v>
      </c>
      <c r="B4" t="s">
        <v>0</v>
      </c>
      <c r="C4" s="1">
        <v>36832</v>
      </c>
      <c r="D4" s="2">
        <v>0.79270833333333324</v>
      </c>
      <c r="E4" s="4">
        <f>C4+D4</f>
        <v>36832.792708333334</v>
      </c>
      <c r="F4" t="s">
        <v>1</v>
      </c>
      <c r="G4" t="s">
        <v>2</v>
      </c>
      <c r="H4" t="s">
        <v>11</v>
      </c>
      <c r="I4" t="s">
        <v>4</v>
      </c>
      <c r="J4" t="s">
        <v>5</v>
      </c>
      <c r="K4" t="s">
        <v>6</v>
      </c>
      <c r="L4" t="s">
        <v>12</v>
      </c>
      <c r="M4" t="s">
        <v>8</v>
      </c>
      <c r="N4">
        <v>538.45619999999997</v>
      </c>
      <c r="O4">
        <v>1E-3</v>
      </c>
      <c r="P4">
        <v>408440.67950000003</v>
      </c>
      <c r="Q4">
        <v>4117726.7618999998</v>
      </c>
      <c r="R4">
        <v>498.45619999999997</v>
      </c>
      <c r="T4" s="3">
        <f>SQRT((P5-P4)^2+(Q5-Q4)^2)/(C5+D5-C4-D4)</f>
        <v>8.7856246431933641E-2</v>
      </c>
      <c r="U4" s="3">
        <f>SQRT(2)*0.015/(C5+D5-C4-D4)</f>
        <v>8.4852813742056402E-2</v>
      </c>
      <c r="W4" s="4">
        <v>36832.792708333334</v>
      </c>
      <c r="X4" s="3">
        <v>8.7856246431933641E-2</v>
      </c>
      <c r="Y4" s="3">
        <v>8.4852813742056402E-2</v>
      </c>
    </row>
    <row r="5" spans="1:25" x14ac:dyDescent="0.25">
      <c r="A5">
        <v>11031</v>
      </c>
      <c r="B5" t="s">
        <v>0</v>
      </c>
      <c r="C5" s="1">
        <v>36833</v>
      </c>
      <c r="D5" s="2">
        <v>4.2708333333333327E-2</v>
      </c>
      <c r="E5" s="4">
        <f t="shared" ref="E5:E38" si="0">C5+D5</f>
        <v>36833.042708333334</v>
      </c>
      <c r="F5" t="s">
        <v>1</v>
      </c>
      <c r="G5" t="s">
        <v>2</v>
      </c>
      <c r="H5" t="s">
        <v>15</v>
      </c>
      <c r="I5" t="s">
        <v>4</v>
      </c>
      <c r="J5" t="s">
        <v>5</v>
      </c>
      <c r="K5" t="s">
        <v>6</v>
      </c>
      <c r="L5" t="s">
        <v>16</v>
      </c>
      <c r="M5" t="s">
        <v>8</v>
      </c>
      <c r="N5">
        <v>538.4538</v>
      </c>
      <c r="O5">
        <v>1E-3</v>
      </c>
      <c r="P5">
        <v>408440.70059999998</v>
      </c>
      <c r="Q5">
        <v>4117726.7680000002</v>
      </c>
      <c r="R5">
        <v>498.45389999999998</v>
      </c>
      <c r="T5" s="3">
        <f t="shared" ref="T5:T37" si="1">SQRT((P6-P5)^2+(Q6-Q5)^2)/(C6+D6-C5-D5)</f>
        <v>0.10424739795971058</v>
      </c>
      <c r="U5" s="3">
        <f t="shared" ref="U5:U37" si="2">SQRT(2)*0.015/(C6+D6-C5-D5)</f>
        <v>8.4852813742056443E-2</v>
      </c>
      <c r="W5" s="4">
        <v>36833.042708333334</v>
      </c>
      <c r="X5" s="3">
        <v>8.7856246431933641E-2</v>
      </c>
    </row>
    <row r="6" spans="1:25" x14ac:dyDescent="0.25">
      <c r="A6">
        <v>11032</v>
      </c>
      <c r="B6" t="s">
        <v>0</v>
      </c>
      <c r="C6" s="1">
        <v>36833</v>
      </c>
      <c r="D6" s="2">
        <v>0.29270833333333335</v>
      </c>
      <c r="E6" s="4">
        <f t="shared" si="0"/>
        <v>36833.292708333334</v>
      </c>
      <c r="F6" t="s">
        <v>1</v>
      </c>
      <c r="G6" t="s">
        <v>2</v>
      </c>
      <c r="H6" t="s">
        <v>19</v>
      </c>
      <c r="I6" t="s">
        <v>4</v>
      </c>
      <c r="J6" t="s">
        <v>5</v>
      </c>
      <c r="K6" t="s">
        <v>6</v>
      </c>
      <c r="L6" t="s">
        <v>20</v>
      </c>
      <c r="M6" t="s">
        <v>8</v>
      </c>
      <c r="N6">
        <v>538.4511</v>
      </c>
      <c r="O6">
        <v>1E-3</v>
      </c>
      <c r="P6">
        <v>408440.72649999999</v>
      </c>
      <c r="Q6">
        <v>4117726.7708999999</v>
      </c>
      <c r="R6">
        <v>498.45119999999997</v>
      </c>
      <c r="T6" s="3">
        <f t="shared" si="1"/>
        <v>0.16283095528398497</v>
      </c>
      <c r="U6" s="3">
        <f t="shared" si="2"/>
        <v>8.4852813742056443E-2</v>
      </c>
      <c r="W6" s="4">
        <v>36833.042708333334</v>
      </c>
      <c r="X6" s="3">
        <v>0.10424739795971058</v>
      </c>
      <c r="Y6" s="3">
        <v>8.4852813742056402E-2</v>
      </c>
    </row>
    <row r="7" spans="1:25" x14ac:dyDescent="0.25">
      <c r="A7">
        <v>11033</v>
      </c>
      <c r="B7" t="s">
        <v>0</v>
      </c>
      <c r="C7" s="1">
        <v>36833</v>
      </c>
      <c r="D7" s="2">
        <v>0.54270833333333335</v>
      </c>
      <c r="E7" s="4">
        <f t="shared" si="0"/>
        <v>36833.542708333334</v>
      </c>
      <c r="F7" t="s">
        <v>1</v>
      </c>
      <c r="G7" t="s">
        <v>2</v>
      </c>
      <c r="H7" t="s">
        <v>31</v>
      </c>
      <c r="I7" t="s">
        <v>4</v>
      </c>
      <c r="J7" t="s">
        <v>5</v>
      </c>
      <c r="K7" t="s">
        <v>6</v>
      </c>
      <c r="L7" t="s">
        <v>32</v>
      </c>
      <c r="M7" t="s">
        <v>8</v>
      </c>
      <c r="N7">
        <v>538.43769999999995</v>
      </c>
      <c r="O7">
        <v>1.1999999999999999E-3</v>
      </c>
      <c r="P7">
        <v>408440.76409999997</v>
      </c>
      <c r="Q7">
        <v>4117726.7864999999</v>
      </c>
      <c r="R7">
        <v>498.43780000000004</v>
      </c>
      <c r="T7" s="3">
        <f t="shared" si="1"/>
        <v>0.10329375587248608</v>
      </c>
      <c r="U7" s="3">
        <f t="shared" si="2"/>
        <v>8.4852813742056443E-2</v>
      </c>
      <c r="W7" s="4">
        <v>36833.292708333334</v>
      </c>
      <c r="X7" s="3">
        <v>0.10424739795971058</v>
      </c>
    </row>
    <row r="8" spans="1:25" x14ac:dyDescent="0.25">
      <c r="A8">
        <v>11034</v>
      </c>
      <c r="B8" t="s">
        <v>0</v>
      </c>
      <c r="C8" s="1">
        <v>36833</v>
      </c>
      <c r="D8" s="2">
        <v>0.79270833333333324</v>
      </c>
      <c r="E8" s="4">
        <f t="shared" si="0"/>
        <v>36833.792708333334</v>
      </c>
      <c r="F8" t="s">
        <v>1</v>
      </c>
      <c r="G8" t="s">
        <v>2</v>
      </c>
      <c r="H8" t="s">
        <v>17</v>
      </c>
      <c r="I8" t="s">
        <v>4</v>
      </c>
      <c r="J8" t="s">
        <v>5</v>
      </c>
      <c r="K8" t="s">
        <v>6</v>
      </c>
      <c r="L8" t="s">
        <v>18</v>
      </c>
      <c r="M8" t="s">
        <v>8</v>
      </c>
      <c r="N8">
        <v>538.41869999999994</v>
      </c>
      <c r="O8">
        <v>1E-3</v>
      </c>
      <c r="P8">
        <v>408440.78989999997</v>
      </c>
      <c r="Q8">
        <v>4117726.7875999999</v>
      </c>
      <c r="R8">
        <v>498.41880000000003</v>
      </c>
      <c r="T8" s="3">
        <f t="shared" si="1"/>
        <v>0.1318277669316068</v>
      </c>
      <c r="U8" s="3">
        <f t="shared" si="2"/>
        <v>8.4852813742056402E-2</v>
      </c>
      <c r="W8" s="4">
        <v>36833.292708333334</v>
      </c>
      <c r="X8" s="3">
        <v>0.16283095528398497</v>
      </c>
      <c r="Y8" s="3">
        <v>8.4852813742056402E-2</v>
      </c>
    </row>
    <row r="9" spans="1:25" x14ac:dyDescent="0.25">
      <c r="A9">
        <v>11041</v>
      </c>
      <c r="B9" t="s">
        <v>0</v>
      </c>
      <c r="C9" s="1">
        <v>36834</v>
      </c>
      <c r="D9" s="2">
        <v>4.2708333333333327E-2</v>
      </c>
      <c r="E9" s="4">
        <f t="shared" si="0"/>
        <v>36834.042708333334</v>
      </c>
      <c r="F9" t="s">
        <v>1</v>
      </c>
      <c r="G9" t="s">
        <v>2</v>
      </c>
      <c r="H9" t="s">
        <v>33</v>
      </c>
      <c r="I9" t="s">
        <v>4</v>
      </c>
      <c r="J9" t="s">
        <v>5</v>
      </c>
      <c r="K9" t="s">
        <v>6</v>
      </c>
      <c r="L9" t="s">
        <v>34</v>
      </c>
      <c r="M9" t="s">
        <v>8</v>
      </c>
      <c r="N9">
        <v>538.40239999999994</v>
      </c>
      <c r="O9">
        <v>1.1999999999999999E-3</v>
      </c>
      <c r="P9">
        <v>408440.81089999998</v>
      </c>
      <c r="Q9">
        <v>4117726.8130000001</v>
      </c>
      <c r="R9">
        <v>498.40239999999994</v>
      </c>
      <c r="T9" s="3">
        <f t="shared" si="1"/>
        <v>0.11662589765712639</v>
      </c>
      <c r="U9" s="3">
        <f t="shared" si="2"/>
        <v>8.4852813742056443E-2</v>
      </c>
      <c r="W9" s="4">
        <v>36833.542708333334</v>
      </c>
      <c r="X9" s="3">
        <v>0.16283095528398497</v>
      </c>
    </row>
    <row r="10" spans="1:25" x14ac:dyDescent="0.25">
      <c r="A10">
        <v>11042</v>
      </c>
      <c r="B10" t="s">
        <v>0</v>
      </c>
      <c r="C10" s="1">
        <v>36834</v>
      </c>
      <c r="D10" s="2">
        <v>0.29270833333333335</v>
      </c>
      <c r="E10" s="4">
        <f t="shared" si="0"/>
        <v>36834.292708333334</v>
      </c>
      <c r="F10" t="s">
        <v>1</v>
      </c>
      <c r="G10" t="s">
        <v>2</v>
      </c>
      <c r="H10" t="s">
        <v>41</v>
      </c>
      <c r="I10" t="s">
        <v>4</v>
      </c>
      <c r="J10" t="s">
        <v>5</v>
      </c>
      <c r="K10" t="s">
        <v>6</v>
      </c>
      <c r="L10" t="s">
        <v>42</v>
      </c>
      <c r="M10" t="s">
        <v>8</v>
      </c>
      <c r="N10">
        <v>538.40039999999999</v>
      </c>
      <c r="O10">
        <v>1.4E-3</v>
      </c>
      <c r="P10">
        <v>408440.83860000002</v>
      </c>
      <c r="Q10">
        <v>4117726.8039000002</v>
      </c>
      <c r="R10">
        <v>498.40049999999997</v>
      </c>
      <c r="T10" s="3">
        <f t="shared" si="1"/>
        <v>0.25196634700759779</v>
      </c>
      <c r="U10" s="3">
        <f t="shared" si="2"/>
        <v>8.4852813742056443E-2</v>
      </c>
      <c r="W10" s="4">
        <v>36833.542708333334</v>
      </c>
      <c r="X10" s="3">
        <v>0.10329375587248608</v>
      </c>
      <c r="Y10" s="3">
        <v>8.4852813742056402E-2</v>
      </c>
    </row>
    <row r="11" spans="1:25" x14ac:dyDescent="0.25">
      <c r="A11">
        <v>11043</v>
      </c>
      <c r="B11" t="s">
        <v>0</v>
      </c>
      <c r="C11" s="1">
        <v>36834</v>
      </c>
      <c r="D11" s="2">
        <v>0.54270833333333335</v>
      </c>
      <c r="E11" s="4">
        <f t="shared" si="0"/>
        <v>36834.542708333334</v>
      </c>
      <c r="F11" t="s">
        <v>1</v>
      </c>
      <c r="G11" t="s">
        <v>2</v>
      </c>
      <c r="H11" t="s">
        <v>45</v>
      </c>
      <c r="I11" t="s">
        <v>4</v>
      </c>
      <c r="J11" t="s">
        <v>5</v>
      </c>
      <c r="K11" t="s">
        <v>6</v>
      </c>
      <c r="L11" t="s">
        <v>46</v>
      </c>
      <c r="M11" t="s">
        <v>8</v>
      </c>
      <c r="N11">
        <v>538.37540000000001</v>
      </c>
      <c r="O11">
        <v>1.5E-3</v>
      </c>
      <c r="P11">
        <v>408440.89990000002</v>
      </c>
      <c r="Q11">
        <v>4117726.8184000002</v>
      </c>
      <c r="R11">
        <v>498.37549999999999</v>
      </c>
      <c r="T11" s="3">
        <f t="shared" si="1"/>
        <v>0.10438785823226024</v>
      </c>
      <c r="U11" s="3">
        <f t="shared" si="2"/>
        <v>2.1161768581371379E-2</v>
      </c>
      <c r="W11" s="4">
        <v>36833.792708333334</v>
      </c>
      <c r="X11" s="3">
        <v>0.10329375587248608</v>
      </c>
    </row>
    <row r="12" spans="1:25" x14ac:dyDescent="0.25">
      <c r="A12">
        <v>11053</v>
      </c>
      <c r="B12" t="s">
        <v>0</v>
      </c>
      <c r="C12" s="1">
        <v>36835</v>
      </c>
      <c r="D12" s="2">
        <v>0.54513888888888895</v>
      </c>
      <c r="E12" s="4">
        <f t="shared" si="0"/>
        <v>36835.545138888891</v>
      </c>
      <c r="F12" t="s">
        <v>1</v>
      </c>
      <c r="G12" t="s">
        <v>2</v>
      </c>
      <c r="H12" t="s">
        <v>35</v>
      </c>
      <c r="I12" t="s">
        <v>4</v>
      </c>
      <c r="J12" t="s">
        <v>5</v>
      </c>
      <c r="K12" t="s">
        <v>6</v>
      </c>
      <c r="L12" t="s">
        <v>36</v>
      </c>
      <c r="M12" t="s">
        <v>8</v>
      </c>
      <c r="N12">
        <v>538.351</v>
      </c>
      <c r="O12">
        <v>1.2999999999999999E-3</v>
      </c>
      <c r="P12">
        <v>408440.99680000002</v>
      </c>
      <c r="Q12">
        <v>4117726.8579000002</v>
      </c>
      <c r="R12">
        <v>498.351</v>
      </c>
      <c r="T12" s="3">
        <f t="shared" si="1"/>
        <v>9.0300964873757147E-2</v>
      </c>
      <c r="U12" s="3">
        <f t="shared" si="2"/>
        <v>8.5685870819464688E-2</v>
      </c>
      <c r="W12" s="4">
        <v>36833.792708333334</v>
      </c>
      <c r="X12" s="3">
        <v>0.1318277669316068</v>
      </c>
      <c r="Y12" s="3">
        <v>8.4852813742056402E-2</v>
      </c>
    </row>
    <row r="13" spans="1:25" x14ac:dyDescent="0.25">
      <c r="A13">
        <v>11054</v>
      </c>
      <c r="B13" t="s">
        <v>0</v>
      </c>
      <c r="C13" s="1">
        <v>36835</v>
      </c>
      <c r="D13" s="2">
        <v>0.79270833333333324</v>
      </c>
      <c r="E13" s="4">
        <f t="shared" si="0"/>
        <v>36835.792708333334</v>
      </c>
      <c r="F13" t="s">
        <v>1</v>
      </c>
      <c r="G13" t="s">
        <v>2</v>
      </c>
      <c r="H13" t="s">
        <v>53</v>
      </c>
      <c r="I13" t="s">
        <v>4</v>
      </c>
      <c r="J13" t="s">
        <v>5</v>
      </c>
      <c r="K13" t="s">
        <v>6</v>
      </c>
      <c r="L13" t="s">
        <v>54</v>
      </c>
      <c r="M13" t="s">
        <v>8</v>
      </c>
      <c r="N13">
        <v>538.30330000000004</v>
      </c>
      <c r="O13">
        <v>1.8E-3</v>
      </c>
      <c r="P13">
        <v>408441.01209999999</v>
      </c>
      <c r="Q13">
        <v>4117726.8742</v>
      </c>
      <c r="R13">
        <v>498.30340000000001</v>
      </c>
      <c r="T13" s="3">
        <f t="shared" si="1"/>
        <v>0.10734186991873393</v>
      </c>
      <c r="U13" s="3">
        <f t="shared" si="2"/>
        <v>2.1205840296559988E-2</v>
      </c>
      <c r="W13" s="4">
        <v>36834.042708333334</v>
      </c>
      <c r="X13" s="3">
        <v>0.1318277669316068</v>
      </c>
    </row>
    <row r="14" spans="1:25" x14ac:dyDescent="0.25">
      <c r="A14">
        <v>11064</v>
      </c>
      <c r="B14" t="s">
        <v>0</v>
      </c>
      <c r="C14" s="1">
        <v>36836</v>
      </c>
      <c r="D14" s="2">
        <v>0.79305555555555562</v>
      </c>
      <c r="E14" s="4">
        <f t="shared" si="0"/>
        <v>36836.793055555558</v>
      </c>
      <c r="F14" t="s">
        <v>1</v>
      </c>
      <c r="G14" t="s">
        <v>2</v>
      </c>
      <c r="H14" t="s">
        <v>49</v>
      </c>
      <c r="I14" t="s">
        <v>4</v>
      </c>
      <c r="J14" t="s">
        <v>5</v>
      </c>
      <c r="K14" t="s">
        <v>6</v>
      </c>
      <c r="L14" t="s">
        <v>50</v>
      </c>
      <c r="M14" t="s">
        <v>8</v>
      </c>
      <c r="N14">
        <v>538.31100000000004</v>
      </c>
      <c r="O14">
        <v>1.6000000000000001E-3</v>
      </c>
      <c r="P14">
        <v>408441.11930000002</v>
      </c>
      <c r="Q14">
        <v>4117726.8804000001</v>
      </c>
      <c r="R14">
        <v>498.31110000000001</v>
      </c>
      <c r="T14" s="3">
        <f t="shared" si="1"/>
        <v>9.3962758546883504E-2</v>
      </c>
      <c r="U14" s="3">
        <f t="shared" si="2"/>
        <v>4.2426406871014503E-2</v>
      </c>
      <c r="W14" s="4">
        <v>36834.042708333334</v>
      </c>
      <c r="X14" s="3">
        <v>0.11662589765712639</v>
      </c>
      <c r="Y14" s="3">
        <v>8.4852813742056402E-2</v>
      </c>
    </row>
    <row r="15" spans="1:25" x14ac:dyDescent="0.25">
      <c r="A15">
        <v>11072</v>
      </c>
      <c r="B15" t="s">
        <v>0</v>
      </c>
      <c r="C15" s="1">
        <v>36837</v>
      </c>
      <c r="D15" s="2">
        <v>0.29305555555555557</v>
      </c>
      <c r="E15" s="4">
        <f t="shared" si="0"/>
        <v>36837.293055555558</v>
      </c>
      <c r="F15" t="s">
        <v>1</v>
      </c>
      <c r="G15" t="s">
        <v>2</v>
      </c>
      <c r="H15" t="s">
        <v>65</v>
      </c>
      <c r="I15" t="s">
        <v>4</v>
      </c>
      <c r="J15" t="s">
        <v>5</v>
      </c>
      <c r="K15" t="s">
        <v>6</v>
      </c>
      <c r="L15" t="s">
        <v>66</v>
      </c>
      <c r="M15" t="s">
        <v>8</v>
      </c>
      <c r="N15">
        <v>538.31669999999997</v>
      </c>
      <c r="O15">
        <v>3.0000000000000001E-3</v>
      </c>
      <c r="P15">
        <v>408441.16340000002</v>
      </c>
      <c r="Q15">
        <v>4117726.8966000001</v>
      </c>
      <c r="R15">
        <v>498.31669999999997</v>
      </c>
      <c r="T15" s="3">
        <f t="shared" si="1"/>
        <v>0.25280911988932636</v>
      </c>
      <c r="U15" s="3">
        <f t="shared" si="2"/>
        <v>8.4970828782031022E-2</v>
      </c>
      <c r="W15" s="4">
        <v>36834.292708333334</v>
      </c>
      <c r="X15" s="3">
        <v>0.11662589765712639</v>
      </c>
    </row>
    <row r="16" spans="1:25" x14ac:dyDescent="0.25">
      <c r="A16">
        <v>11073</v>
      </c>
      <c r="B16" t="s">
        <v>0</v>
      </c>
      <c r="C16" s="1">
        <v>36837</v>
      </c>
      <c r="D16" s="2">
        <v>0.54270833333333335</v>
      </c>
      <c r="E16" s="4">
        <f t="shared" si="0"/>
        <v>36837.542708333334</v>
      </c>
      <c r="F16" t="s">
        <v>1</v>
      </c>
      <c r="G16" t="s">
        <v>2</v>
      </c>
      <c r="H16" t="s">
        <v>63</v>
      </c>
      <c r="I16" t="s">
        <v>4</v>
      </c>
      <c r="J16" t="s">
        <v>5</v>
      </c>
      <c r="K16" t="s">
        <v>6</v>
      </c>
      <c r="L16" t="s">
        <v>64</v>
      </c>
      <c r="M16" t="s">
        <v>8</v>
      </c>
      <c r="N16">
        <v>538.25170000000003</v>
      </c>
      <c r="O16">
        <v>3.0000000000000001E-3</v>
      </c>
      <c r="P16">
        <v>408441.21720000001</v>
      </c>
      <c r="Q16">
        <v>4117726.9295999999</v>
      </c>
      <c r="R16">
        <v>498.25170000000003</v>
      </c>
      <c r="T16" s="3">
        <f t="shared" si="1"/>
        <v>0.17474575430057268</v>
      </c>
      <c r="U16" s="3">
        <f t="shared" si="2"/>
        <v>8.4735126066580804E-2</v>
      </c>
      <c r="W16" s="4">
        <v>36834.292708333334</v>
      </c>
      <c r="X16" s="3">
        <v>0.25196634700759779</v>
      </c>
      <c r="Y16" s="3">
        <v>8.4852813742056402E-2</v>
      </c>
    </row>
    <row r="17" spans="1:25" x14ac:dyDescent="0.25">
      <c r="A17">
        <v>11074</v>
      </c>
      <c r="B17" t="s">
        <v>0</v>
      </c>
      <c r="C17" s="1">
        <v>36837</v>
      </c>
      <c r="D17" s="2">
        <v>0.79305555555555562</v>
      </c>
      <c r="E17" s="4">
        <f t="shared" si="0"/>
        <v>36837.793055555558</v>
      </c>
      <c r="F17" t="s">
        <v>1</v>
      </c>
      <c r="G17" t="s">
        <v>2</v>
      </c>
      <c r="H17" t="s">
        <v>29</v>
      </c>
      <c r="I17" t="s">
        <v>4</v>
      </c>
      <c r="J17" t="s">
        <v>5</v>
      </c>
      <c r="K17" t="s">
        <v>6</v>
      </c>
      <c r="L17" t="s">
        <v>30</v>
      </c>
      <c r="M17" t="s">
        <v>8</v>
      </c>
      <c r="N17">
        <v>538.20399999999995</v>
      </c>
      <c r="O17">
        <v>1.1999999999999999E-3</v>
      </c>
      <c r="P17">
        <v>408441.24219999998</v>
      </c>
      <c r="Q17">
        <v>4117726.8936999999</v>
      </c>
      <c r="R17">
        <v>498.20399999999995</v>
      </c>
      <c r="T17" s="3">
        <f t="shared" si="1"/>
        <v>0.17230907155288072</v>
      </c>
      <c r="U17" s="3">
        <f t="shared" si="2"/>
        <v>8.4970828782031049E-2</v>
      </c>
      <c r="W17" s="4">
        <v>36834.542708333334</v>
      </c>
      <c r="X17" s="3">
        <v>0.25196634700759779</v>
      </c>
    </row>
    <row r="18" spans="1:25" x14ac:dyDescent="0.25">
      <c r="A18">
        <v>11081</v>
      </c>
      <c r="B18" t="s">
        <v>0</v>
      </c>
      <c r="C18" s="1">
        <v>36838</v>
      </c>
      <c r="D18" s="2">
        <v>4.2708333333333327E-2</v>
      </c>
      <c r="E18" s="4">
        <f t="shared" si="0"/>
        <v>36838.042708333334</v>
      </c>
      <c r="F18" t="s">
        <v>1</v>
      </c>
      <c r="G18" t="s">
        <v>2</v>
      </c>
      <c r="H18" t="s">
        <v>61</v>
      </c>
      <c r="I18" t="s">
        <v>4</v>
      </c>
      <c r="J18" t="s">
        <v>5</v>
      </c>
      <c r="K18" t="s">
        <v>6</v>
      </c>
      <c r="L18" t="s">
        <v>62</v>
      </c>
      <c r="M18" t="s">
        <v>8</v>
      </c>
      <c r="N18">
        <v>538.23260000000005</v>
      </c>
      <c r="O18">
        <v>2E-3</v>
      </c>
      <c r="P18">
        <v>408441.2659</v>
      </c>
      <c r="Q18">
        <v>4117726.9295999999</v>
      </c>
      <c r="R18">
        <v>498.23260000000005</v>
      </c>
      <c r="T18" s="3">
        <f t="shared" si="1"/>
        <v>0.19960040073723231</v>
      </c>
      <c r="U18" s="3">
        <f t="shared" si="2"/>
        <v>8.4852813742056443E-2</v>
      </c>
      <c r="W18" s="4">
        <v>36834.542708333334</v>
      </c>
      <c r="X18" s="3">
        <v>0.10438785823226024</v>
      </c>
      <c r="Y18" s="3">
        <v>2.1161768581371379E-2</v>
      </c>
    </row>
    <row r="19" spans="1:25" x14ac:dyDescent="0.25">
      <c r="A19">
        <v>11082</v>
      </c>
      <c r="B19" t="s">
        <v>0</v>
      </c>
      <c r="C19" s="1">
        <v>36838</v>
      </c>
      <c r="D19" s="2">
        <v>0.29270833333333335</v>
      </c>
      <c r="E19" s="4">
        <f t="shared" si="0"/>
        <v>36838.292708333334</v>
      </c>
      <c r="F19" t="s">
        <v>1</v>
      </c>
      <c r="G19" t="s">
        <v>2</v>
      </c>
      <c r="H19" t="s">
        <v>51</v>
      </c>
      <c r="I19" t="s">
        <v>4</v>
      </c>
      <c r="J19" t="s">
        <v>5</v>
      </c>
      <c r="K19" t="s">
        <v>6</v>
      </c>
      <c r="L19" t="s">
        <v>52</v>
      </c>
      <c r="M19" t="s">
        <v>8</v>
      </c>
      <c r="N19">
        <v>538.18380000000002</v>
      </c>
      <c r="O19">
        <v>1.8E-3</v>
      </c>
      <c r="P19">
        <v>408441.31579999998</v>
      </c>
      <c r="Q19">
        <v>4117726.9297000002</v>
      </c>
      <c r="R19">
        <v>498.18380000000002</v>
      </c>
      <c r="T19" s="3">
        <f t="shared" si="1"/>
        <v>0.21106548734109232</v>
      </c>
      <c r="U19" s="3">
        <f t="shared" si="2"/>
        <v>8.4852813742056443E-2</v>
      </c>
      <c r="W19" s="4">
        <v>36835.545138888891</v>
      </c>
      <c r="X19" s="3">
        <v>0.10438785823226024</v>
      </c>
    </row>
    <row r="20" spans="1:25" x14ac:dyDescent="0.25">
      <c r="A20">
        <v>11083</v>
      </c>
      <c r="B20" t="s">
        <v>0</v>
      </c>
      <c r="C20" s="1">
        <v>36838</v>
      </c>
      <c r="D20" s="2">
        <v>0.54270833333333335</v>
      </c>
      <c r="E20" s="4">
        <f t="shared" si="0"/>
        <v>36838.542708333334</v>
      </c>
      <c r="F20" t="s">
        <v>1</v>
      </c>
      <c r="G20" t="s">
        <v>2</v>
      </c>
      <c r="H20" t="s">
        <v>37</v>
      </c>
      <c r="I20" t="s">
        <v>4</v>
      </c>
      <c r="J20" t="s">
        <v>5</v>
      </c>
      <c r="K20" t="s">
        <v>6</v>
      </c>
      <c r="L20" t="s">
        <v>38</v>
      </c>
      <c r="M20" t="s">
        <v>8</v>
      </c>
      <c r="N20">
        <v>538.16769999999997</v>
      </c>
      <c r="O20">
        <v>1.4E-3</v>
      </c>
      <c r="P20">
        <v>408441.35849999997</v>
      </c>
      <c r="Q20">
        <v>4117726.9607000002</v>
      </c>
      <c r="R20">
        <v>498.16780000000006</v>
      </c>
      <c r="T20" s="3">
        <f t="shared" si="1"/>
        <v>0.29805153933572909</v>
      </c>
      <c r="U20" s="3">
        <f t="shared" si="2"/>
        <v>8.4852813742056443E-2</v>
      </c>
      <c r="W20" s="4">
        <v>36835.545138888891</v>
      </c>
      <c r="X20" s="3">
        <v>9.0300964873757147E-2</v>
      </c>
      <c r="Y20" s="3">
        <v>8.5685870819464688E-2</v>
      </c>
    </row>
    <row r="21" spans="1:25" x14ac:dyDescent="0.25">
      <c r="A21">
        <v>11084</v>
      </c>
      <c r="B21" t="s">
        <v>0</v>
      </c>
      <c r="C21" s="1">
        <v>36838</v>
      </c>
      <c r="D21" s="2">
        <v>0.79270833333333324</v>
      </c>
      <c r="E21" s="4">
        <f t="shared" si="0"/>
        <v>36838.792708333334</v>
      </c>
      <c r="F21" t="s">
        <v>1</v>
      </c>
      <c r="G21" t="s">
        <v>2</v>
      </c>
      <c r="H21" t="s">
        <v>43</v>
      </c>
      <c r="I21" t="s">
        <v>4</v>
      </c>
      <c r="J21" t="s">
        <v>5</v>
      </c>
      <c r="K21" t="s">
        <v>6</v>
      </c>
      <c r="L21" t="s">
        <v>44</v>
      </c>
      <c r="M21" t="s">
        <v>8</v>
      </c>
      <c r="N21">
        <v>538.12789999999995</v>
      </c>
      <c r="O21">
        <v>1.5E-3</v>
      </c>
      <c r="P21">
        <v>408441.43290000001</v>
      </c>
      <c r="Q21">
        <v>4117726.9566000002</v>
      </c>
      <c r="R21">
        <v>498.12800000000004</v>
      </c>
      <c r="T21" s="3">
        <f t="shared" si="1"/>
        <v>0.20765548402261932</v>
      </c>
      <c r="U21" s="3">
        <f t="shared" si="2"/>
        <v>8.4852813742056402E-2</v>
      </c>
      <c r="W21" s="4">
        <v>36835.792708333334</v>
      </c>
      <c r="X21" s="3">
        <v>9.0300964873757147E-2</v>
      </c>
    </row>
    <row r="22" spans="1:25" x14ac:dyDescent="0.25">
      <c r="A22">
        <v>11091</v>
      </c>
      <c r="B22" t="s">
        <v>0</v>
      </c>
      <c r="C22" s="1">
        <v>36839</v>
      </c>
      <c r="D22" s="2">
        <v>4.2708333333333327E-2</v>
      </c>
      <c r="E22" s="4">
        <f t="shared" si="0"/>
        <v>36839.042708333334</v>
      </c>
      <c r="F22" t="s">
        <v>1</v>
      </c>
      <c r="G22" t="s">
        <v>2</v>
      </c>
      <c r="H22" t="s">
        <v>59</v>
      </c>
      <c r="I22" t="s">
        <v>4</v>
      </c>
      <c r="J22" t="s">
        <v>5</v>
      </c>
      <c r="K22" t="s">
        <v>6</v>
      </c>
      <c r="L22" t="s">
        <v>60</v>
      </c>
      <c r="M22" t="s">
        <v>8</v>
      </c>
      <c r="N22">
        <v>538.13900000000001</v>
      </c>
      <c r="O22">
        <v>1.8E-3</v>
      </c>
      <c r="P22">
        <v>408441.38099999999</v>
      </c>
      <c r="Q22">
        <v>4117726.9553999999</v>
      </c>
      <c r="R22">
        <v>498.13909999999998</v>
      </c>
      <c r="T22" s="3">
        <f t="shared" si="1"/>
        <v>0.11794149971261372</v>
      </c>
      <c r="U22" s="3">
        <f t="shared" si="2"/>
        <v>1.8445706921441545E-3</v>
      </c>
      <c r="W22" s="4">
        <v>36835.792708333334</v>
      </c>
      <c r="X22" s="3">
        <v>0.10734186991873393</v>
      </c>
      <c r="Y22" s="3">
        <v>2.1205840296559988E-2</v>
      </c>
    </row>
    <row r="23" spans="1:25" x14ac:dyDescent="0.25">
      <c r="A23">
        <v>11202</v>
      </c>
      <c r="B23" t="s">
        <v>0</v>
      </c>
      <c r="C23" s="1">
        <v>36850</v>
      </c>
      <c r="D23" s="2">
        <v>0.54305555555555551</v>
      </c>
      <c r="E23" s="4">
        <f t="shared" si="0"/>
        <v>36850.543055555558</v>
      </c>
      <c r="F23" t="s">
        <v>1</v>
      </c>
      <c r="G23" t="s">
        <v>2</v>
      </c>
      <c r="H23" t="s">
        <v>13</v>
      </c>
      <c r="I23" t="s">
        <v>4</v>
      </c>
      <c r="J23" t="s">
        <v>5</v>
      </c>
      <c r="K23" t="s">
        <v>6</v>
      </c>
      <c r="L23" t="s">
        <v>14</v>
      </c>
      <c r="M23" t="s">
        <v>8</v>
      </c>
      <c r="N23">
        <v>537.69179999999994</v>
      </c>
      <c r="O23">
        <v>1E-3</v>
      </c>
      <c r="P23">
        <v>408442.67719999998</v>
      </c>
      <c r="Q23">
        <v>4117727.3549000002</v>
      </c>
      <c r="R23">
        <v>497.69190000000003</v>
      </c>
      <c r="T23" s="3">
        <f>SQRT((P24-P23)^2+(Q24-Q23)^2)/(C24+D24-C23-D23)</f>
        <v>9.3584566447790396E-2</v>
      </c>
      <c r="U23" s="3">
        <f t="shared" si="2"/>
        <v>8.4970828782031008E-2</v>
      </c>
      <c r="W23" s="4">
        <v>36836.793055555558</v>
      </c>
      <c r="X23" s="3">
        <v>0.10734186991873393</v>
      </c>
    </row>
    <row r="24" spans="1:25" x14ac:dyDescent="0.25">
      <c r="A24">
        <v>11203</v>
      </c>
      <c r="B24" t="s">
        <v>0</v>
      </c>
      <c r="C24" s="1">
        <v>36850</v>
      </c>
      <c r="D24" s="2">
        <v>0.79270833333333324</v>
      </c>
      <c r="E24" s="4">
        <f t="shared" si="0"/>
        <v>36850.792708333334</v>
      </c>
      <c r="F24" t="s">
        <v>1</v>
      </c>
      <c r="G24" t="s">
        <v>2</v>
      </c>
      <c r="H24" t="s">
        <v>9</v>
      </c>
      <c r="I24" t="s">
        <v>4</v>
      </c>
      <c r="J24" t="s">
        <v>5</v>
      </c>
      <c r="K24" t="s">
        <v>6</v>
      </c>
      <c r="L24" t="s">
        <v>10</v>
      </c>
      <c r="M24" t="s">
        <v>8</v>
      </c>
      <c r="N24">
        <v>537.6807</v>
      </c>
      <c r="O24">
        <v>8.9999999999999998E-4</v>
      </c>
      <c r="P24">
        <v>408442.70030000003</v>
      </c>
      <c r="Q24">
        <v>4117727.3583999998</v>
      </c>
      <c r="R24">
        <v>497.68079999999998</v>
      </c>
      <c r="T24" s="3">
        <f t="shared" si="1"/>
        <v>8.0791769356083759E-2</v>
      </c>
      <c r="U24" s="3">
        <f t="shared" si="2"/>
        <v>8.1968728839395794E-2</v>
      </c>
      <c r="W24" s="4">
        <v>36836.793055555558</v>
      </c>
      <c r="X24" s="3">
        <v>9.3962758546883504E-2</v>
      </c>
      <c r="Y24" s="3">
        <v>4.2426406871014503E-2</v>
      </c>
    </row>
    <row r="25" spans="1:25" x14ac:dyDescent="0.25">
      <c r="A25">
        <v>11204</v>
      </c>
      <c r="B25" t="s">
        <v>0</v>
      </c>
      <c r="C25" s="1">
        <v>36851</v>
      </c>
      <c r="D25" s="2">
        <v>5.1504629629629629E-2</v>
      </c>
      <c r="E25" s="4">
        <f t="shared" si="0"/>
        <v>36851.051504629628</v>
      </c>
      <c r="F25" t="s">
        <v>1</v>
      </c>
      <c r="G25" t="s">
        <v>2</v>
      </c>
      <c r="H25" t="s">
        <v>69</v>
      </c>
      <c r="I25" t="s">
        <v>4</v>
      </c>
      <c r="J25" t="s">
        <v>5</v>
      </c>
      <c r="K25" t="s">
        <v>6</v>
      </c>
      <c r="L25" t="s">
        <v>70</v>
      </c>
      <c r="M25" t="s">
        <v>8</v>
      </c>
      <c r="N25">
        <v>537.68899999999996</v>
      </c>
      <c r="O25">
        <v>3.2000000000000002E-3</v>
      </c>
      <c r="P25">
        <v>408442.72120000003</v>
      </c>
      <c r="Q25">
        <v>4117727.3590000002</v>
      </c>
      <c r="R25">
        <v>497.68910000000005</v>
      </c>
      <c r="T25" s="3">
        <f t="shared" si="1"/>
        <v>0.15405085615798919</v>
      </c>
      <c r="U25" s="3">
        <f t="shared" si="2"/>
        <v>8.7947254166418409E-2</v>
      </c>
      <c r="W25" s="4">
        <v>36837.293055555558</v>
      </c>
      <c r="X25" s="3">
        <v>9.3962758546883504E-2</v>
      </c>
    </row>
    <row r="26" spans="1:25" x14ac:dyDescent="0.25">
      <c r="A26">
        <v>11211</v>
      </c>
      <c r="B26" t="s">
        <v>0</v>
      </c>
      <c r="C26" s="1">
        <v>36851</v>
      </c>
      <c r="D26" s="2">
        <v>0.29270833333333335</v>
      </c>
      <c r="E26" s="4">
        <f t="shared" si="0"/>
        <v>36851.292708333334</v>
      </c>
      <c r="F26" t="s">
        <v>1</v>
      </c>
      <c r="G26" t="s">
        <v>2</v>
      </c>
      <c r="H26" t="s">
        <v>39</v>
      </c>
      <c r="I26" t="s">
        <v>4</v>
      </c>
      <c r="J26" t="s">
        <v>5</v>
      </c>
      <c r="K26" t="s">
        <v>6</v>
      </c>
      <c r="L26" t="s">
        <v>40</v>
      </c>
      <c r="M26" t="s">
        <v>8</v>
      </c>
      <c r="N26">
        <v>537.66869999999994</v>
      </c>
      <c r="O26">
        <v>1.4E-3</v>
      </c>
      <c r="P26">
        <v>408442.75569999998</v>
      </c>
      <c r="Q26">
        <v>4117727.3728</v>
      </c>
      <c r="R26">
        <v>497.66880000000003</v>
      </c>
      <c r="T26" s="3">
        <f t="shared" si="1"/>
        <v>0.16417600300985549</v>
      </c>
      <c r="U26" s="3">
        <f t="shared" si="2"/>
        <v>8.4852813742056443E-2</v>
      </c>
      <c r="W26" s="4">
        <v>36837.293055555558</v>
      </c>
      <c r="X26" s="3">
        <v>0.25280911988932636</v>
      </c>
      <c r="Y26" s="3">
        <v>8.4970828782031022E-2</v>
      </c>
    </row>
    <row r="27" spans="1:25" x14ac:dyDescent="0.25">
      <c r="A27">
        <v>11212</v>
      </c>
      <c r="B27" t="s">
        <v>0</v>
      </c>
      <c r="C27" s="1">
        <v>36851</v>
      </c>
      <c r="D27" s="2">
        <v>0.54270833333333335</v>
      </c>
      <c r="E27" s="4">
        <f t="shared" si="0"/>
        <v>36851.542708333334</v>
      </c>
      <c r="F27" t="s">
        <v>1</v>
      </c>
      <c r="G27" t="s">
        <v>2</v>
      </c>
      <c r="H27" t="s">
        <v>25</v>
      </c>
      <c r="I27" t="s">
        <v>4</v>
      </c>
      <c r="J27" t="s">
        <v>5</v>
      </c>
      <c r="K27" t="s">
        <v>6</v>
      </c>
      <c r="L27" t="s">
        <v>26</v>
      </c>
      <c r="M27" t="s">
        <v>8</v>
      </c>
      <c r="N27">
        <v>537.63469999999995</v>
      </c>
      <c r="O27">
        <v>1.1999999999999999E-3</v>
      </c>
      <c r="P27">
        <v>408442.7867</v>
      </c>
      <c r="Q27">
        <v>4117727.3997</v>
      </c>
      <c r="R27">
        <v>497.63480000000004</v>
      </c>
      <c r="T27" s="3">
        <f t="shared" si="1"/>
        <v>0.11770831116268647</v>
      </c>
      <c r="U27" s="3">
        <f t="shared" si="2"/>
        <v>8.4735126066580804E-2</v>
      </c>
      <c r="W27" s="4">
        <v>36837.542708333334</v>
      </c>
      <c r="X27" s="3">
        <v>0.25280911988932636</v>
      </c>
    </row>
    <row r="28" spans="1:25" x14ac:dyDescent="0.25">
      <c r="A28">
        <v>11213</v>
      </c>
      <c r="B28" t="s">
        <v>0</v>
      </c>
      <c r="C28" s="1">
        <v>36851</v>
      </c>
      <c r="D28" s="2">
        <v>0.79305555555555562</v>
      </c>
      <c r="E28" s="4">
        <f t="shared" si="0"/>
        <v>36851.793055555558</v>
      </c>
      <c r="F28" t="s">
        <v>1</v>
      </c>
      <c r="G28" t="s">
        <v>2</v>
      </c>
      <c r="H28" t="s">
        <v>27</v>
      </c>
      <c r="I28" t="s">
        <v>4</v>
      </c>
      <c r="J28" t="s">
        <v>5</v>
      </c>
      <c r="K28" t="s">
        <v>6</v>
      </c>
      <c r="L28" t="s">
        <v>28</v>
      </c>
      <c r="M28" t="s">
        <v>8</v>
      </c>
      <c r="N28">
        <v>537.64850000000001</v>
      </c>
      <c r="O28">
        <v>1.1999999999999999E-3</v>
      </c>
      <c r="P28">
        <v>408442.81170000002</v>
      </c>
      <c r="Q28">
        <v>4117727.3840999999</v>
      </c>
      <c r="R28">
        <v>497.64859999999999</v>
      </c>
      <c r="T28" s="3">
        <f t="shared" si="1"/>
        <v>0.16022753840583226</v>
      </c>
      <c r="U28" s="3">
        <f t="shared" si="2"/>
        <v>8.4970828782031049E-2</v>
      </c>
      <c r="W28" s="4">
        <v>36837.542708333334</v>
      </c>
      <c r="X28" s="3">
        <v>0.17474575430057268</v>
      </c>
      <c r="Y28" s="3">
        <v>8.4735126066580804E-2</v>
      </c>
    </row>
    <row r="29" spans="1:25" x14ac:dyDescent="0.25">
      <c r="A29">
        <v>11214</v>
      </c>
      <c r="B29" t="s">
        <v>0</v>
      </c>
      <c r="C29" s="1">
        <v>36852</v>
      </c>
      <c r="D29" s="2">
        <v>4.2708333333333327E-2</v>
      </c>
      <c r="E29" s="4">
        <f t="shared" si="0"/>
        <v>36852.042708333334</v>
      </c>
      <c r="F29" t="s">
        <v>1</v>
      </c>
      <c r="G29" t="s">
        <v>2</v>
      </c>
      <c r="H29" t="s">
        <v>55</v>
      </c>
      <c r="I29" t="s">
        <v>4</v>
      </c>
      <c r="J29" t="s">
        <v>5</v>
      </c>
      <c r="K29" t="s">
        <v>6</v>
      </c>
      <c r="L29" t="s">
        <v>56</v>
      </c>
      <c r="M29" t="s">
        <v>8</v>
      </c>
      <c r="N29">
        <v>537.67570000000001</v>
      </c>
      <c r="O29">
        <v>1.8E-3</v>
      </c>
      <c r="P29">
        <v>408442.84639999998</v>
      </c>
      <c r="Q29">
        <v>4117727.4040000001</v>
      </c>
      <c r="R29">
        <v>497.67579999999998</v>
      </c>
      <c r="T29" s="3">
        <f t="shared" si="1"/>
        <v>0.15286283534716189</v>
      </c>
      <c r="U29" s="3">
        <f t="shared" si="2"/>
        <v>8.4735126066580804E-2</v>
      </c>
      <c r="W29" s="4">
        <v>36837.793055555558</v>
      </c>
      <c r="X29" s="3">
        <v>0.17474575430057268</v>
      </c>
    </row>
    <row r="30" spans="1:25" x14ac:dyDescent="0.25">
      <c r="A30">
        <v>11221</v>
      </c>
      <c r="B30" t="s">
        <v>0</v>
      </c>
      <c r="C30" s="1">
        <v>36852</v>
      </c>
      <c r="D30" s="2">
        <v>0.29305555555555557</v>
      </c>
      <c r="E30" s="4">
        <f t="shared" si="0"/>
        <v>36852.293055555558</v>
      </c>
      <c r="F30" t="s">
        <v>1</v>
      </c>
      <c r="G30" t="s">
        <v>2</v>
      </c>
      <c r="H30" t="s">
        <v>75</v>
      </c>
      <c r="I30" t="s">
        <v>4</v>
      </c>
      <c r="J30" t="s">
        <v>5</v>
      </c>
      <c r="K30" t="s">
        <v>6</v>
      </c>
      <c r="L30" t="s">
        <v>76</v>
      </c>
      <c r="M30" t="s">
        <v>8</v>
      </c>
      <c r="N30">
        <v>537.66369999999995</v>
      </c>
      <c r="O30">
        <v>4.1000000000000003E-3</v>
      </c>
      <c r="P30">
        <v>408442.88250000001</v>
      </c>
      <c r="Q30">
        <v>4117727.4166999999</v>
      </c>
      <c r="R30">
        <v>497.66380000000004</v>
      </c>
      <c r="T30" s="3">
        <f t="shared" si="1"/>
        <v>7.3715127235777153E-2</v>
      </c>
      <c r="U30" s="3">
        <f t="shared" si="2"/>
        <v>8.4852813741672292E-2</v>
      </c>
      <c r="W30" s="4">
        <v>36837.793055555558</v>
      </c>
      <c r="X30" s="3">
        <v>0.17230907155288072</v>
      </c>
      <c r="Y30" s="3">
        <v>8.4970828782031049E-2</v>
      </c>
    </row>
    <row r="31" spans="1:25" x14ac:dyDescent="0.25">
      <c r="A31">
        <v>11222</v>
      </c>
      <c r="B31" t="s">
        <v>0</v>
      </c>
      <c r="C31" s="1">
        <v>36852</v>
      </c>
      <c r="D31" s="2">
        <v>0.54305555555555551</v>
      </c>
      <c r="E31" s="4">
        <f t="shared" si="0"/>
        <v>36852.543055555558</v>
      </c>
      <c r="F31" t="s">
        <v>1</v>
      </c>
      <c r="G31" t="s">
        <v>2</v>
      </c>
      <c r="H31" t="s">
        <v>47</v>
      </c>
      <c r="I31" t="s">
        <v>4</v>
      </c>
      <c r="J31" t="s">
        <v>5</v>
      </c>
      <c r="K31" t="s">
        <v>6</v>
      </c>
      <c r="L31" t="s">
        <v>48</v>
      </c>
      <c r="M31" t="s">
        <v>8</v>
      </c>
      <c r="N31">
        <v>537.59450000000004</v>
      </c>
      <c r="O31">
        <v>1.6000000000000001E-3</v>
      </c>
      <c r="P31">
        <v>408442.89640000003</v>
      </c>
      <c r="Q31">
        <v>4117727.4287999999</v>
      </c>
      <c r="R31">
        <v>497.59460000000001</v>
      </c>
      <c r="T31" s="3">
        <f t="shared" si="1"/>
        <v>8.9202734302089318E-2</v>
      </c>
      <c r="U31" s="3">
        <f t="shared" si="2"/>
        <v>8.4970828782031008E-2</v>
      </c>
      <c r="W31" s="4">
        <v>36838.042708333334</v>
      </c>
      <c r="X31" s="3">
        <v>0.17230907155288072</v>
      </c>
    </row>
    <row r="32" spans="1:25" x14ac:dyDescent="0.25">
      <c r="A32">
        <v>11223</v>
      </c>
      <c r="B32" t="s">
        <v>0</v>
      </c>
      <c r="C32" s="1">
        <v>36852</v>
      </c>
      <c r="D32" s="2">
        <v>0.79270833333333324</v>
      </c>
      <c r="E32" s="4">
        <f t="shared" si="0"/>
        <v>36852.792708333334</v>
      </c>
      <c r="F32" t="s">
        <v>1</v>
      </c>
      <c r="G32" t="s">
        <v>2</v>
      </c>
      <c r="H32" t="s">
        <v>23</v>
      </c>
      <c r="I32" t="s">
        <v>4</v>
      </c>
      <c r="J32" t="s">
        <v>5</v>
      </c>
      <c r="K32" t="s">
        <v>6</v>
      </c>
      <c r="L32" t="s">
        <v>24</v>
      </c>
      <c r="M32" t="s">
        <v>8</v>
      </c>
      <c r="N32">
        <v>537.54840000000002</v>
      </c>
      <c r="O32">
        <v>1.1000000000000001E-3</v>
      </c>
      <c r="P32">
        <v>408442.91690000001</v>
      </c>
      <c r="Q32">
        <v>4117727.4375</v>
      </c>
      <c r="R32">
        <v>497.54849999999999</v>
      </c>
      <c r="T32" s="3">
        <f t="shared" si="1"/>
        <v>0.17488784965105217</v>
      </c>
      <c r="U32" s="3">
        <f t="shared" si="2"/>
        <v>8.4852813742056402E-2</v>
      </c>
      <c r="W32" s="4">
        <v>36838.042708333334</v>
      </c>
      <c r="X32" s="3">
        <v>0.19960040073723231</v>
      </c>
      <c r="Y32" s="3">
        <v>8.4852813742056443E-2</v>
      </c>
    </row>
    <row r="33" spans="1:25" x14ac:dyDescent="0.25">
      <c r="A33">
        <v>11224</v>
      </c>
      <c r="B33" t="s">
        <v>0</v>
      </c>
      <c r="C33" s="1">
        <v>36853</v>
      </c>
      <c r="D33" s="2">
        <v>4.2708333333333327E-2</v>
      </c>
      <c r="E33" s="4">
        <f t="shared" si="0"/>
        <v>36853.042708333334</v>
      </c>
      <c r="F33" t="s">
        <v>1</v>
      </c>
      <c r="G33" t="s">
        <v>2</v>
      </c>
      <c r="H33" t="s">
        <v>57</v>
      </c>
      <c r="I33" t="s">
        <v>4</v>
      </c>
      <c r="J33" t="s">
        <v>5</v>
      </c>
      <c r="K33" t="s">
        <v>6</v>
      </c>
      <c r="L33" t="s">
        <v>58</v>
      </c>
      <c r="M33" t="s">
        <v>8</v>
      </c>
      <c r="N33">
        <v>537.56619999999998</v>
      </c>
      <c r="O33">
        <v>1.8E-3</v>
      </c>
      <c r="P33">
        <v>408442.96039999998</v>
      </c>
      <c r="Q33">
        <v>4117727.4331</v>
      </c>
      <c r="R33">
        <v>497.56629999999996</v>
      </c>
      <c r="T33" s="3">
        <f t="shared" si="1"/>
        <v>0.14454673992484462</v>
      </c>
      <c r="U33" s="3">
        <f t="shared" si="2"/>
        <v>8.4852813742056443E-2</v>
      </c>
      <c r="W33" s="4">
        <v>36838.292708333334</v>
      </c>
      <c r="X33" s="3">
        <v>0.19960040073723231</v>
      </c>
    </row>
    <row r="34" spans="1:25" x14ac:dyDescent="0.25">
      <c r="A34">
        <v>11231</v>
      </c>
      <c r="B34" t="s">
        <v>0</v>
      </c>
      <c r="C34" s="1">
        <v>36853</v>
      </c>
      <c r="D34" s="2">
        <v>0.29270833333333335</v>
      </c>
      <c r="E34" s="4">
        <f t="shared" si="0"/>
        <v>36853.292708333334</v>
      </c>
      <c r="F34" t="s">
        <v>1</v>
      </c>
      <c r="G34" t="s">
        <v>2</v>
      </c>
      <c r="H34" t="s">
        <v>73</v>
      </c>
      <c r="I34" t="s">
        <v>4</v>
      </c>
      <c r="J34" t="s">
        <v>5</v>
      </c>
      <c r="K34" t="s">
        <v>6</v>
      </c>
      <c r="L34" t="s">
        <v>74</v>
      </c>
      <c r="M34" t="s">
        <v>8</v>
      </c>
      <c r="N34">
        <v>537.53189999999995</v>
      </c>
      <c r="O34">
        <v>4.0000000000000001E-3</v>
      </c>
      <c r="P34">
        <v>408442.99349999998</v>
      </c>
      <c r="Q34">
        <v>4117727.4186</v>
      </c>
      <c r="R34">
        <v>497.53200000000004</v>
      </c>
      <c r="T34" s="3">
        <f t="shared" si="1"/>
        <v>0.21880000084553691</v>
      </c>
      <c r="U34" s="3">
        <f t="shared" si="2"/>
        <v>8.4852813742056443E-2</v>
      </c>
      <c r="W34" s="4">
        <v>36838.292708333334</v>
      </c>
      <c r="X34" s="3">
        <v>0.21106548734109232</v>
      </c>
      <c r="Y34" s="3">
        <v>8.4852813742056443E-2</v>
      </c>
    </row>
    <row r="35" spans="1:25" x14ac:dyDescent="0.25">
      <c r="A35">
        <v>11232</v>
      </c>
      <c r="B35" t="s">
        <v>0</v>
      </c>
      <c r="C35" s="1">
        <v>36853</v>
      </c>
      <c r="D35" s="2">
        <v>0.54270833333333335</v>
      </c>
      <c r="E35" s="4">
        <f t="shared" si="0"/>
        <v>36853.542708333334</v>
      </c>
      <c r="F35" t="s">
        <v>1</v>
      </c>
      <c r="G35" t="s">
        <v>2</v>
      </c>
      <c r="H35" t="s">
        <v>71</v>
      </c>
      <c r="I35" t="s">
        <v>4</v>
      </c>
      <c r="J35" t="s">
        <v>5</v>
      </c>
      <c r="K35" t="s">
        <v>6</v>
      </c>
      <c r="L35" t="s">
        <v>72</v>
      </c>
      <c r="M35" t="s">
        <v>8</v>
      </c>
      <c r="N35">
        <v>537.49570000000006</v>
      </c>
      <c r="O35">
        <v>3.2000000000000002E-3</v>
      </c>
      <c r="P35">
        <v>408442.99349999998</v>
      </c>
      <c r="Q35">
        <v>4117727.4733000002</v>
      </c>
      <c r="R35">
        <v>497.49580000000003</v>
      </c>
      <c r="T35" s="3">
        <f t="shared" si="1"/>
        <v>0.12181814641666</v>
      </c>
      <c r="U35" s="3">
        <f t="shared" si="2"/>
        <v>1.6970562748463969E-2</v>
      </c>
      <c r="W35" s="4">
        <v>36838.542708333334</v>
      </c>
      <c r="X35" s="3">
        <v>0.21106548734109232</v>
      </c>
    </row>
    <row r="36" spans="1:25" x14ac:dyDescent="0.25">
      <c r="A36">
        <v>11243</v>
      </c>
      <c r="B36" t="s">
        <v>0</v>
      </c>
      <c r="C36" s="1">
        <v>36854</v>
      </c>
      <c r="D36" s="2">
        <v>0.79270833333333324</v>
      </c>
      <c r="E36" s="4">
        <f t="shared" si="0"/>
        <v>36854.792708333334</v>
      </c>
      <c r="F36" t="s">
        <v>1</v>
      </c>
      <c r="G36" t="s">
        <v>2</v>
      </c>
      <c r="H36" t="s">
        <v>3</v>
      </c>
      <c r="I36" t="s">
        <v>4</v>
      </c>
      <c r="J36" t="s">
        <v>5</v>
      </c>
      <c r="K36" t="s">
        <v>6</v>
      </c>
      <c r="L36" t="s">
        <v>7</v>
      </c>
      <c r="M36" t="s">
        <v>8</v>
      </c>
      <c r="N36">
        <v>537.40959999999995</v>
      </c>
      <c r="O36">
        <v>8.0000000000000004E-4</v>
      </c>
      <c r="P36">
        <v>408443.14439999999</v>
      </c>
      <c r="Q36">
        <v>4117727.4937</v>
      </c>
      <c r="R36">
        <v>497.40959999999995</v>
      </c>
      <c r="T36" s="3">
        <f t="shared" si="1"/>
        <v>2.4298148656651419E-2</v>
      </c>
      <c r="U36" s="3">
        <f t="shared" si="2"/>
        <v>8.4852813742056402E-2</v>
      </c>
      <c r="W36" s="4">
        <v>36838.542708333334</v>
      </c>
      <c r="X36" s="3">
        <v>0.29805153933572909</v>
      </c>
      <c r="Y36" s="3">
        <v>8.4852813742056443E-2</v>
      </c>
    </row>
    <row r="37" spans="1:25" x14ac:dyDescent="0.25">
      <c r="A37">
        <v>11244</v>
      </c>
      <c r="B37" t="s">
        <v>0</v>
      </c>
      <c r="C37" s="1">
        <v>36855</v>
      </c>
      <c r="D37" s="2">
        <v>4.2708333333333327E-2</v>
      </c>
      <c r="E37" s="4">
        <f t="shared" si="0"/>
        <v>36855.042708333334</v>
      </c>
      <c r="F37" t="s">
        <v>1</v>
      </c>
      <c r="G37" t="s">
        <v>2</v>
      </c>
      <c r="H37" t="s">
        <v>21</v>
      </c>
      <c r="I37" t="s">
        <v>4</v>
      </c>
      <c r="J37" t="s">
        <v>5</v>
      </c>
      <c r="K37" t="s">
        <v>6</v>
      </c>
      <c r="L37" t="s">
        <v>22</v>
      </c>
      <c r="M37" t="s">
        <v>8</v>
      </c>
      <c r="N37">
        <v>537.41570000000002</v>
      </c>
      <c r="O37">
        <v>1.1000000000000001E-3</v>
      </c>
      <c r="P37">
        <v>408443.14769999997</v>
      </c>
      <c r="Q37">
        <v>4117727.4885999998</v>
      </c>
      <c r="R37">
        <v>497.41579999999999</v>
      </c>
      <c r="T37" s="3">
        <f t="shared" si="1"/>
        <v>0.26311366408658587</v>
      </c>
      <c r="U37" s="3">
        <f t="shared" si="2"/>
        <v>8.4852813742056443E-2</v>
      </c>
      <c r="W37" s="4">
        <v>36838.792708333334</v>
      </c>
      <c r="X37" s="3">
        <v>0.29805153933572909</v>
      </c>
    </row>
    <row r="38" spans="1:25" x14ac:dyDescent="0.25">
      <c r="A38">
        <v>11251</v>
      </c>
      <c r="B38" t="s">
        <v>0</v>
      </c>
      <c r="C38" s="1">
        <v>36855</v>
      </c>
      <c r="D38" s="2">
        <v>0.29270833333333335</v>
      </c>
      <c r="E38" s="4">
        <f t="shared" si="0"/>
        <v>36855.292708333334</v>
      </c>
      <c r="F38" t="s">
        <v>1</v>
      </c>
      <c r="G38" t="s">
        <v>2</v>
      </c>
      <c r="H38" t="s">
        <v>67</v>
      </c>
      <c r="I38" t="s">
        <v>4</v>
      </c>
      <c r="J38" t="s">
        <v>5</v>
      </c>
      <c r="K38" t="s">
        <v>6</v>
      </c>
      <c r="L38" t="s">
        <v>68</v>
      </c>
      <c r="M38" t="s">
        <v>8</v>
      </c>
      <c r="N38">
        <v>537.35440000000006</v>
      </c>
      <c r="O38">
        <v>3.0999999999999999E-3</v>
      </c>
      <c r="P38">
        <v>408443.20549999998</v>
      </c>
      <c r="Q38">
        <v>4117727.52</v>
      </c>
      <c r="R38">
        <v>497.35450000000003</v>
      </c>
      <c r="W38" s="4">
        <v>36838.792708333334</v>
      </c>
      <c r="X38" s="3">
        <v>0.20765548402261932</v>
      </c>
      <c r="Y38" s="3">
        <v>8.4852813742056402E-2</v>
      </c>
    </row>
    <row r="39" spans="1:25" x14ac:dyDescent="0.25">
      <c r="W39" s="4">
        <v>36839.042708333334</v>
      </c>
      <c r="X39" s="3">
        <v>0.20765548402261932</v>
      </c>
    </row>
    <row r="40" spans="1:25" x14ac:dyDescent="0.25">
      <c r="W40" s="4">
        <v>36839.042708333334</v>
      </c>
      <c r="X40" s="3">
        <v>0.11794149971261372</v>
      </c>
      <c r="Y40" s="3">
        <v>1.8445706921441545E-3</v>
      </c>
    </row>
    <row r="41" spans="1:25" x14ac:dyDescent="0.25">
      <c r="W41" s="4">
        <v>36850.543055555558</v>
      </c>
      <c r="X41" s="3">
        <v>0.11794149971261372</v>
      </c>
    </row>
    <row r="42" spans="1:25" x14ac:dyDescent="0.25">
      <c r="W42" s="4">
        <v>36850.543055555558</v>
      </c>
      <c r="X42" s="3">
        <v>9.3584566447790396E-2</v>
      </c>
      <c r="Y42" s="3">
        <v>8.4970828782031008E-2</v>
      </c>
    </row>
    <row r="43" spans="1:25" x14ac:dyDescent="0.25">
      <c r="W43" s="4">
        <v>36850.792708333334</v>
      </c>
      <c r="X43" s="3">
        <v>9.3584566447790396E-2</v>
      </c>
    </row>
    <row r="44" spans="1:25" x14ac:dyDescent="0.25">
      <c r="W44" s="4">
        <v>36850.792708333334</v>
      </c>
      <c r="X44" s="3">
        <v>8.0791769356083759E-2</v>
      </c>
      <c r="Y44" s="3">
        <v>8.1968728839395794E-2</v>
      </c>
    </row>
    <row r="45" spans="1:25" x14ac:dyDescent="0.25">
      <c r="W45" s="4">
        <v>36851.051504629628</v>
      </c>
      <c r="X45" s="3">
        <v>8.0791769356083759E-2</v>
      </c>
    </row>
    <row r="46" spans="1:25" x14ac:dyDescent="0.25">
      <c r="W46" s="4">
        <v>36851.051504629628</v>
      </c>
      <c r="X46" s="3">
        <v>0.15405085615798919</v>
      </c>
      <c r="Y46" s="3">
        <v>8.7947254166418409E-2</v>
      </c>
    </row>
    <row r="47" spans="1:25" x14ac:dyDescent="0.25">
      <c r="W47" s="4">
        <v>36851.292708333334</v>
      </c>
      <c r="X47" s="3">
        <v>0.15405085615798919</v>
      </c>
    </row>
    <row r="48" spans="1:25" x14ac:dyDescent="0.25">
      <c r="W48" s="4">
        <v>36851.292708333334</v>
      </c>
      <c r="X48" s="3">
        <v>0.16417600300985549</v>
      </c>
      <c r="Y48" s="3">
        <v>8.4852813742056443E-2</v>
      </c>
    </row>
    <row r="49" spans="23:25" x14ac:dyDescent="0.25">
      <c r="W49" s="4">
        <v>36851.542708333334</v>
      </c>
      <c r="X49" s="3">
        <v>0.16417600300985549</v>
      </c>
    </row>
    <row r="50" spans="23:25" x14ac:dyDescent="0.25">
      <c r="W50" s="4">
        <v>36851.542708333334</v>
      </c>
      <c r="X50" s="3">
        <v>0.11770831116268647</v>
      </c>
      <c r="Y50" s="3">
        <v>8.4735126066580804E-2</v>
      </c>
    </row>
    <row r="51" spans="23:25" x14ac:dyDescent="0.25">
      <c r="W51" s="4">
        <v>36851.793055555558</v>
      </c>
      <c r="X51" s="3">
        <v>0.11770831116268647</v>
      </c>
    </row>
    <row r="52" spans="23:25" x14ac:dyDescent="0.25">
      <c r="W52" s="4">
        <v>36851.793055555558</v>
      </c>
      <c r="X52" s="3">
        <v>0.16022753840583226</v>
      </c>
      <c r="Y52" s="3">
        <v>8.4970828782031049E-2</v>
      </c>
    </row>
    <row r="53" spans="23:25" x14ac:dyDescent="0.25">
      <c r="W53" s="4">
        <v>36852.042708333334</v>
      </c>
      <c r="X53" s="3">
        <v>0.16022753840583226</v>
      </c>
    </row>
    <row r="54" spans="23:25" x14ac:dyDescent="0.25">
      <c r="W54" s="4">
        <v>36852.042708333334</v>
      </c>
      <c r="X54" s="3">
        <v>0.15286283534716189</v>
      </c>
      <c r="Y54" s="3">
        <v>8.4735126066580804E-2</v>
      </c>
    </row>
    <row r="55" spans="23:25" x14ac:dyDescent="0.25">
      <c r="W55" s="4">
        <v>36852.293055555558</v>
      </c>
      <c r="X55" s="3">
        <v>0.15286283534716189</v>
      </c>
    </row>
    <row r="56" spans="23:25" x14ac:dyDescent="0.25">
      <c r="W56" s="4">
        <v>36852.293055555558</v>
      </c>
      <c r="X56" s="3">
        <v>7.3715127235777153E-2</v>
      </c>
      <c r="Y56" s="3">
        <v>8.4852813741672292E-2</v>
      </c>
    </row>
    <row r="57" spans="23:25" x14ac:dyDescent="0.25">
      <c r="W57" s="4">
        <v>36852.543055555558</v>
      </c>
      <c r="X57" s="3">
        <v>7.3715127235777153E-2</v>
      </c>
    </row>
    <row r="58" spans="23:25" x14ac:dyDescent="0.25">
      <c r="W58" s="4">
        <v>36852.543055555558</v>
      </c>
      <c r="X58" s="3">
        <v>8.9202734302089318E-2</v>
      </c>
      <c r="Y58" s="3">
        <v>8.4970828782031008E-2</v>
      </c>
    </row>
    <row r="59" spans="23:25" x14ac:dyDescent="0.25">
      <c r="W59" s="4">
        <v>36852.792708333334</v>
      </c>
      <c r="X59" s="3">
        <v>8.9202734302089318E-2</v>
      </c>
    </row>
    <row r="60" spans="23:25" x14ac:dyDescent="0.25">
      <c r="W60" s="4">
        <v>36852.792708333334</v>
      </c>
      <c r="X60" s="3">
        <v>0.17488784965105217</v>
      </c>
      <c r="Y60" s="3">
        <v>8.4852813742056402E-2</v>
      </c>
    </row>
    <row r="61" spans="23:25" x14ac:dyDescent="0.25">
      <c r="W61" s="4">
        <v>36853.042708333334</v>
      </c>
      <c r="X61" s="3">
        <v>0.17488784965105217</v>
      </c>
    </row>
    <row r="62" spans="23:25" x14ac:dyDescent="0.25">
      <c r="W62" s="4">
        <v>36853.042708333334</v>
      </c>
      <c r="X62" s="3">
        <v>0.14454673992484462</v>
      </c>
      <c r="Y62" s="3">
        <v>8.4852813742056443E-2</v>
      </c>
    </row>
    <row r="63" spans="23:25" x14ac:dyDescent="0.25">
      <c r="W63" s="4">
        <v>36853.292708333334</v>
      </c>
      <c r="X63" s="3">
        <v>0.14454673992484462</v>
      </c>
    </row>
    <row r="64" spans="23:25" x14ac:dyDescent="0.25">
      <c r="W64" s="4">
        <v>36853.292708333334</v>
      </c>
      <c r="X64" s="3">
        <v>0.21880000084553691</v>
      </c>
      <c r="Y64" s="3">
        <v>8.4852813742056443E-2</v>
      </c>
    </row>
    <row r="65" spans="23:25" x14ac:dyDescent="0.25">
      <c r="W65" s="4">
        <v>36853.542708333334</v>
      </c>
      <c r="X65" s="3">
        <v>0.21880000084553691</v>
      </c>
    </row>
    <row r="66" spans="23:25" x14ac:dyDescent="0.25">
      <c r="W66" s="4">
        <v>36853.542708333334</v>
      </c>
      <c r="X66" s="3">
        <v>0.12181814641666</v>
      </c>
      <c r="Y66" s="3">
        <v>1.6970562748463969E-2</v>
      </c>
    </row>
    <row r="67" spans="23:25" x14ac:dyDescent="0.25">
      <c r="W67" s="4">
        <v>36854.792708333334</v>
      </c>
      <c r="X67" s="3">
        <v>0.12181814641666</v>
      </c>
    </row>
    <row r="68" spans="23:25" x14ac:dyDescent="0.25">
      <c r="W68" s="4">
        <v>36854.792708333334</v>
      </c>
      <c r="X68" s="3">
        <v>2.4298148656651419E-2</v>
      </c>
      <c r="Y68" s="3">
        <v>8.4852813742056402E-2</v>
      </c>
    </row>
    <row r="69" spans="23:25" x14ac:dyDescent="0.25">
      <c r="W69" s="4">
        <v>36855.042708333334</v>
      </c>
      <c r="X69" s="3">
        <v>2.4298148656651419E-2</v>
      </c>
    </row>
    <row r="70" spans="23:25" x14ac:dyDescent="0.25">
      <c r="W70" s="4">
        <v>36855.042708333334</v>
      </c>
      <c r="X70" s="3">
        <v>0.26311366408658587</v>
      </c>
      <c r="Y70" s="3">
        <v>8.4852813742056443E-2</v>
      </c>
    </row>
    <row r="71" spans="23:25" x14ac:dyDescent="0.25">
      <c r="W71" s="4">
        <v>36855.292708333334</v>
      </c>
      <c r="X71" s="3">
        <v>0.26311366408658587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daily</vt:lpstr>
      <vt:lpstr>Velocity graph</vt:lpstr>
      <vt:lpstr>Vert. pos. graph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mtruffer</dc:creator>
  <cp:lastModifiedBy>Dave Connell</cp:lastModifiedBy>
  <cp:lastPrinted>2001-03-26T05:32:37Z</cp:lastPrinted>
  <dcterms:created xsi:type="dcterms:W3CDTF">2001-02-14T07:34:25Z</dcterms:created>
  <dcterms:modified xsi:type="dcterms:W3CDTF">2020-12-11T05:14:38Z</dcterms:modified>
</cp:coreProperties>
</file>