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atasets\science\ASAC_1158\Brown\Final Results\Glacier velocities\"/>
    </mc:Choice>
  </mc:AlternateContent>
  <bookViews>
    <workbookView xWindow="480" yWindow="108" windowWidth="9324" windowHeight="10020" tabRatio="812" firstSheet="1" activeTab="1"/>
  </bookViews>
  <sheets>
    <sheet name="GPSpoints" sheetId="1" r:id="rId1"/>
    <sheet name="Emergence" sheetId="3" r:id="rId2"/>
    <sheet name="Velocity" sheetId="2" r:id="rId3"/>
  </sheets>
  <calcPr calcId="162913"/>
</workbook>
</file>

<file path=xl/calcChain.xml><?xml version="1.0" encoding="utf-8"?>
<calcChain xmlns="http://schemas.openxmlformats.org/spreadsheetml/2006/main">
  <c r="H4" i="2" l="1"/>
  <c r="H5" i="2"/>
  <c r="J5" i="2"/>
  <c r="K5" i="2"/>
  <c r="L5" i="2"/>
  <c r="H6" i="2"/>
  <c r="L6" i="2" s="1"/>
  <c r="O6" i="2" s="1"/>
  <c r="P6" i="2" s="1"/>
  <c r="J6" i="2"/>
  <c r="K6" i="2"/>
  <c r="M6" i="2"/>
  <c r="H7" i="2"/>
  <c r="H8" i="2"/>
  <c r="L8" i="2" s="1"/>
  <c r="J8" i="2"/>
  <c r="K8" i="2"/>
  <c r="H9" i="2"/>
  <c r="M9" i="2" s="1"/>
  <c r="J9" i="2"/>
  <c r="K9" i="2"/>
  <c r="L9" i="2"/>
  <c r="O9" i="2"/>
  <c r="P9" i="2" s="1"/>
  <c r="H10" i="2"/>
  <c r="H11" i="2"/>
  <c r="J11" i="2"/>
  <c r="K11" i="2"/>
  <c r="L11" i="2"/>
  <c r="H12" i="2"/>
  <c r="L12" i="2" s="1"/>
  <c r="O12" i="2" s="1"/>
  <c r="P12" i="2" s="1"/>
  <c r="J12" i="2"/>
  <c r="K12" i="2"/>
  <c r="M12" i="2"/>
  <c r="H13" i="2"/>
  <c r="H14" i="2"/>
  <c r="L14" i="2" s="1"/>
  <c r="J14" i="2"/>
  <c r="K14" i="2"/>
  <c r="H15" i="2"/>
  <c r="M15" i="2" s="1"/>
  <c r="J15" i="2"/>
  <c r="K15" i="2"/>
  <c r="L15" i="2"/>
  <c r="O15" i="2"/>
  <c r="P15" i="2" s="1"/>
  <c r="H16" i="2"/>
  <c r="H17" i="2"/>
  <c r="J17" i="2"/>
  <c r="K17" i="2"/>
  <c r="L17" i="2"/>
  <c r="H18" i="2"/>
  <c r="L18" i="2" s="1"/>
  <c r="O18" i="2" s="1"/>
  <c r="P18" i="2" s="1"/>
  <c r="J18" i="2"/>
  <c r="K18" i="2"/>
  <c r="M18" i="2"/>
  <c r="H19" i="2"/>
  <c r="H20" i="2"/>
  <c r="L20" i="2" s="1"/>
  <c r="J20" i="2"/>
  <c r="K20" i="2"/>
  <c r="H21" i="2"/>
  <c r="M21" i="2" s="1"/>
  <c r="J21" i="2"/>
  <c r="K21" i="2"/>
  <c r="L21" i="2"/>
  <c r="O21" i="2"/>
  <c r="P21" i="2" s="1"/>
  <c r="H22" i="2"/>
  <c r="H23" i="2"/>
  <c r="J23" i="2"/>
  <c r="K23" i="2"/>
  <c r="L23" i="2"/>
  <c r="H24" i="2"/>
  <c r="L24" i="2" s="1"/>
  <c r="O24" i="2" s="1"/>
  <c r="P24" i="2" s="1"/>
  <c r="J24" i="2"/>
  <c r="K24" i="2"/>
  <c r="M24" i="2"/>
  <c r="H25" i="2"/>
  <c r="H26" i="2"/>
  <c r="L26" i="2" s="1"/>
  <c r="J26" i="2"/>
  <c r="K26" i="2"/>
  <c r="H27" i="2"/>
  <c r="M27" i="2" s="1"/>
  <c r="J27" i="2"/>
  <c r="K27" i="2"/>
  <c r="L27" i="2"/>
  <c r="O27" i="2"/>
  <c r="P27" i="2" s="1"/>
  <c r="H28" i="2"/>
  <c r="H29" i="2"/>
  <c r="J29" i="2"/>
  <c r="K29" i="2"/>
  <c r="L29" i="2"/>
  <c r="H30" i="2"/>
  <c r="L30" i="2" s="1"/>
  <c r="O30" i="2" s="1"/>
  <c r="P30" i="2" s="1"/>
  <c r="J30" i="2"/>
  <c r="K30" i="2"/>
  <c r="M30" i="2"/>
  <c r="H31" i="2"/>
  <c r="H32" i="2"/>
  <c r="L32" i="2" s="1"/>
  <c r="J32" i="2"/>
  <c r="K32" i="2"/>
  <c r="H33" i="2"/>
  <c r="M33" i="2" s="1"/>
  <c r="J33" i="2"/>
  <c r="K33" i="2"/>
  <c r="L33" i="2"/>
  <c r="O33" i="2"/>
  <c r="P33" i="2" s="1"/>
  <c r="H34" i="2"/>
  <c r="H35" i="2"/>
  <c r="K35" i="2"/>
  <c r="H36" i="2"/>
  <c r="J36" i="2"/>
  <c r="K36" i="2"/>
  <c r="L36" i="2"/>
  <c r="H37" i="2"/>
  <c r="K37" i="2"/>
  <c r="H38" i="2"/>
  <c r="K38" i="2"/>
  <c r="H39" i="2"/>
  <c r="J39" i="2"/>
  <c r="K39" i="2"/>
  <c r="L39" i="2"/>
  <c r="H40" i="2"/>
  <c r="K40" i="2"/>
  <c r="H41" i="2"/>
  <c r="K41" i="2"/>
  <c r="H42" i="2"/>
  <c r="J42" i="2"/>
  <c r="K42" i="2"/>
  <c r="L42" i="2"/>
  <c r="H43" i="2"/>
  <c r="K43" i="2"/>
  <c r="H44" i="2"/>
  <c r="K44" i="2"/>
  <c r="H45" i="2"/>
  <c r="J45" i="2"/>
  <c r="K45" i="2"/>
  <c r="L45" i="2"/>
  <c r="H46" i="2"/>
  <c r="K46" i="2"/>
  <c r="H47" i="2"/>
  <c r="K47" i="2"/>
  <c r="H48" i="2"/>
  <c r="J48" i="2"/>
  <c r="K48" i="2"/>
  <c r="L48" i="2"/>
  <c r="H49" i="2"/>
  <c r="L50" i="2" s="1"/>
  <c r="H50" i="2"/>
  <c r="J50" i="2"/>
  <c r="K50" i="2"/>
  <c r="H51" i="2"/>
  <c r="M51" i="2" s="1"/>
  <c r="J51" i="2"/>
  <c r="K51" i="2"/>
  <c r="L51" i="2"/>
  <c r="H52" i="2"/>
  <c r="H53" i="2"/>
  <c r="L53" i="2" s="1"/>
  <c r="J53" i="2"/>
  <c r="K53" i="2"/>
  <c r="H54" i="2"/>
  <c r="L54" i="2" s="1"/>
  <c r="J54" i="2"/>
  <c r="K54" i="2"/>
  <c r="H55" i="2"/>
  <c r="H56" i="2"/>
  <c r="L57" i="2" s="1"/>
  <c r="J56" i="2"/>
  <c r="K56" i="2"/>
  <c r="L56" i="2"/>
  <c r="H57" i="2"/>
  <c r="J57" i="2"/>
  <c r="K57" i="2"/>
  <c r="M57" i="2"/>
  <c r="H58" i="2"/>
  <c r="H59" i="2"/>
  <c r="L59" i="2" s="1"/>
  <c r="J59" i="2"/>
  <c r="K59" i="2"/>
  <c r="H60" i="2"/>
  <c r="L60" i="2" s="1"/>
  <c r="J60" i="2"/>
  <c r="K60" i="2"/>
  <c r="M60" i="2"/>
  <c r="M54" i="2" l="1"/>
</calcChain>
</file>

<file path=xl/comments1.xml><?xml version="1.0" encoding="utf-8"?>
<comments xmlns="http://schemas.openxmlformats.org/spreadsheetml/2006/main">
  <authors>
    <author>mtruffer</author>
  </authors>
  <commentList>
    <comment ref="G5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corrected for pole tilt</t>
        </r>
      </text>
    </comment>
    <comment ref="G6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corrected for pole tilt</t>
        </r>
      </text>
    </comment>
    <comment ref="G12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added 0.005 m because pole was rammed in further after survey</t>
        </r>
      </text>
    </comment>
    <comment ref="G50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subtracted 0.03 m because pole was reset</t>
        </r>
      </text>
    </comment>
    <comment ref="G51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subtracted .005 m because pole was rammed in further after survey</t>
        </r>
      </text>
    </comment>
    <comment ref="G54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subtracted .035 m because pole was rammed in further after survey
</t>
        </r>
      </text>
    </comment>
    <comment ref="G57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added .015 m because pole was rammed in further after survey</t>
        </r>
      </text>
    </comment>
    <comment ref="G60" authorId="0" shapeId="0">
      <text>
        <r>
          <rPr>
            <b/>
            <sz val="8"/>
            <color indexed="81"/>
            <rFont val="Tahoma"/>
          </rPr>
          <t>mtruffer:</t>
        </r>
        <r>
          <rPr>
            <sz val="8"/>
            <color indexed="81"/>
            <rFont val="Tahoma"/>
          </rPr>
          <t xml:space="preserve">
subtracted .01 m because pole was rammed in further after survey</t>
        </r>
      </text>
    </comment>
  </commentList>
</comments>
</file>

<file path=xl/sharedStrings.xml><?xml version="1.0" encoding="utf-8"?>
<sst xmlns="http://schemas.openxmlformats.org/spreadsheetml/2006/main" count="629" uniqueCount="213">
  <si>
    <t>Point</t>
  </si>
  <si>
    <t>Latitude</t>
  </si>
  <si>
    <t>Longitude</t>
  </si>
  <si>
    <t>53°</t>
  </si>
  <si>
    <t>04'</t>
  </si>
  <si>
    <t>S</t>
  </si>
  <si>
    <t>73°</t>
  </si>
  <si>
    <t>37'</t>
  </si>
  <si>
    <t>E</t>
  </si>
  <si>
    <t>BG20.1</t>
  </si>
  <si>
    <t>05'</t>
  </si>
  <si>
    <t>13.34862"</t>
  </si>
  <si>
    <t>36'</t>
  </si>
  <si>
    <t>46.45271"</t>
  </si>
  <si>
    <t>40'</t>
  </si>
  <si>
    <t>base</t>
  </si>
  <si>
    <t>Control</t>
  </si>
  <si>
    <t>50.67481"</t>
  </si>
  <si>
    <t>28.32195"</t>
  </si>
  <si>
    <t>49.00704"</t>
  </si>
  <si>
    <t>38'</t>
  </si>
  <si>
    <t>51.83074"</t>
  </si>
  <si>
    <t>Measured</t>
  </si>
  <si>
    <t>43.26036"</t>
  </si>
  <si>
    <t>39'</t>
  </si>
  <si>
    <t>11.57811"</t>
  </si>
  <si>
    <t>BOB0.3</t>
  </si>
  <si>
    <t>05.23285"</t>
  </si>
  <si>
    <t>05.25507"</t>
  </si>
  <si>
    <t>47.68156"</t>
  </si>
  <si>
    <t>23.64344"</t>
  </si>
  <si>
    <t>50.17037"</t>
  </si>
  <si>
    <t>25.08163"</t>
  </si>
  <si>
    <t>BG35.3</t>
  </si>
  <si>
    <t>55.30542"</t>
  </si>
  <si>
    <t>59.10110"</t>
  </si>
  <si>
    <t>53.35953"</t>
  </si>
  <si>
    <t>26.11500"</t>
  </si>
  <si>
    <t>BG15.2</t>
  </si>
  <si>
    <t>22.03543"</t>
  </si>
  <si>
    <t>22.59189"</t>
  </si>
  <si>
    <t>00.00182"</t>
  </si>
  <si>
    <t>28.07929"</t>
  </si>
  <si>
    <t>58.58996"</t>
  </si>
  <si>
    <t>01.07366"</t>
  </si>
  <si>
    <t>BG30.2</t>
  </si>
  <si>
    <t>58.57987"</t>
  </si>
  <si>
    <t>32.14540"</t>
  </si>
  <si>
    <t>05.24873"</t>
  </si>
  <si>
    <t>05.18235"</t>
  </si>
  <si>
    <t>BG50.3</t>
  </si>
  <si>
    <t>43.18583"</t>
  </si>
  <si>
    <t>11.74506"</t>
  </si>
  <si>
    <t>BG10.3</t>
  </si>
  <si>
    <t>31.48801"</t>
  </si>
  <si>
    <t>01.37837"</t>
  </si>
  <si>
    <t>01.92628"</t>
  </si>
  <si>
    <t>03.13518"</t>
  </si>
  <si>
    <t>T3.3</t>
  </si>
  <si>
    <t>50.13734"</t>
  </si>
  <si>
    <t>25.24997"</t>
  </si>
  <si>
    <t>BOB2.3</t>
  </si>
  <si>
    <t>58.57078"</t>
  </si>
  <si>
    <t>01.15192"</t>
  </si>
  <si>
    <t>BG45.3</t>
  </si>
  <si>
    <t>48.91500"</t>
  </si>
  <si>
    <t>52.02502"</t>
  </si>
  <si>
    <t>BOB4.3</t>
  </si>
  <si>
    <t>48.65580"</t>
  </si>
  <si>
    <t>54.79011"</t>
  </si>
  <si>
    <t>BG30.3</t>
  </si>
  <si>
    <t>58.57285"</t>
  </si>
  <si>
    <t>32.20494"</t>
  </si>
  <si>
    <t>BG45.2</t>
  </si>
  <si>
    <t>48.96833"</t>
  </si>
  <si>
    <t>51.91133"</t>
  </si>
  <si>
    <t>51.95643"</t>
  </si>
  <si>
    <t>56.87078"</t>
  </si>
  <si>
    <t>58.58867"</t>
  </si>
  <si>
    <t>32.08091"</t>
  </si>
  <si>
    <t>BG10.2</t>
  </si>
  <si>
    <t>31.50266"</t>
  </si>
  <si>
    <t>01.35752"</t>
  </si>
  <si>
    <t>BG15.3</t>
  </si>
  <si>
    <t>22.01656"</t>
  </si>
  <si>
    <t>22.61920"</t>
  </si>
  <si>
    <t>BG40.3</t>
  </si>
  <si>
    <t>53.30458"</t>
  </si>
  <si>
    <t>26.30566"</t>
  </si>
  <si>
    <t>BOB1.3</t>
  </si>
  <si>
    <t>01.90918"</t>
  </si>
  <si>
    <t>03.20719"</t>
  </si>
  <si>
    <t>T4.3</t>
  </si>
  <si>
    <t>47.66067"</t>
  </si>
  <si>
    <t>23.71134"</t>
  </si>
  <si>
    <t>T3.2</t>
  </si>
  <si>
    <t>50.15638"</t>
  </si>
  <si>
    <t>25.15184"</t>
  </si>
  <si>
    <t>BG20.3</t>
  </si>
  <si>
    <t>13.30613"</t>
  </si>
  <si>
    <t>46.53460"</t>
  </si>
  <si>
    <t>56.24998"</t>
  </si>
  <si>
    <t>26.92171"</t>
  </si>
  <si>
    <t>BG20.2</t>
  </si>
  <si>
    <t>13.32391"</t>
  </si>
  <si>
    <t>46.49098"</t>
  </si>
  <si>
    <t>BG50.2</t>
  </si>
  <si>
    <t>43.23025"</t>
  </si>
  <si>
    <t>11.64389"</t>
  </si>
  <si>
    <t>BG25.2</t>
  </si>
  <si>
    <t>04.66229"</t>
  </si>
  <si>
    <t>07.24686"</t>
  </si>
  <si>
    <t>T2.2</t>
  </si>
  <si>
    <t>56.22468"</t>
  </si>
  <si>
    <t>27.01006"</t>
  </si>
  <si>
    <t>BOB3.3</t>
  </si>
  <si>
    <t>51.94681"</t>
  </si>
  <si>
    <t>56.90773"</t>
  </si>
  <si>
    <t>55.33393"</t>
  </si>
  <si>
    <t>58.94631"</t>
  </si>
  <si>
    <t>31.51833"</t>
  </si>
  <si>
    <t>01.33738"</t>
  </si>
  <si>
    <t>T4.2</t>
  </si>
  <si>
    <t>47.67154"</t>
  </si>
  <si>
    <t>23.67638"</t>
  </si>
  <si>
    <t>04.67957"</t>
  </si>
  <si>
    <t>07.19704"</t>
  </si>
  <si>
    <t>22.05948"</t>
  </si>
  <si>
    <t>22.55627"</t>
  </si>
  <si>
    <t>40.71425"</t>
  </si>
  <si>
    <t>35'</t>
  </si>
  <si>
    <t>49.47287"</t>
  </si>
  <si>
    <t>T1.3</t>
  </si>
  <si>
    <t>59.94926"</t>
  </si>
  <si>
    <t>28.28205"</t>
  </si>
  <si>
    <t>BG25.3</t>
  </si>
  <si>
    <t>04.63989"</t>
  </si>
  <si>
    <t>07.28594"</t>
  </si>
  <si>
    <t>BG05.3</t>
  </si>
  <si>
    <t>40.68458"</t>
  </si>
  <si>
    <t>49.53158"</t>
  </si>
  <si>
    <t>BG05.2</t>
  </si>
  <si>
    <t>40.69833"</t>
  </si>
  <si>
    <t>49.50581"</t>
  </si>
  <si>
    <t>T2.3</t>
  </si>
  <si>
    <t>56.19380"</t>
  </si>
  <si>
    <t>27.12925"</t>
  </si>
  <si>
    <t>BG40.2</t>
  </si>
  <si>
    <t>53.33337"</t>
  </si>
  <si>
    <t>26.19785"</t>
  </si>
  <si>
    <t>T1.2</t>
  </si>
  <si>
    <t>59.97868"</t>
  </si>
  <si>
    <t>28.16448"</t>
  </si>
  <si>
    <t>BG35.2</t>
  </si>
  <si>
    <t>55.32018"</t>
  </si>
  <si>
    <t>59.01554"</t>
  </si>
  <si>
    <t>48.66058"</t>
  </si>
  <si>
    <t>54.77506"</t>
  </si>
  <si>
    <t>Easting</t>
  </si>
  <si>
    <t>Northing</t>
  </si>
  <si>
    <t>BG45.1</t>
  </si>
  <si>
    <t>BG50.1</t>
  </si>
  <si>
    <t>T4.1</t>
  </si>
  <si>
    <t>T3.1</t>
  </si>
  <si>
    <t>BG40.1</t>
  </si>
  <si>
    <t>T1.1</t>
  </si>
  <si>
    <t>BOB2.2</t>
  </si>
  <si>
    <t>BOB0.2</t>
  </si>
  <si>
    <t>BOB1.2</t>
  </si>
  <si>
    <t>BOB3.2</t>
  </si>
  <si>
    <t>BG30.1</t>
  </si>
  <si>
    <t>T2.1</t>
  </si>
  <si>
    <t>BG35.1</t>
  </si>
  <si>
    <t>BG10.1</t>
  </si>
  <si>
    <t>BG25.1</t>
  </si>
  <si>
    <t>BG15.1</t>
  </si>
  <si>
    <t>BG05.1</t>
  </si>
  <si>
    <t>BOB4.2</t>
  </si>
  <si>
    <t>Day</t>
  </si>
  <si>
    <t>Time</t>
  </si>
  <si>
    <t>deg</t>
  </si>
  <si>
    <t>min</t>
  </si>
  <si>
    <t>sec</t>
  </si>
  <si>
    <t>Ellipsoid Ht</t>
  </si>
  <si>
    <t>Position</t>
  </si>
  <si>
    <t>quality</t>
  </si>
  <si>
    <t>UTM Zone 43</t>
  </si>
  <si>
    <t>Height</t>
  </si>
  <si>
    <t>m a.s.l.</t>
  </si>
  <si>
    <t>BOB0.1</t>
  </si>
  <si>
    <t>BOB1.1</t>
  </si>
  <si>
    <t>BOB2.1</t>
  </si>
  <si>
    <t>BOB3.1</t>
  </si>
  <si>
    <t>BOB4.1</t>
  </si>
  <si>
    <t>point</t>
  </si>
  <si>
    <t>day</t>
  </si>
  <si>
    <t>time</t>
  </si>
  <si>
    <t>Elev (a.s.l.)</t>
  </si>
  <si>
    <t>Speed (m/d)</t>
  </si>
  <si>
    <t>Error</t>
  </si>
  <si>
    <t>Elevation</t>
  </si>
  <si>
    <t>(top of pole)</t>
  </si>
  <si>
    <t>pole ht</t>
  </si>
  <si>
    <t>(snow surf)</t>
  </si>
  <si>
    <t>Vertical</t>
  </si>
  <si>
    <t>velocity</t>
  </si>
  <si>
    <t>average</t>
  </si>
  <si>
    <t>vert. Vel.</t>
  </si>
  <si>
    <t>local slope</t>
  </si>
  <si>
    <t>(deg)</t>
  </si>
  <si>
    <t>emergence</t>
  </si>
  <si>
    <t>cm/d</t>
  </si>
  <si>
    <t>m/a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</si>
</sst>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5" x14ac:knownFonts="1"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  <font>
      <sz val="8.75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Emergence velocity</a:t>
            </a:r>
          </a:p>
        </c:rich>
      </c:tx>
      <c:layout>
        <c:manualLayout>
          <c:xMode val="edge"/>
          <c:yMode val="edge"/>
          <c:x val="0.41919805589307413"/>
          <c:y val="2.01005025125628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26002430133656"/>
          <c:y val="0.10427135678391959"/>
          <c:w val="0.69866342648845681"/>
          <c:h val="0.48115577889447236"/>
        </c:manualLayout>
      </c:layout>
      <c:lineChart>
        <c:grouping val="standard"/>
        <c:varyColors val="0"/>
        <c:ser>
          <c:idx val="0"/>
          <c:order val="0"/>
          <c:tx>
            <c:strRef>
              <c:f>Velocity!$P$4:$P$5</c:f>
              <c:strCache>
                <c:ptCount val="2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BG05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C82-418A-9CAD-42E8CEDD27B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82-418A-9CAD-42E8CEDD27B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BG15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C82-418A-9CAD-42E8CEDD27B8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C82-418A-9CAD-42E8CEDD27B8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C82-418A-9CAD-42E8CEDD27B8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C82-418A-9CAD-42E8CEDD27B8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BG35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C82-418A-9CAD-42E8CEDD27B8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C82-418A-9CAD-42E8CEDD27B8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BG45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5C82-418A-9CAD-42E8CEDD27B8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AU"/>
                      <a:t>BG50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C82-418A-9CAD-42E8CEDD27B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fixedVal"/>
            <c:noEndCap val="0"/>
            <c:val val="2"/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val>
            <c:numRef>
              <c:f>Velocity!$P$6:$P$35</c:f>
              <c:numCache>
                <c:formatCode>General</c:formatCode>
                <c:ptCount val="30"/>
                <c:pt idx="0">
                  <c:v>1.1177238041878437</c:v>
                </c:pt>
                <c:pt idx="3">
                  <c:v>-5.5831714309037679</c:v>
                </c:pt>
                <c:pt idx="6">
                  <c:v>3.7119863921927454</c:v>
                </c:pt>
                <c:pt idx="9">
                  <c:v>0.93231238377216596</c:v>
                </c:pt>
                <c:pt idx="12">
                  <c:v>-0.45484817228416402</c:v>
                </c:pt>
                <c:pt idx="15">
                  <c:v>-1.4298685765341359</c:v>
                </c:pt>
                <c:pt idx="18">
                  <c:v>-6.2106783061316415</c:v>
                </c:pt>
                <c:pt idx="21">
                  <c:v>0.65594119474232238</c:v>
                </c:pt>
                <c:pt idx="24">
                  <c:v>4.2059495227465939</c:v>
                </c:pt>
                <c:pt idx="27">
                  <c:v>-0.14207356420567238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82-418A-9CAD-42E8CEDD27B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marker val="1"/>
        <c:smooth val="0"/>
        <c:axId val="330770720"/>
        <c:axId val="1"/>
      </c:lineChart>
      <c:catAx>
        <c:axId val="330770720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Velocity (m/a)</a:t>
                </a:r>
              </a:p>
            </c:rich>
          </c:tx>
          <c:layout>
            <c:manualLayout>
              <c:xMode val="edge"/>
              <c:yMode val="edge"/>
              <c:x val="0.11786148238153099"/>
              <c:y val="0.287688442211055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07707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6" workbookViewId="0" zoomToFit="1"/>
  </sheetViews>
  <pageMargins left="0.75" right="0.75" top="1" bottom="1" header="0.5" footer="0.5"/>
  <pageSetup orientation="portrait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262688" cy="8064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B38" sqref="B37:B38"/>
    </sheetView>
  </sheetViews>
  <sheetFormatPr defaultRowHeight="13.2" x14ac:dyDescent="0.25"/>
  <cols>
    <col min="3" max="3" width="11.44140625" customWidth="1"/>
    <col min="5" max="5" width="4.6640625" customWidth="1"/>
    <col min="6" max="6" width="5.21875" customWidth="1"/>
    <col min="8" max="8" width="2.77734375" customWidth="1"/>
    <col min="9" max="9" width="4.77734375" customWidth="1"/>
    <col min="10" max="10" width="5.77734375" customWidth="1"/>
    <col min="12" max="12" width="2.77734375" customWidth="1"/>
    <col min="13" max="13" width="9.88671875" customWidth="1"/>
    <col min="16" max="16" width="10.109375" customWidth="1"/>
    <col min="17" max="17" width="10.88671875" customWidth="1"/>
  </cols>
  <sheetData>
    <row r="1" spans="1:18" x14ac:dyDescent="0.25">
      <c r="A1" t="s">
        <v>0</v>
      </c>
      <c r="C1" t="s">
        <v>178</v>
      </c>
      <c r="D1" t="s">
        <v>179</v>
      </c>
      <c r="E1" t="s">
        <v>1</v>
      </c>
      <c r="I1" t="s">
        <v>2</v>
      </c>
      <c r="M1" t="s">
        <v>183</v>
      </c>
      <c r="N1" t="s">
        <v>184</v>
      </c>
      <c r="P1" t="s">
        <v>186</v>
      </c>
      <c r="R1" t="s">
        <v>187</v>
      </c>
    </row>
    <row r="2" spans="1:18" x14ac:dyDescent="0.25">
      <c r="E2" t="s">
        <v>180</v>
      </c>
      <c r="F2" t="s">
        <v>181</v>
      </c>
      <c r="G2" t="s">
        <v>182</v>
      </c>
      <c r="I2" t="s">
        <v>180</v>
      </c>
      <c r="J2" t="s">
        <v>181</v>
      </c>
      <c r="K2" t="s">
        <v>182</v>
      </c>
      <c r="N2" t="s">
        <v>185</v>
      </c>
      <c r="P2" t="s">
        <v>158</v>
      </c>
      <c r="Q2" t="s">
        <v>159</v>
      </c>
      <c r="R2" t="s">
        <v>188</v>
      </c>
    </row>
    <row r="4" spans="1:18" x14ac:dyDescent="0.25">
      <c r="A4" t="s">
        <v>15</v>
      </c>
      <c r="B4" t="s">
        <v>16</v>
      </c>
      <c r="C4" s="1">
        <v>36826</v>
      </c>
      <c r="D4" s="2">
        <v>0.86528935185185185</v>
      </c>
      <c r="E4" t="s">
        <v>3</v>
      </c>
      <c r="F4" t="s">
        <v>4</v>
      </c>
      <c r="G4" t="s">
        <v>17</v>
      </c>
      <c r="H4" t="s">
        <v>5</v>
      </c>
      <c r="I4" t="s">
        <v>6</v>
      </c>
      <c r="J4" t="s">
        <v>14</v>
      </c>
      <c r="K4" t="s">
        <v>18</v>
      </c>
      <c r="L4" t="s">
        <v>8</v>
      </c>
      <c r="M4">
        <v>68.11</v>
      </c>
      <c r="N4">
        <v>0</v>
      </c>
      <c r="P4">
        <v>411215.70919999998</v>
      </c>
      <c r="Q4">
        <v>4117926.3202</v>
      </c>
      <c r="R4">
        <v>28.110100000000003</v>
      </c>
    </row>
    <row r="5" spans="1:18" x14ac:dyDescent="0.25">
      <c r="A5" t="s">
        <v>176</v>
      </c>
      <c r="B5" t="s">
        <v>22</v>
      </c>
      <c r="C5" s="1">
        <v>36826</v>
      </c>
      <c r="D5" s="2">
        <v>0.66828703703703696</v>
      </c>
      <c r="E5" t="s">
        <v>3</v>
      </c>
      <c r="F5" t="s">
        <v>10</v>
      </c>
      <c r="G5" t="s">
        <v>129</v>
      </c>
      <c r="H5" t="s">
        <v>5</v>
      </c>
      <c r="I5" t="s">
        <v>6</v>
      </c>
      <c r="J5" t="s">
        <v>130</v>
      </c>
      <c r="K5" t="s">
        <v>131</v>
      </c>
      <c r="L5" t="s">
        <v>8</v>
      </c>
      <c r="M5">
        <v>1101.2837</v>
      </c>
      <c r="N5">
        <v>1.9E-3</v>
      </c>
      <c r="P5">
        <v>406057.85580000002</v>
      </c>
      <c r="Q5">
        <v>4116281.4057</v>
      </c>
      <c r="R5">
        <v>1061.2837</v>
      </c>
    </row>
    <row r="6" spans="1:18" x14ac:dyDescent="0.25">
      <c r="A6" t="s">
        <v>141</v>
      </c>
      <c r="B6" t="s">
        <v>22</v>
      </c>
      <c r="C6" s="1">
        <v>36839</v>
      </c>
      <c r="D6" s="2">
        <v>0.56388888888888888</v>
      </c>
      <c r="E6" t="s">
        <v>3</v>
      </c>
      <c r="F6" t="s">
        <v>10</v>
      </c>
      <c r="G6" t="s">
        <v>142</v>
      </c>
      <c r="H6" t="s">
        <v>5</v>
      </c>
      <c r="I6" t="s">
        <v>6</v>
      </c>
      <c r="J6" t="s">
        <v>130</v>
      </c>
      <c r="K6" t="s">
        <v>143</v>
      </c>
      <c r="L6" t="s">
        <v>8</v>
      </c>
      <c r="M6">
        <v>1101.3666000000001</v>
      </c>
      <c r="N6">
        <v>2.0999999999999999E-3</v>
      </c>
      <c r="P6">
        <v>406058.45890000003</v>
      </c>
      <c r="Q6">
        <v>4116281.9097000002</v>
      </c>
      <c r="R6">
        <v>1061.3667</v>
      </c>
    </row>
    <row r="7" spans="1:18" x14ac:dyDescent="0.25">
      <c r="A7" t="s">
        <v>138</v>
      </c>
      <c r="B7" t="s">
        <v>22</v>
      </c>
      <c r="C7" s="1">
        <v>36851</v>
      </c>
      <c r="D7" s="2">
        <v>0.55486111111111114</v>
      </c>
      <c r="E7" t="s">
        <v>3</v>
      </c>
      <c r="F7" t="s">
        <v>10</v>
      </c>
      <c r="G7" t="s">
        <v>139</v>
      </c>
      <c r="H7" t="s">
        <v>5</v>
      </c>
      <c r="I7" t="s">
        <v>6</v>
      </c>
      <c r="J7" t="s">
        <v>130</v>
      </c>
      <c r="K7" t="s">
        <v>140</v>
      </c>
      <c r="L7" t="s">
        <v>8</v>
      </c>
      <c r="M7">
        <v>1101.1424999999999</v>
      </c>
      <c r="N7">
        <v>2E-3</v>
      </c>
      <c r="P7">
        <v>406058.92989999999</v>
      </c>
      <c r="Q7">
        <v>4116282.3440999999</v>
      </c>
      <c r="R7">
        <v>1061.1425999999999</v>
      </c>
    </row>
    <row r="8" spans="1:18" x14ac:dyDescent="0.25">
      <c r="A8" t="s">
        <v>173</v>
      </c>
      <c r="B8" t="s">
        <v>22</v>
      </c>
      <c r="C8" s="1">
        <v>36826</v>
      </c>
      <c r="D8" s="2">
        <v>0.62465277777777783</v>
      </c>
      <c r="E8" t="s">
        <v>3</v>
      </c>
      <c r="F8" t="s">
        <v>10</v>
      </c>
      <c r="G8" t="s">
        <v>120</v>
      </c>
      <c r="H8" t="s">
        <v>5</v>
      </c>
      <c r="I8" t="s">
        <v>6</v>
      </c>
      <c r="J8" t="s">
        <v>12</v>
      </c>
      <c r="K8" t="s">
        <v>121</v>
      </c>
      <c r="L8" t="s">
        <v>8</v>
      </c>
      <c r="M8">
        <v>998.35310000000004</v>
      </c>
      <c r="N8">
        <v>1.6999999999999999E-3</v>
      </c>
      <c r="P8">
        <v>406272.97779999999</v>
      </c>
      <c r="Q8">
        <v>4116569.8615999999</v>
      </c>
      <c r="R8">
        <v>958.35310000000004</v>
      </c>
    </row>
    <row r="9" spans="1:18" x14ac:dyDescent="0.25">
      <c r="A9" t="s">
        <v>80</v>
      </c>
      <c r="B9" t="s">
        <v>22</v>
      </c>
      <c r="C9" s="1">
        <v>36839</v>
      </c>
      <c r="D9" s="2">
        <v>0.59675925925925932</v>
      </c>
      <c r="E9" t="s">
        <v>3</v>
      </c>
      <c r="F9" t="s">
        <v>10</v>
      </c>
      <c r="G9" t="s">
        <v>81</v>
      </c>
      <c r="H9" t="s">
        <v>5</v>
      </c>
      <c r="I9" t="s">
        <v>6</v>
      </c>
      <c r="J9" t="s">
        <v>12</v>
      </c>
      <c r="K9" t="s">
        <v>82</v>
      </c>
      <c r="L9" t="s">
        <v>8</v>
      </c>
      <c r="M9">
        <v>998.16520000000003</v>
      </c>
      <c r="N9">
        <v>1.2999999999999999E-3</v>
      </c>
      <c r="P9">
        <v>406273.34289999999</v>
      </c>
      <c r="Q9">
        <v>4116570.3531999998</v>
      </c>
      <c r="R9">
        <v>958.1653</v>
      </c>
    </row>
    <row r="10" spans="1:18" x14ac:dyDescent="0.25">
      <c r="A10" t="s">
        <v>53</v>
      </c>
      <c r="B10" t="s">
        <v>22</v>
      </c>
      <c r="C10" s="1">
        <v>36851</v>
      </c>
      <c r="D10" s="2">
        <v>0.58402777777777781</v>
      </c>
      <c r="E10" t="s">
        <v>3</v>
      </c>
      <c r="F10" t="s">
        <v>10</v>
      </c>
      <c r="G10" t="s">
        <v>54</v>
      </c>
      <c r="H10" t="s">
        <v>5</v>
      </c>
      <c r="I10" t="s">
        <v>6</v>
      </c>
      <c r="J10" t="s">
        <v>12</v>
      </c>
      <c r="K10" t="s">
        <v>55</v>
      </c>
      <c r="L10" t="s">
        <v>8</v>
      </c>
      <c r="M10">
        <v>998.12019999999995</v>
      </c>
      <c r="N10">
        <v>1.1000000000000001E-3</v>
      </c>
      <c r="P10">
        <v>406273.7219</v>
      </c>
      <c r="Q10">
        <v>4116570.8133</v>
      </c>
      <c r="R10">
        <v>958.12030000000004</v>
      </c>
    </row>
    <row r="11" spans="1:18" x14ac:dyDescent="0.25">
      <c r="A11" t="s">
        <v>175</v>
      </c>
      <c r="B11" t="s">
        <v>22</v>
      </c>
      <c r="C11" s="1">
        <v>36826</v>
      </c>
      <c r="D11" s="2">
        <v>0.58298611111111109</v>
      </c>
      <c r="E11" t="s">
        <v>3</v>
      </c>
      <c r="F11" t="s">
        <v>10</v>
      </c>
      <c r="G11" t="s">
        <v>127</v>
      </c>
      <c r="H11" t="s">
        <v>5</v>
      </c>
      <c r="I11" t="s">
        <v>6</v>
      </c>
      <c r="J11" t="s">
        <v>12</v>
      </c>
      <c r="K11" t="s">
        <v>128</v>
      </c>
      <c r="L11" t="s">
        <v>8</v>
      </c>
      <c r="M11">
        <v>904.86980000000005</v>
      </c>
      <c r="N11">
        <v>1.9E-3</v>
      </c>
      <c r="P11">
        <v>406661.97489999997</v>
      </c>
      <c r="Q11">
        <v>4116869.8198000002</v>
      </c>
      <c r="R11">
        <v>864.86990000000003</v>
      </c>
    </row>
    <row r="12" spans="1:18" x14ac:dyDescent="0.25">
      <c r="A12" t="s">
        <v>38</v>
      </c>
      <c r="B12" t="s">
        <v>22</v>
      </c>
      <c r="C12" s="1">
        <v>36839</v>
      </c>
      <c r="D12" s="2">
        <v>0.62766203703703705</v>
      </c>
      <c r="E12" t="s">
        <v>3</v>
      </c>
      <c r="F12" t="s">
        <v>10</v>
      </c>
      <c r="G12" t="s">
        <v>39</v>
      </c>
      <c r="H12" t="s">
        <v>5</v>
      </c>
      <c r="I12" t="s">
        <v>6</v>
      </c>
      <c r="J12" t="s">
        <v>12</v>
      </c>
      <c r="K12" t="s">
        <v>40</v>
      </c>
      <c r="L12" t="s">
        <v>8</v>
      </c>
      <c r="M12">
        <v>905.04110000000003</v>
      </c>
      <c r="N12">
        <v>8.9999999999999998E-4</v>
      </c>
      <c r="P12">
        <v>406662.62310000003</v>
      </c>
      <c r="Q12">
        <v>4116870.5756000001</v>
      </c>
      <c r="R12">
        <v>865.04110000000003</v>
      </c>
    </row>
    <row r="13" spans="1:18" x14ac:dyDescent="0.25">
      <c r="A13" t="s">
        <v>83</v>
      </c>
      <c r="B13" t="s">
        <v>22</v>
      </c>
      <c r="C13" s="1">
        <v>36851</v>
      </c>
      <c r="D13" s="2">
        <v>0.61354166666666665</v>
      </c>
      <c r="E13" t="s">
        <v>3</v>
      </c>
      <c r="F13" t="s">
        <v>10</v>
      </c>
      <c r="G13" t="s">
        <v>84</v>
      </c>
      <c r="H13" t="s">
        <v>5</v>
      </c>
      <c r="I13" t="s">
        <v>6</v>
      </c>
      <c r="J13" t="s">
        <v>12</v>
      </c>
      <c r="K13" t="s">
        <v>85</v>
      </c>
      <c r="L13" t="s">
        <v>8</v>
      </c>
      <c r="M13">
        <v>905.22439999999995</v>
      </c>
      <c r="N13">
        <v>1.2999999999999999E-3</v>
      </c>
      <c r="P13">
        <v>406663.11969999998</v>
      </c>
      <c r="Q13">
        <v>4116871.1686999998</v>
      </c>
      <c r="R13">
        <v>865.22450000000003</v>
      </c>
    </row>
    <row r="14" spans="1:18" x14ac:dyDescent="0.25">
      <c r="A14" t="s">
        <v>9</v>
      </c>
      <c r="B14" t="s">
        <v>22</v>
      </c>
      <c r="C14" s="1">
        <v>36923</v>
      </c>
      <c r="D14" s="2">
        <v>0.25851851851851854</v>
      </c>
      <c r="E14" t="s">
        <v>3</v>
      </c>
      <c r="F14" t="s">
        <v>10</v>
      </c>
      <c r="G14" t="s">
        <v>11</v>
      </c>
      <c r="H14" t="s">
        <v>5</v>
      </c>
      <c r="I14" t="s">
        <v>6</v>
      </c>
      <c r="J14" t="s">
        <v>12</v>
      </c>
      <c r="K14" t="s">
        <v>13</v>
      </c>
      <c r="L14" t="s">
        <v>8</v>
      </c>
      <c r="M14">
        <v>795.7047</v>
      </c>
      <c r="N14">
        <v>0</v>
      </c>
      <c r="P14">
        <v>407101.2781</v>
      </c>
      <c r="Q14">
        <v>4117147.5984</v>
      </c>
      <c r="R14">
        <v>755.70479999999998</v>
      </c>
    </row>
    <row r="15" spans="1:18" x14ac:dyDescent="0.25">
      <c r="A15" t="s">
        <v>103</v>
      </c>
      <c r="B15" t="s">
        <v>22</v>
      </c>
      <c r="C15" s="1">
        <v>36839</v>
      </c>
      <c r="D15" s="2">
        <v>0.65625</v>
      </c>
      <c r="E15" t="s">
        <v>3</v>
      </c>
      <c r="F15" t="s">
        <v>10</v>
      </c>
      <c r="G15" t="s">
        <v>104</v>
      </c>
      <c r="H15" t="s">
        <v>5</v>
      </c>
      <c r="I15" t="s">
        <v>6</v>
      </c>
      <c r="J15" t="s">
        <v>12</v>
      </c>
      <c r="K15" t="s">
        <v>105</v>
      </c>
      <c r="L15" t="s">
        <v>8</v>
      </c>
      <c r="M15">
        <v>795.41150000000005</v>
      </c>
      <c r="N15">
        <v>1.5E-3</v>
      </c>
      <c r="P15">
        <v>407101.9754</v>
      </c>
      <c r="Q15">
        <v>4117148.3758</v>
      </c>
      <c r="R15">
        <v>755.41160000000002</v>
      </c>
    </row>
    <row r="16" spans="1:18" x14ac:dyDescent="0.25">
      <c r="A16" t="s">
        <v>98</v>
      </c>
      <c r="B16" t="s">
        <v>22</v>
      </c>
      <c r="C16" s="1">
        <v>36851</v>
      </c>
      <c r="D16" s="2">
        <v>0.63854166666666667</v>
      </c>
      <c r="E16" t="s">
        <v>3</v>
      </c>
      <c r="F16" t="s">
        <v>10</v>
      </c>
      <c r="G16" t="s">
        <v>99</v>
      </c>
      <c r="H16" t="s">
        <v>5</v>
      </c>
      <c r="I16" t="s">
        <v>6</v>
      </c>
      <c r="J16" t="s">
        <v>12</v>
      </c>
      <c r="K16" t="s">
        <v>100</v>
      </c>
      <c r="L16" t="s">
        <v>8</v>
      </c>
      <c r="M16">
        <v>795.34950000000003</v>
      </c>
      <c r="N16">
        <v>1.4E-3</v>
      </c>
      <c r="P16">
        <v>407102.77610000002</v>
      </c>
      <c r="Q16">
        <v>4117148.9408</v>
      </c>
      <c r="R16">
        <v>755.34950000000003</v>
      </c>
    </row>
    <row r="17" spans="1:18" x14ac:dyDescent="0.25">
      <c r="A17" t="s">
        <v>174</v>
      </c>
      <c r="B17" t="s">
        <v>22</v>
      </c>
      <c r="C17" s="1">
        <v>36826</v>
      </c>
      <c r="D17" s="2">
        <v>0.71006944444444453</v>
      </c>
      <c r="E17" t="s">
        <v>3</v>
      </c>
      <c r="F17" t="s">
        <v>10</v>
      </c>
      <c r="G17" t="s">
        <v>125</v>
      </c>
      <c r="H17" t="s">
        <v>5</v>
      </c>
      <c r="I17" t="s">
        <v>6</v>
      </c>
      <c r="J17" t="s">
        <v>7</v>
      </c>
      <c r="K17" t="s">
        <v>126</v>
      </c>
      <c r="L17" t="s">
        <v>8</v>
      </c>
      <c r="M17">
        <v>717.96519999999998</v>
      </c>
      <c r="N17">
        <v>1.8E-3</v>
      </c>
      <c r="P17">
        <v>407482.01549999998</v>
      </c>
      <c r="Q17">
        <v>4117422.9144000001</v>
      </c>
      <c r="R17">
        <v>677.96519999999998</v>
      </c>
    </row>
    <row r="18" spans="1:18" x14ac:dyDescent="0.25">
      <c r="A18" t="s">
        <v>109</v>
      </c>
      <c r="B18" t="s">
        <v>22</v>
      </c>
      <c r="C18" s="1">
        <v>36839</v>
      </c>
      <c r="D18" s="2">
        <v>0.68599537037037039</v>
      </c>
      <c r="E18" t="s">
        <v>3</v>
      </c>
      <c r="F18" t="s">
        <v>10</v>
      </c>
      <c r="G18" t="s">
        <v>110</v>
      </c>
      <c r="H18" t="s">
        <v>5</v>
      </c>
      <c r="I18" t="s">
        <v>6</v>
      </c>
      <c r="J18" t="s">
        <v>7</v>
      </c>
      <c r="K18" t="s">
        <v>111</v>
      </c>
      <c r="L18" t="s">
        <v>8</v>
      </c>
      <c r="M18">
        <v>717.66459999999995</v>
      </c>
      <c r="N18">
        <v>1.6000000000000001E-3</v>
      </c>
      <c r="P18">
        <v>407482.93199999997</v>
      </c>
      <c r="Q18">
        <v>4117423.466</v>
      </c>
      <c r="R18">
        <v>677.66459999999995</v>
      </c>
    </row>
    <row r="19" spans="1:18" x14ac:dyDescent="0.25">
      <c r="A19" t="s">
        <v>135</v>
      </c>
      <c r="B19" t="s">
        <v>22</v>
      </c>
      <c r="C19" s="1">
        <v>36851</v>
      </c>
      <c r="D19" s="2">
        <v>0.66527777777777775</v>
      </c>
      <c r="E19" t="s">
        <v>3</v>
      </c>
      <c r="F19" t="s">
        <v>10</v>
      </c>
      <c r="G19" t="s">
        <v>136</v>
      </c>
      <c r="H19" t="s">
        <v>5</v>
      </c>
      <c r="I19" t="s">
        <v>6</v>
      </c>
      <c r="J19" t="s">
        <v>7</v>
      </c>
      <c r="K19" t="s">
        <v>137</v>
      </c>
      <c r="L19" t="s">
        <v>8</v>
      </c>
      <c r="M19">
        <v>717.68759999999997</v>
      </c>
      <c r="N19">
        <v>2E-3</v>
      </c>
      <c r="P19">
        <v>407483.6459</v>
      </c>
      <c r="Q19">
        <v>4117424.1721999999</v>
      </c>
      <c r="R19">
        <v>677.68769999999995</v>
      </c>
    </row>
    <row r="20" spans="1:18" x14ac:dyDescent="0.25">
      <c r="A20" t="s">
        <v>170</v>
      </c>
      <c r="B20" t="s">
        <v>22</v>
      </c>
      <c r="C20" s="1">
        <v>36826</v>
      </c>
      <c r="D20" s="2">
        <v>0.76840277777777777</v>
      </c>
      <c r="E20" t="s">
        <v>3</v>
      </c>
      <c r="F20" t="s">
        <v>4</v>
      </c>
      <c r="G20" t="s">
        <v>78</v>
      </c>
      <c r="H20" t="s">
        <v>5</v>
      </c>
      <c r="I20" t="s">
        <v>6</v>
      </c>
      <c r="J20" t="s">
        <v>7</v>
      </c>
      <c r="K20" t="s">
        <v>79</v>
      </c>
      <c r="L20" t="s">
        <v>8</v>
      </c>
      <c r="M20">
        <v>626.58780000000002</v>
      </c>
      <c r="N20">
        <v>1.2999999999999999E-3</v>
      </c>
      <c r="P20">
        <v>407941.34</v>
      </c>
      <c r="Q20">
        <v>4117620.0164999999</v>
      </c>
      <c r="R20">
        <v>586.58789999999999</v>
      </c>
    </row>
    <row r="21" spans="1:18" x14ac:dyDescent="0.25">
      <c r="A21" t="s">
        <v>45</v>
      </c>
      <c r="B21" t="s">
        <v>22</v>
      </c>
      <c r="C21" s="1">
        <v>36839</v>
      </c>
      <c r="D21" s="2">
        <v>0.71562499999999996</v>
      </c>
      <c r="E21" t="s">
        <v>3</v>
      </c>
      <c r="F21" t="s">
        <v>4</v>
      </c>
      <c r="G21" t="s">
        <v>46</v>
      </c>
      <c r="H21" t="s">
        <v>5</v>
      </c>
      <c r="I21" t="s">
        <v>6</v>
      </c>
      <c r="J21" t="s">
        <v>7</v>
      </c>
      <c r="K21" t="s">
        <v>47</v>
      </c>
      <c r="L21" t="s">
        <v>8</v>
      </c>
      <c r="M21">
        <v>626.41769999999997</v>
      </c>
      <c r="N21">
        <v>1E-3</v>
      </c>
      <c r="P21">
        <v>407942.53460000001</v>
      </c>
      <c r="Q21">
        <v>4117620.3111999999</v>
      </c>
      <c r="R21">
        <v>586.41780000000006</v>
      </c>
    </row>
    <row r="22" spans="1:18" x14ac:dyDescent="0.25">
      <c r="A22" t="s">
        <v>70</v>
      </c>
      <c r="B22" t="s">
        <v>22</v>
      </c>
      <c r="C22" s="1">
        <v>36851</v>
      </c>
      <c r="D22" s="2">
        <v>0.69374999999999998</v>
      </c>
      <c r="E22" t="s">
        <v>3</v>
      </c>
      <c r="F22" t="s">
        <v>4</v>
      </c>
      <c r="G22" t="s">
        <v>71</v>
      </c>
      <c r="H22" t="s">
        <v>5</v>
      </c>
      <c r="I22" t="s">
        <v>6</v>
      </c>
      <c r="J22" t="s">
        <v>7</v>
      </c>
      <c r="K22" t="s">
        <v>72</v>
      </c>
      <c r="L22" t="s">
        <v>8</v>
      </c>
      <c r="M22">
        <v>626.60680000000002</v>
      </c>
      <c r="N22">
        <v>1.1999999999999999E-3</v>
      </c>
      <c r="P22">
        <v>407943.63819999999</v>
      </c>
      <c r="Q22">
        <v>4117620.5495000002</v>
      </c>
      <c r="R22">
        <v>586.6069</v>
      </c>
    </row>
    <row r="23" spans="1:18" x14ac:dyDescent="0.25">
      <c r="A23" t="s">
        <v>172</v>
      </c>
      <c r="B23" t="s">
        <v>22</v>
      </c>
      <c r="C23" s="1">
        <v>36826</v>
      </c>
      <c r="D23" s="2">
        <v>0.80486111111111114</v>
      </c>
      <c r="E23" t="s">
        <v>3</v>
      </c>
      <c r="F23" t="s">
        <v>4</v>
      </c>
      <c r="G23" t="s">
        <v>118</v>
      </c>
      <c r="H23" t="s">
        <v>5</v>
      </c>
      <c r="I23" t="s">
        <v>6</v>
      </c>
      <c r="J23" t="s">
        <v>7</v>
      </c>
      <c r="K23" t="s">
        <v>119</v>
      </c>
      <c r="L23" t="s">
        <v>8</v>
      </c>
      <c r="M23">
        <v>538.50660000000005</v>
      </c>
      <c r="N23">
        <v>1.6000000000000001E-3</v>
      </c>
      <c r="P23">
        <v>408439.24</v>
      </c>
      <c r="Q23">
        <v>4117730.1444999999</v>
      </c>
      <c r="R23">
        <v>498.50670000000002</v>
      </c>
    </row>
    <row r="24" spans="1:18" x14ac:dyDescent="0.25">
      <c r="A24" t="s">
        <v>153</v>
      </c>
      <c r="B24" t="s">
        <v>22</v>
      </c>
      <c r="C24" s="1">
        <v>36837</v>
      </c>
      <c r="D24" s="2">
        <v>0.67418981481481488</v>
      </c>
      <c r="E24" t="s">
        <v>3</v>
      </c>
      <c r="F24" t="s">
        <v>4</v>
      </c>
      <c r="G24" t="s">
        <v>154</v>
      </c>
      <c r="H24" t="s">
        <v>5</v>
      </c>
      <c r="I24" t="s">
        <v>6</v>
      </c>
      <c r="J24" t="s">
        <v>7</v>
      </c>
      <c r="K24" t="s">
        <v>155</v>
      </c>
      <c r="L24" t="s">
        <v>8</v>
      </c>
      <c r="M24">
        <v>538.24490000000003</v>
      </c>
      <c r="N24">
        <v>2.5999999999999999E-3</v>
      </c>
      <c r="P24">
        <v>408440.51980000001</v>
      </c>
      <c r="Q24">
        <v>4117730.5940999999</v>
      </c>
      <c r="R24">
        <v>498.245</v>
      </c>
    </row>
    <row r="25" spans="1:18" x14ac:dyDescent="0.25">
      <c r="A25" t="s">
        <v>33</v>
      </c>
      <c r="B25" t="s">
        <v>22</v>
      </c>
      <c r="C25" s="1">
        <v>36851</v>
      </c>
      <c r="D25" s="2">
        <v>0.4694444444444445</v>
      </c>
      <c r="E25" t="s">
        <v>3</v>
      </c>
      <c r="F25" t="s">
        <v>4</v>
      </c>
      <c r="G25" t="s">
        <v>34</v>
      </c>
      <c r="H25" t="s">
        <v>5</v>
      </c>
      <c r="I25" t="s">
        <v>6</v>
      </c>
      <c r="J25" t="s">
        <v>7</v>
      </c>
      <c r="K25" t="s">
        <v>35</v>
      </c>
      <c r="L25" t="s">
        <v>8</v>
      </c>
      <c r="M25">
        <v>538.00840000000005</v>
      </c>
      <c r="N25">
        <v>8.9999999999999998E-4</v>
      </c>
      <c r="P25">
        <v>408442.103</v>
      </c>
      <c r="Q25">
        <v>4117731.0803999999</v>
      </c>
      <c r="R25">
        <v>498.00850000000003</v>
      </c>
    </row>
    <row r="26" spans="1:18" x14ac:dyDescent="0.25">
      <c r="A26" t="s">
        <v>164</v>
      </c>
      <c r="B26" t="s">
        <v>22</v>
      </c>
      <c r="C26" s="1">
        <v>36826</v>
      </c>
      <c r="D26" s="2">
        <v>0.58263888888888882</v>
      </c>
      <c r="E26" t="s">
        <v>3</v>
      </c>
      <c r="F26" t="s">
        <v>4</v>
      </c>
      <c r="G26" t="s">
        <v>36</v>
      </c>
      <c r="H26" t="s">
        <v>5</v>
      </c>
      <c r="I26" t="s">
        <v>6</v>
      </c>
      <c r="J26" t="s">
        <v>20</v>
      </c>
      <c r="K26" t="s">
        <v>37</v>
      </c>
      <c r="L26" t="s">
        <v>8</v>
      </c>
      <c r="M26">
        <v>454.33679999999998</v>
      </c>
      <c r="N26">
        <v>8.9999999999999998E-4</v>
      </c>
      <c r="P26">
        <v>408943.55479999998</v>
      </c>
      <c r="Q26">
        <v>4117800.7672000001</v>
      </c>
      <c r="R26">
        <v>414.33679999999998</v>
      </c>
    </row>
    <row r="27" spans="1:18" x14ac:dyDescent="0.25">
      <c r="A27" t="s">
        <v>147</v>
      </c>
      <c r="B27" t="s">
        <v>22</v>
      </c>
      <c r="C27" s="1">
        <v>36837</v>
      </c>
      <c r="D27" s="2">
        <v>0.58680555555555558</v>
      </c>
      <c r="E27" t="s">
        <v>3</v>
      </c>
      <c r="F27" t="s">
        <v>4</v>
      </c>
      <c r="G27" t="s">
        <v>148</v>
      </c>
      <c r="H27" t="s">
        <v>5</v>
      </c>
      <c r="I27" t="s">
        <v>6</v>
      </c>
      <c r="J27" t="s">
        <v>20</v>
      </c>
      <c r="K27" t="s">
        <v>149</v>
      </c>
      <c r="L27" t="s">
        <v>8</v>
      </c>
      <c r="M27">
        <v>453.85250000000002</v>
      </c>
      <c r="N27">
        <v>2.0999999999999999E-3</v>
      </c>
      <c r="P27">
        <v>408945.0809</v>
      </c>
      <c r="Q27">
        <v>4117801.6047999999</v>
      </c>
      <c r="R27">
        <v>413.85250000000002</v>
      </c>
    </row>
    <row r="28" spans="1:18" x14ac:dyDescent="0.25">
      <c r="A28" t="s">
        <v>86</v>
      </c>
      <c r="B28" t="s">
        <v>22</v>
      </c>
      <c r="C28" s="1">
        <v>36851</v>
      </c>
      <c r="D28" s="2">
        <v>0.7270833333333333</v>
      </c>
      <c r="E28" t="s">
        <v>3</v>
      </c>
      <c r="F28" t="s">
        <v>4</v>
      </c>
      <c r="G28" t="s">
        <v>87</v>
      </c>
      <c r="H28" t="s">
        <v>5</v>
      </c>
      <c r="I28" t="s">
        <v>6</v>
      </c>
      <c r="J28" t="s">
        <v>20</v>
      </c>
      <c r="K28" t="s">
        <v>88</v>
      </c>
      <c r="L28" t="s">
        <v>8</v>
      </c>
      <c r="M28">
        <v>453.6814</v>
      </c>
      <c r="N28">
        <v>1.4E-3</v>
      </c>
      <c r="P28">
        <v>408947.0698</v>
      </c>
      <c r="Q28">
        <v>4117802.5326</v>
      </c>
      <c r="R28">
        <v>413.68150000000003</v>
      </c>
    </row>
    <row r="29" spans="1:18" x14ac:dyDescent="0.25">
      <c r="A29" t="s">
        <v>160</v>
      </c>
      <c r="B29" t="s">
        <v>22</v>
      </c>
      <c r="C29" s="1">
        <v>36923</v>
      </c>
      <c r="D29" s="2">
        <v>0.26209490740740743</v>
      </c>
      <c r="E29" t="s">
        <v>3</v>
      </c>
      <c r="F29" t="s">
        <v>4</v>
      </c>
      <c r="G29" t="s">
        <v>19</v>
      </c>
      <c r="H29" t="s">
        <v>5</v>
      </c>
      <c r="I29" t="s">
        <v>6</v>
      </c>
      <c r="J29" t="s">
        <v>20</v>
      </c>
      <c r="K29" t="s">
        <v>21</v>
      </c>
      <c r="L29" t="s">
        <v>8</v>
      </c>
      <c r="M29">
        <v>343.91410000000002</v>
      </c>
      <c r="N29">
        <v>0</v>
      </c>
      <c r="P29">
        <v>409419.4633</v>
      </c>
      <c r="Q29">
        <v>4117944.3064000001</v>
      </c>
      <c r="R29">
        <v>303.91419999999999</v>
      </c>
    </row>
    <row r="30" spans="1:18" x14ac:dyDescent="0.25">
      <c r="A30" t="s">
        <v>73</v>
      </c>
      <c r="B30" t="s">
        <v>22</v>
      </c>
      <c r="C30" s="1">
        <v>36837</v>
      </c>
      <c r="D30" s="2">
        <v>0.49131944444444442</v>
      </c>
      <c r="E30" t="s">
        <v>3</v>
      </c>
      <c r="F30" t="s">
        <v>4</v>
      </c>
      <c r="G30" t="s">
        <v>74</v>
      </c>
      <c r="H30" t="s">
        <v>5</v>
      </c>
      <c r="I30" t="s">
        <v>6</v>
      </c>
      <c r="J30" t="s">
        <v>20</v>
      </c>
      <c r="K30" t="s">
        <v>75</v>
      </c>
      <c r="L30" t="s">
        <v>8</v>
      </c>
      <c r="M30">
        <v>343.80650000000003</v>
      </c>
      <c r="N30">
        <v>1.1999999999999999E-3</v>
      </c>
      <c r="P30">
        <v>409420.94010000001</v>
      </c>
      <c r="Q30">
        <v>4117945.5307</v>
      </c>
      <c r="R30">
        <v>303.80650000000003</v>
      </c>
    </row>
    <row r="31" spans="1:18" x14ac:dyDescent="0.25">
      <c r="A31" t="s">
        <v>64</v>
      </c>
      <c r="B31" t="s">
        <v>22</v>
      </c>
      <c r="C31" s="1">
        <v>36852</v>
      </c>
      <c r="D31" s="2">
        <v>0.47743055555555558</v>
      </c>
      <c r="E31" t="s">
        <v>3</v>
      </c>
      <c r="F31" t="s">
        <v>4</v>
      </c>
      <c r="G31" t="s">
        <v>65</v>
      </c>
      <c r="H31" t="s">
        <v>5</v>
      </c>
      <c r="I31" t="s">
        <v>6</v>
      </c>
      <c r="J31" t="s">
        <v>20</v>
      </c>
      <c r="K31" t="s">
        <v>66</v>
      </c>
      <c r="L31" t="s">
        <v>8</v>
      </c>
      <c r="M31">
        <v>343.39080000000001</v>
      </c>
      <c r="N31">
        <v>1.1999999999999999E-3</v>
      </c>
      <c r="P31">
        <v>409423.02429999999</v>
      </c>
      <c r="Q31">
        <v>4117947.2182999998</v>
      </c>
      <c r="R31">
        <v>303.39089999999999</v>
      </c>
    </row>
    <row r="32" spans="1:18" x14ac:dyDescent="0.25">
      <c r="A32" t="s">
        <v>161</v>
      </c>
      <c r="B32" t="s">
        <v>22</v>
      </c>
      <c r="C32" s="1">
        <v>36827</v>
      </c>
      <c r="D32" s="2">
        <v>0.4993055555555555</v>
      </c>
      <c r="E32" t="s">
        <v>3</v>
      </c>
      <c r="F32" t="s">
        <v>4</v>
      </c>
      <c r="G32" t="s">
        <v>23</v>
      </c>
      <c r="H32" t="s">
        <v>5</v>
      </c>
      <c r="I32" t="s">
        <v>6</v>
      </c>
      <c r="J32" t="s">
        <v>24</v>
      </c>
      <c r="K32" t="s">
        <v>25</v>
      </c>
      <c r="L32" t="s">
        <v>8</v>
      </c>
      <c r="M32">
        <v>227.41659999999999</v>
      </c>
      <c r="N32">
        <v>6.9999999999999999E-4</v>
      </c>
      <c r="P32">
        <v>409783.54029999999</v>
      </c>
      <c r="Q32">
        <v>4118128.7900999999</v>
      </c>
      <c r="R32">
        <v>187.41669999999999</v>
      </c>
    </row>
    <row r="33" spans="1:18" x14ac:dyDescent="0.25">
      <c r="A33" t="s">
        <v>106</v>
      </c>
      <c r="B33" t="s">
        <v>22</v>
      </c>
      <c r="C33" s="1">
        <v>36837</v>
      </c>
      <c r="D33" s="2">
        <v>0.45069444444444445</v>
      </c>
      <c r="E33" t="s">
        <v>3</v>
      </c>
      <c r="F33" t="s">
        <v>4</v>
      </c>
      <c r="G33" t="s">
        <v>107</v>
      </c>
      <c r="H33" t="s">
        <v>5</v>
      </c>
      <c r="I33" t="s">
        <v>6</v>
      </c>
      <c r="J33" t="s">
        <v>24</v>
      </c>
      <c r="K33" t="s">
        <v>108</v>
      </c>
      <c r="L33" t="s">
        <v>8</v>
      </c>
      <c r="M33">
        <v>227.01920000000001</v>
      </c>
      <c r="N33">
        <v>1.6000000000000001E-3</v>
      </c>
      <c r="P33">
        <v>409784.74670000002</v>
      </c>
      <c r="Q33">
        <v>4118129.7437</v>
      </c>
      <c r="R33">
        <v>187.01929999999999</v>
      </c>
    </row>
    <row r="34" spans="1:18" x14ac:dyDescent="0.25">
      <c r="A34" t="s">
        <v>50</v>
      </c>
      <c r="B34" t="s">
        <v>22</v>
      </c>
      <c r="C34" s="1">
        <v>36852</v>
      </c>
      <c r="D34" s="2">
        <v>0.44618055555555558</v>
      </c>
      <c r="E34" t="s">
        <v>3</v>
      </c>
      <c r="F34" t="s">
        <v>4</v>
      </c>
      <c r="G34" t="s">
        <v>51</v>
      </c>
      <c r="H34" t="s">
        <v>5</v>
      </c>
      <c r="I34" t="s">
        <v>6</v>
      </c>
      <c r="J34" t="s">
        <v>24</v>
      </c>
      <c r="K34" t="s">
        <v>52</v>
      </c>
      <c r="L34" t="s">
        <v>8</v>
      </c>
      <c r="M34">
        <v>226.4306</v>
      </c>
      <c r="N34">
        <v>1E-3</v>
      </c>
      <c r="P34">
        <v>409786.60340000002</v>
      </c>
      <c r="Q34">
        <v>4118131.1513999999</v>
      </c>
      <c r="R34">
        <v>186.4307</v>
      </c>
    </row>
    <row r="35" spans="1:18" x14ac:dyDescent="0.25">
      <c r="A35" t="s">
        <v>167</v>
      </c>
      <c r="B35" t="s">
        <v>22</v>
      </c>
      <c r="C35" s="1">
        <v>36839</v>
      </c>
      <c r="D35" s="2">
        <v>0.83090277777777777</v>
      </c>
      <c r="E35" t="s">
        <v>3</v>
      </c>
      <c r="F35" t="s">
        <v>10</v>
      </c>
      <c r="G35" t="s">
        <v>48</v>
      </c>
      <c r="H35" t="s">
        <v>5</v>
      </c>
      <c r="I35" t="s">
        <v>6</v>
      </c>
      <c r="J35" t="s">
        <v>20</v>
      </c>
      <c r="K35" t="s">
        <v>49</v>
      </c>
      <c r="L35" t="s">
        <v>8</v>
      </c>
      <c r="M35">
        <v>531.9135</v>
      </c>
      <c r="N35">
        <v>1E-3</v>
      </c>
      <c r="P35">
        <v>408561.09840000002</v>
      </c>
      <c r="Q35">
        <v>4117426.0044</v>
      </c>
      <c r="R35">
        <v>491.9135</v>
      </c>
    </row>
    <row r="36" spans="1:18" x14ac:dyDescent="0.25">
      <c r="A36" t="s">
        <v>26</v>
      </c>
      <c r="B36" t="s">
        <v>22</v>
      </c>
      <c r="C36" s="1">
        <v>36852</v>
      </c>
      <c r="D36" s="2">
        <v>0.74004629629629637</v>
      </c>
      <c r="E36" t="s">
        <v>3</v>
      </c>
      <c r="F36" t="s">
        <v>10</v>
      </c>
      <c r="G36" t="s">
        <v>27</v>
      </c>
      <c r="H36" t="s">
        <v>5</v>
      </c>
      <c r="I36" t="s">
        <v>6</v>
      </c>
      <c r="J36" t="s">
        <v>20</v>
      </c>
      <c r="K36" t="s">
        <v>28</v>
      </c>
      <c r="L36" t="s">
        <v>8</v>
      </c>
      <c r="M36">
        <v>531.9778</v>
      </c>
      <c r="N36">
        <v>6.9999999999999999E-4</v>
      </c>
      <c r="P36">
        <v>408562.44199999998</v>
      </c>
      <c r="Q36">
        <v>4117426.5208999999</v>
      </c>
      <c r="R36">
        <v>491.97789999999998</v>
      </c>
    </row>
    <row r="37" spans="1:18" x14ac:dyDescent="0.25">
      <c r="A37" t="s">
        <v>168</v>
      </c>
      <c r="B37" t="s">
        <v>22</v>
      </c>
      <c r="C37" s="1">
        <v>36839</v>
      </c>
      <c r="D37" s="2">
        <v>0.8081018518518519</v>
      </c>
      <c r="E37" t="s">
        <v>3</v>
      </c>
      <c r="F37" t="s">
        <v>10</v>
      </c>
      <c r="G37" t="s">
        <v>56</v>
      </c>
      <c r="H37" t="s">
        <v>5</v>
      </c>
      <c r="I37" t="s">
        <v>6</v>
      </c>
      <c r="J37" t="s">
        <v>20</v>
      </c>
      <c r="K37" t="s">
        <v>57</v>
      </c>
      <c r="L37" t="s">
        <v>8</v>
      </c>
      <c r="M37">
        <v>534.00879999999995</v>
      </c>
      <c r="N37">
        <v>1.1000000000000001E-3</v>
      </c>
      <c r="P37">
        <v>408521.05650000001</v>
      </c>
      <c r="Q37">
        <v>4117527.9372999999</v>
      </c>
      <c r="R37">
        <v>494.00890000000004</v>
      </c>
    </row>
    <row r="38" spans="1:18" x14ac:dyDescent="0.25">
      <c r="A38" t="s">
        <v>89</v>
      </c>
      <c r="B38" t="s">
        <v>22</v>
      </c>
      <c r="C38" s="1">
        <v>36852</v>
      </c>
      <c r="D38" s="2">
        <v>0.70636574074074077</v>
      </c>
      <c r="E38" t="s">
        <v>3</v>
      </c>
      <c r="F38" t="s">
        <v>10</v>
      </c>
      <c r="G38" t="s">
        <v>90</v>
      </c>
      <c r="H38" t="s">
        <v>5</v>
      </c>
      <c r="I38" t="s">
        <v>6</v>
      </c>
      <c r="J38" t="s">
        <v>20</v>
      </c>
      <c r="K38" t="s">
        <v>91</v>
      </c>
      <c r="L38" t="s">
        <v>8</v>
      </c>
      <c r="M38">
        <v>533.98140000000001</v>
      </c>
      <c r="N38">
        <v>1.4E-3</v>
      </c>
      <c r="P38">
        <v>408522.3861</v>
      </c>
      <c r="Q38">
        <v>4117528.4911000002</v>
      </c>
      <c r="R38">
        <v>493.98149999999998</v>
      </c>
    </row>
    <row r="39" spans="1:18" x14ac:dyDescent="0.25">
      <c r="A39" t="s">
        <v>166</v>
      </c>
      <c r="B39" t="s">
        <v>22</v>
      </c>
      <c r="C39" s="1">
        <v>36839</v>
      </c>
      <c r="D39" s="2">
        <v>0.78819444444444453</v>
      </c>
      <c r="E39" t="s">
        <v>3</v>
      </c>
      <c r="F39" t="s">
        <v>4</v>
      </c>
      <c r="G39" t="s">
        <v>43</v>
      </c>
      <c r="H39" t="s">
        <v>5</v>
      </c>
      <c r="I39" t="s">
        <v>6</v>
      </c>
      <c r="J39" t="s">
        <v>20</v>
      </c>
      <c r="K39" t="s">
        <v>44</v>
      </c>
      <c r="L39" t="s">
        <v>8</v>
      </c>
      <c r="M39">
        <v>535.93759999999997</v>
      </c>
      <c r="N39">
        <v>1E-3</v>
      </c>
      <c r="P39">
        <v>408480.7378</v>
      </c>
      <c r="Q39">
        <v>4117630.2930000001</v>
      </c>
      <c r="R39">
        <v>495.93769999999995</v>
      </c>
    </row>
    <row r="40" spans="1:18" x14ac:dyDescent="0.25">
      <c r="A40" t="s">
        <v>61</v>
      </c>
      <c r="B40" t="s">
        <v>22</v>
      </c>
      <c r="C40" s="1">
        <v>36852</v>
      </c>
      <c r="D40" s="2">
        <v>0.68194444444444446</v>
      </c>
      <c r="E40" t="s">
        <v>3</v>
      </c>
      <c r="F40" t="s">
        <v>4</v>
      </c>
      <c r="G40" t="s">
        <v>62</v>
      </c>
      <c r="H40" t="s">
        <v>5</v>
      </c>
      <c r="I40" t="s">
        <v>6</v>
      </c>
      <c r="J40" t="s">
        <v>20</v>
      </c>
      <c r="K40" t="s">
        <v>63</v>
      </c>
      <c r="L40" t="s">
        <v>8</v>
      </c>
      <c r="M40">
        <v>535.70270000000005</v>
      </c>
      <c r="N40">
        <v>1.1000000000000001E-3</v>
      </c>
      <c r="P40">
        <v>408482.1825</v>
      </c>
      <c r="Q40">
        <v>4117630.9134999998</v>
      </c>
      <c r="R40">
        <v>495.70280000000002</v>
      </c>
    </row>
    <row r="41" spans="1:18" x14ac:dyDescent="0.25">
      <c r="A41" t="s">
        <v>169</v>
      </c>
      <c r="B41" t="s">
        <v>22</v>
      </c>
      <c r="C41" s="1">
        <v>36839</v>
      </c>
      <c r="D41" s="2">
        <v>0.76400462962962967</v>
      </c>
      <c r="E41" t="s">
        <v>3</v>
      </c>
      <c r="F41" t="s">
        <v>4</v>
      </c>
      <c r="G41" t="s">
        <v>76</v>
      </c>
      <c r="H41" t="s">
        <v>5</v>
      </c>
      <c r="I41" t="s">
        <v>6</v>
      </c>
      <c r="J41" t="s">
        <v>7</v>
      </c>
      <c r="K41" t="s">
        <v>77</v>
      </c>
      <c r="L41" t="s">
        <v>8</v>
      </c>
      <c r="M41">
        <v>539.16980000000001</v>
      </c>
      <c r="N41">
        <v>1.2999999999999999E-3</v>
      </c>
      <c r="P41">
        <v>408398.63299999997</v>
      </c>
      <c r="Q41">
        <v>4117833.7673999998</v>
      </c>
      <c r="R41">
        <v>499.16989999999998</v>
      </c>
    </row>
    <row r="42" spans="1:18" x14ac:dyDescent="0.25">
      <c r="A42" t="s">
        <v>115</v>
      </c>
      <c r="B42" t="s">
        <v>22</v>
      </c>
      <c r="C42" s="1">
        <v>36852</v>
      </c>
      <c r="D42" s="2">
        <v>0.65277777777777779</v>
      </c>
      <c r="E42" t="s">
        <v>3</v>
      </c>
      <c r="F42" t="s">
        <v>4</v>
      </c>
      <c r="G42" t="s">
        <v>116</v>
      </c>
      <c r="H42" t="s">
        <v>5</v>
      </c>
      <c r="I42" t="s">
        <v>6</v>
      </c>
      <c r="J42" t="s">
        <v>7</v>
      </c>
      <c r="K42" t="s">
        <v>117</v>
      </c>
      <c r="L42" t="s">
        <v>8</v>
      </c>
      <c r="M42">
        <v>539.16099999999994</v>
      </c>
      <c r="N42">
        <v>1.6000000000000001E-3</v>
      </c>
      <c r="P42">
        <v>408399.31479999999</v>
      </c>
      <c r="Q42">
        <v>4117834.0776999998</v>
      </c>
      <c r="R42">
        <v>499.16099999999994</v>
      </c>
    </row>
    <row r="43" spans="1:18" x14ac:dyDescent="0.25">
      <c r="A43" t="s">
        <v>177</v>
      </c>
      <c r="B43" t="s">
        <v>22</v>
      </c>
      <c r="C43" s="1">
        <v>36923</v>
      </c>
      <c r="D43" s="2">
        <v>0.26318287037037036</v>
      </c>
      <c r="E43" t="s">
        <v>3</v>
      </c>
      <c r="F43" t="s">
        <v>4</v>
      </c>
      <c r="G43" t="s">
        <v>156</v>
      </c>
      <c r="H43" t="s">
        <v>5</v>
      </c>
      <c r="I43" t="s">
        <v>6</v>
      </c>
      <c r="J43" t="s">
        <v>7</v>
      </c>
      <c r="K43" t="s">
        <v>157</v>
      </c>
      <c r="L43" t="s">
        <v>8</v>
      </c>
      <c r="M43">
        <v>533.66859999999997</v>
      </c>
      <c r="N43">
        <v>1.21E-2</v>
      </c>
      <c r="P43">
        <v>408357.69689999998</v>
      </c>
      <c r="Q43">
        <v>4117934.8596999999</v>
      </c>
      <c r="R43">
        <v>493.66859999999997</v>
      </c>
    </row>
    <row r="44" spans="1:18" x14ac:dyDescent="0.25">
      <c r="A44" t="s">
        <v>67</v>
      </c>
      <c r="B44" t="s">
        <v>22</v>
      </c>
      <c r="C44" s="1">
        <v>36852</v>
      </c>
      <c r="D44" s="2">
        <v>0.62673611111111105</v>
      </c>
      <c r="E44" t="s">
        <v>3</v>
      </c>
      <c r="F44" t="s">
        <v>4</v>
      </c>
      <c r="G44" t="s">
        <v>68</v>
      </c>
      <c r="H44" t="s">
        <v>5</v>
      </c>
      <c r="I44" t="s">
        <v>6</v>
      </c>
      <c r="J44" t="s">
        <v>7</v>
      </c>
      <c r="K44" t="s">
        <v>69</v>
      </c>
      <c r="L44" t="s">
        <v>8</v>
      </c>
      <c r="M44">
        <v>533.82330000000002</v>
      </c>
      <c r="N44">
        <v>1.1999999999999999E-3</v>
      </c>
      <c r="P44">
        <v>408357.9742</v>
      </c>
      <c r="Q44">
        <v>4117935.0128000001</v>
      </c>
      <c r="R44">
        <v>493.82339999999999</v>
      </c>
    </row>
    <row r="45" spans="1:18" x14ac:dyDescent="0.25">
      <c r="A45" t="s">
        <v>165</v>
      </c>
      <c r="B45" t="s">
        <v>22</v>
      </c>
      <c r="C45" s="1">
        <v>36826</v>
      </c>
      <c r="D45" s="2">
        <v>0.76666666666666661</v>
      </c>
      <c r="E45" t="s">
        <v>3</v>
      </c>
      <c r="F45" t="s">
        <v>10</v>
      </c>
      <c r="G45" t="s">
        <v>41</v>
      </c>
      <c r="H45" t="s">
        <v>5</v>
      </c>
      <c r="I45" t="s">
        <v>6</v>
      </c>
      <c r="J45" t="s">
        <v>20</v>
      </c>
      <c r="K45" t="s">
        <v>42</v>
      </c>
      <c r="L45" t="s">
        <v>8</v>
      </c>
      <c r="M45">
        <v>458.7439</v>
      </c>
      <c r="N45">
        <v>1E-3</v>
      </c>
      <c r="P45">
        <v>408983.99310000002</v>
      </c>
      <c r="Q45">
        <v>4117596.2237</v>
      </c>
      <c r="R45">
        <v>418.74400000000003</v>
      </c>
    </row>
    <row r="46" spans="1:18" x14ac:dyDescent="0.25">
      <c r="A46" t="s">
        <v>150</v>
      </c>
      <c r="B46" t="s">
        <v>22</v>
      </c>
      <c r="C46" s="1">
        <v>36837</v>
      </c>
      <c r="D46" s="2">
        <v>0.53125</v>
      </c>
      <c r="E46" t="s">
        <v>3</v>
      </c>
      <c r="F46" t="s">
        <v>4</v>
      </c>
      <c r="G46" t="s">
        <v>151</v>
      </c>
      <c r="H46" t="s">
        <v>5</v>
      </c>
      <c r="I46" t="s">
        <v>6</v>
      </c>
      <c r="J46" t="s">
        <v>20</v>
      </c>
      <c r="K46" t="s">
        <v>152</v>
      </c>
      <c r="L46" t="s">
        <v>8</v>
      </c>
      <c r="M46">
        <v>458.40429999999998</v>
      </c>
      <c r="N46">
        <v>2.5999999999999999E-3</v>
      </c>
      <c r="P46">
        <v>408985.56449999998</v>
      </c>
      <c r="Q46">
        <v>4117596.9687999999</v>
      </c>
      <c r="R46">
        <v>418.40429999999998</v>
      </c>
    </row>
    <row r="47" spans="1:18" x14ac:dyDescent="0.25">
      <c r="A47" t="s">
        <v>132</v>
      </c>
      <c r="B47" t="s">
        <v>22</v>
      </c>
      <c r="C47" s="1">
        <v>36852</v>
      </c>
      <c r="D47" s="2">
        <v>0.51122685185185179</v>
      </c>
      <c r="E47" t="s">
        <v>3</v>
      </c>
      <c r="F47" t="s">
        <v>4</v>
      </c>
      <c r="G47" t="s">
        <v>133</v>
      </c>
      <c r="H47" t="s">
        <v>5</v>
      </c>
      <c r="I47" t="s">
        <v>6</v>
      </c>
      <c r="J47" t="s">
        <v>20</v>
      </c>
      <c r="K47" t="s">
        <v>134</v>
      </c>
      <c r="L47" t="s">
        <v>8</v>
      </c>
      <c r="M47">
        <v>458.19779999999997</v>
      </c>
      <c r="N47">
        <v>1.9E-3</v>
      </c>
      <c r="P47">
        <v>408987.73450000002</v>
      </c>
      <c r="Q47">
        <v>4117597.9193000002</v>
      </c>
      <c r="R47">
        <v>418.1979</v>
      </c>
    </row>
    <row r="48" spans="1:18" x14ac:dyDescent="0.25">
      <c r="A48" t="s">
        <v>171</v>
      </c>
      <c r="B48" t="s">
        <v>22</v>
      </c>
      <c r="C48" s="1">
        <v>36826</v>
      </c>
      <c r="D48" s="2">
        <v>0.70590277777777777</v>
      </c>
      <c r="E48" t="s">
        <v>3</v>
      </c>
      <c r="F48" t="s">
        <v>4</v>
      </c>
      <c r="G48" t="s">
        <v>101</v>
      </c>
      <c r="H48" t="s">
        <v>5</v>
      </c>
      <c r="I48" t="s">
        <v>6</v>
      </c>
      <c r="J48" t="s">
        <v>20</v>
      </c>
      <c r="K48" t="s">
        <v>102</v>
      </c>
      <c r="L48" t="s">
        <v>8</v>
      </c>
      <c r="M48">
        <v>454.17509999999999</v>
      </c>
      <c r="N48">
        <v>1.5E-3</v>
      </c>
      <c r="P48">
        <v>408960.25790000003</v>
      </c>
      <c r="Q48">
        <v>4117711.7415</v>
      </c>
      <c r="R48">
        <v>414.17509999999999</v>
      </c>
    </row>
    <row r="49" spans="1:18" x14ac:dyDescent="0.25">
      <c r="A49" t="s">
        <v>112</v>
      </c>
      <c r="B49" t="s">
        <v>22</v>
      </c>
      <c r="C49" s="1">
        <v>36837</v>
      </c>
      <c r="D49" s="2">
        <v>0.55775462962962963</v>
      </c>
      <c r="E49" t="s">
        <v>3</v>
      </c>
      <c r="F49" t="s">
        <v>4</v>
      </c>
      <c r="G49" t="s">
        <v>113</v>
      </c>
      <c r="H49" t="s">
        <v>5</v>
      </c>
      <c r="I49" t="s">
        <v>6</v>
      </c>
      <c r="J49" t="s">
        <v>20</v>
      </c>
      <c r="K49" t="s">
        <v>114</v>
      </c>
      <c r="L49" t="s">
        <v>8</v>
      </c>
      <c r="M49">
        <v>453.84460000000001</v>
      </c>
      <c r="N49">
        <v>1.6000000000000001E-3</v>
      </c>
      <c r="P49">
        <v>408961.88679999998</v>
      </c>
      <c r="Q49">
        <v>4117712.5543</v>
      </c>
      <c r="R49">
        <v>413.84460000000001</v>
      </c>
    </row>
    <row r="50" spans="1:18" x14ac:dyDescent="0.25">
      <c r="A50" t="s">
        <v>144</v>
      </c>
      <c r="B50" t="s">
        <v>22</v>
      </c>
      <c r="C50" s="1">
        <v>36852</v>
      </c>
      <c r="D50" s="2">
        <v>0.53645833333333337</v>
      </c>
      <c r="E50" t="s">
        <v>3</v>
      </c>
      <c r="F50" t="s">
        <v>4</v>
      </c>
      <c r="G50" t="s">
        <v>145</v>
      </c>
      <c r="H50" t="s">
        <v>5</v>
      </c>
      <c r="I50" t="s">
        <v>6</v>
      </c>
      <c r="J50" t="s">
        <v>20</v>
      </c>
      <c r="K50" t="s">
        <v>146</v>
      </c>
      <c r="L50" t="s">
        <v>8</v>
      </c>
      <c r="M50">
        <v>453.6345</v>
      </c>
      <c r="N50">
        <v>2.0999999999999999E-3</v>
      </c>
      <c r="P50">
        <v>408964.08630000002</v>
      </c>
      <c r="Q50">
        <v>4117713.5504999999</v>
      </c>
      <c r="R50">
        <v>413.63459999999998</v>
      </c>
    </row>
    <row r="51" spans="1:18" x14ac:dyDescent="0.25">
      <c r="A51" t="s">
        <v>163</v>
      </c>
      <c r="B51" t="s">
        <v>22</v>
      </c>
      <c r="C51" s="1">
        <v>36826</v>
      </c>
      <c r="D51" s="2">
        <v>0.66840277777777779</v>
      </c>
      <c r="E51" t="s">
        <v>3</v>
      </c>
      <c r="F51" t="s">
        <v>4</v>
      </c>
      <c r="G51" t="s">
        <v>31</v>
      </c>
      <c r="H51" t="s">
        <v>5</v>
      </c>
      <c r="I51" t="s">
        <v>6</v>
      </c>
      <c r="J51" t="s">
        <v>20</v>
      </c>
      <c r="K51" t="s">
        <v>32</v>
      </c>
      <c r="L51" t="s">
        <v>8</v>
      </c>
      <c r="M51">
        <v>455.43279999999999</v>
      </c>
      <c r="N51">
        <v>8.9999999999999998E-4</v>
      </c>
      <c r="P51">
        <v>408922.45870000002</v>
      </c>
      <c r="Q51">
        <v>4117898.9427999998</v>
      </c>
      <c r="R51">
        <v>415.43279999999999</v>
      </c>
    </row>
    <row r="52" spans="1:18" x14ac:dyDescent="0.25">
      <c r="A52" t="s">
        <v>95</v>
      </c>
      <c r="B52" t="s">
        <v>22</v>
      </c>
      <c r="C52" s="1">
        <v>36837</v>
      </c>
      <c r="D52" s="2">
        <v>0.61215277777777777</v>
      </c>
      <c r="E52" t="s">
        <v>3</v>
      </c>
      <c r="F52" t="s">
        <v>4</v>
      </c>
      <c r="G52" t="s">
        <v>96</v>
      </c>
      <c r="H52" t="s">
        <v>5</v>
      </c>
      <c r="I52" t="s">
        <v>6</v>
      </c>
      <c r="J52" t="s">
        <v>20</v>
      </c>
      <c r="K52" t="s">
        <v>97</v>
      </c>
      <c r="L52" t="s">
        <v>8</v>
      </c>
      <c r="M52">
        <v>455.05599999999998</v>
      </c>
      <c r="N52">
        <v>1.4E-3</v>
      </c>
      <c r="P52">
        <v>408923.75689999998</v>
      </c>
      <c r="Q52">
        <v>4117899.4</v>
      </c>
      <c r="R52">
        <v>415.05610000000001</v>
      </c>
    </row>
    <row r="53" spans="1:18" x14ac:dyDescent="0.25">
      <c r="A53" t="s">
        <v>58</v>
      </c>
      <c r="B53" t="s">
        <v>22</v>
      </c>
      <c r="C53" s="1">
        <v>36852</v>
      </c>
      <c r="D53" s="2">
        <v>0.56215277777777783</v>
      </c>
      <c r="E53" t="s">
        <v>3</v>
      </c>
      <c r="F53" t="s">
        <v>4</v>
      </c>
      <c r="G53" t="s">
        <v>59</v>
      </c>
      <c r="H53" t="s">
        <v>5</v>
      </c>
      <c r="I53" t="s">
        <v>6</v>
      </c>
      <c r="J53" t="s">
        <v>20</v>
      </c>
      <c r="K53" t="s">
        <v>60</v>
      </c>
      <c r="L53" t="s">
        <v>8</v>
      </c>
      <c r="M53">
        <v>454.93860000000001</v>
      </c>
      <c r="N53">
        <v>1.1000000000000001E-3</v>
      </c>
      <c r="P53">
        <v>408925.57140000002</v>
      </c>
      <c r="Q53">
        <v>4117900.0227000001</v>
      </c>
      <c r="R53">
        <v>414.93869999999998</v>
      </c>
    </row>
    <row r="54" spans="1:18" x14ac:dyDescent="0.25">
      <c r="A54" t="s">
        <v>162</v>
      </c>
      <c r="B54" t="s">
        <v>22</v>
      </c>
      <c r="C54" s="1">
        <v>36826</v>
      </c>
      <c r="D54" s="2">
        <v>0.62881944444444449</v>
      </c>
      <c r="E54" t="s">
        <v>3</v>
      </c>
      <c r="F54" t="s">
        <v>4</v>
      </c>
      <c r="G54" t="s">
        <v>29</v>
      </c>
      <c r="H54" t="s">
        <v>5</v>
      </c>
      <c r="I54" t="s">
        <v>6</v>
      </c>
      <c r="J54" t="s">
        <v>20</v>
      </c>
      <c r="K54" t="s">
        <v>30</v>
      </c>
      <c r="L54" t="s">
        <v>8</v>
      </c>
      <c r="M54">
        <v>453.60039999999998</v>
      </c>
      <c r="N54">
        <v>8.0000000000000004E-4</v>
      </c>
      <c r="P54">
        <v>408894.24070000002</v>
      </c>
      <c r="Q54">
        <v>4117975.3354000002</v>
      </c>
      <c r="R54">
        <v>413.60050000000001</v>
      </c>
    </row>
    <row r="55" spans="1:18" x14ac:dyDescent="0.25">
      <c r="A55" t="s">
        <v>122</v>
      </c>
      <c r="B55" t="s">
        <v>22</v>
      </c>
      <c r="C55" s="1">
        <v>36837</v>
      </c>
      <c r="D55" s="2">
        <v>0.63784722222222223</v>
      </c>
      <c r="E55" t="s">
        <v>3</v>
      </c>
      <c r="F55" t="s">
        <v>4</v>
      </c>
      <c r="G55" t="s">
        <v>123</v>
      </c>
      <c r="H55" t="s">
        <v>5</v>
      </c>
      <c r="I55" t="s">
        <v>6</v>
      </c>
      <c r="J55" t="s">
        <v>20</v>
      </c>
      <c r="K55" t="s">
        <v>124</v>
      </c>
      <c r="L55" t="s">
        <v>8</v>
      </c>
      <c r="M55">
        <v>453.52839999999998</v>
      </c>
      <c r="N55">
        <v>1.8E-3</v>
      </c>
      <c r="P55">
        <v>408894.84769999998</v>
      </c>
      <c r="Q55">
        <v>4117975.6567000002</v>
      </c>
      <c r="R55">
        <v>413.52850000000001</v>
      </c>
    </row>
    <row r="56" spans="1:18" x14ac:dyDescent="0.25">
      <c r="A56" t="s">
        <v>92</v>
      </c>
      <c r="B56" t="s">
        <v>22</v>
      </c>
      <c r="C56" s="1">
        <v>36852</v>
      </c>
      <c r="D56" s="2">
        <v>0.5869212962962963</v>
      </c>
      <c r="E56" t="s">
        <v>3</v>
      </c>
      <c r="F56" t="s">
        <v>4</v>
      </c>
      <c r="G56" t="s">
        <v>93</v>
      </c>
      <c r="H56" t="s">
        <v>5</v>
      </c>
      <c r="I56" t="s">
        <v>6</v>
      </c>
      <c r="J56" t="s">
        <v>20</v>
      </c>
      <c r="K56" t="s">
        <v>94</v>
      </c>
      <c r="L56" t="s">
        <v>8</v>
      </c>
      <c r="M56">
        <v>453.72289999999998</v>
      </c>
      <c r="N56">
        <v>1.4E-3</v>
      </c>
      <c r="P56">
        <v>408895.49180000002</v>
      </c>
      <c r="Q56">
        <v>4117976.0048000002</v>
      </c>
      <c r="R56">
        <v>413.72300000000001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0"/>
  <sheetViews>
    <sheetView workbookViewId="0">
      <pane xSplit="2484" topLeftCell="I1" activePane="topRight"/>
      <selection activeCell="A8" sqref="A8"/>
      <selection pane="topRight" activeCell="M7" sqref="M7"/>
    </sheetView>
  </sheetViews>
  <sheetFormatPr defaultRowHeight="13.2" x14ac:dyDescent="0.25"/>
  <cols>
    <col min="2" max="2" width="10.33203125" customWidth="1"/>
    <col min="4" max="4" width="10" customWidth="1"/>
    <col min="5" max="5" width="11" customWidth="1"/>
    <col min="6" max="8" width="10.109375" customWidth="1"/>
    <col min="10" max="10" width="12.21875" style="3" bestFit="1" customWidth="1"/>
    <col min="11" max="11" width="9.6640625" style="3" customWidth="1"/>
    <col min="12" max="12" width="10.5546875" customWidth="1"/>
    <col min="13" max="13" width="8.88671875" style="3"/>
    <col min="15" max="15" width="8.88671875" style="3"/>
  </cols>
  <sheetData>
    <row r="1" spans="1:17" x14ac:dyDescent="0.25">
      <c r="A1" t="s">
        <v>194</v>
      </c>
      <c r="B1" t="s">
        <v>195</v>
      </c>
      <c r="C1" t="s">
        <v>196</v>
      </c>
      <c r="D1" t="s">
        <v>158</v>
      </c>
      <c r="E1" t="s">
        <v>159</v>
      </c>
      <c r="F1" t="s">
        <v>197</v>
      </c>
      <c r="G1" t="s">
        <v>202</v>
      </c>
      <c r="H1" t="s">
        <v>200</v>
      </c>
      <c r="J1" s="3" t="s">
        <v>198</v>
      </c>
      <c r="K1" s="3" t="s">
        <v>199</v>
      </c>
      <c r="L1" t="s">
        <v>204</v>
      </c>
      <c r="M1" s="3" t="s">
        <v>206</v>
      </c>
      <c r="N1" s="3" t="s">
        <v>208</v>
      </c>
      <c r="O1" s="3" t="s">
        <v>210</v>
      </c>
      <c r="Q1" s="3"/>
    </row>
    <row r="2" spans="1:17" x14ac:dyDescent="0.25">
      <c r="F2" t="s">
        <v>203</v>
      </c>
      <c r="H2" t="s">
        <v>201</v>
      </c>
      <c r="L2" t="s">
        <v>205</v>
      </c>
      <c r="M2" s="3" t="s">
        <v>207</v>
      </c>
      <c r="N2" t="s">
        <v>209</v>
      </c>
      <c r="O2" s="3" t="s">
        <v>205</v>
      </c>
      <c r="Q2" s="3"/>
    </row>
    <row r="3" spans="1:17" x14ac:dyDescent="0.25">
      <c r="A3" t="s">
        <v>15</v>
      </c>
      <c r="B3" s="1">
        <v>36826</v>
      </c>
      <c r="C3" s="2">
        <v>0.86528935185185185</v>
      </c>
      <c r="D3">
        <v>411215.70919999998</v>
      </c>
      <c r="E3">
        <v>4117926.3202</v>
      </c>
      <c r="F3">
        <v>28.110100000000003</v>
      </c>
      <c r="J3"/>
      <c r="O3" s="3" t="s">
        <v>211</v>
      </c>
      <c r="P3" t="s">
        <v>212</v>
      </c>
    </row>
    <row r="4" spans="1:17" x14ac:dyDescent="0.25">
      <c r="A4" t="s">
        <v>176</v>
      </c>
      <c r="B4" s="1">
        <v>36826</v>
      </c>
      <c r="C4" s="2">
        <v>0.66828703703703696</v>
      </c>
      <c r="D4">
        <v>406057.85580000002</v>
      </c>
      <c r="E4">
        <v>4116281.4057</v>
      </c>
      <c r="F4">
        <v>1061.2837</v>
      </c>
      <c r="G4">
        <v>1.75</v>
      </c>
      <c r="H4">
        <f>F4+G4</f>
        <v>1063.0337</v>
      </c>
      <c r="J4" s="3">
        <v>0</v>
      </c>
      <c r="K4" s="3">
        <v>0</v>
      </c>
    </row>
    <row r="5" spans="1:17" x14ac:dyDescent="0.25">
      <c r="A5" t="s">
        <v>141</v>
      </c>
      <c r="B5" s="1">
        <v>36839</v>
      </c>
      <c r="C5" s="2">
        <v>0.56388888888888888</v>
      </c>
      <c r="D5">
        <v>406058.45890000003</v>
      </c>
      <c r="E5">
        <v>4116281.9097000002</v>
      </c>
      <c r="F5">
        <v>1061.3667</v>
      </c>
      <c r="G5">
        <v>1.3</v>
      </c>
      <c r="H5">
        <f t="shared" ref="H5:H60" si="0">F5+G5</f>
        <v>1062.6667</v>
      </c>
      <c r="J5" s="3">
        <f>SQRT((D4-D5)^2+(E4-E5)^2)/(B5+C5-B4-C4)</f>
        <v>6.0948527551964123E-2</v>
      </c>
      <c r="K5" s="3">
        <f t="shared" ref="K5:K60" si="1">SQRT(2)*0.05/(B5+C5-B4-C4)</f>
        <v>5.483317407827348E-3</v>
      </c>
      <c r="L5" s="3">
        <f>(H5-H4)/(B5+C5-B4-C4)</f>
        <v>-2.8459315370948556E-2</v>
      </c>
    </row>
    <row r="6" spans="1:17" x14ac:dyDescent="0.25">
      <c r="A6" t="s">
        <v>138</v>
      </c>
      <c r="B6" s="1">
        <v>36851</v>
      </c>
      <c r="C6" s="2">
        <v>0.55486111111111114</v>
      </c>
      <c r="D6">
        <v>406058.92989999999</v>
      </c>
      <c r="E6">
        <v>4116282.3440999999</v>
      </c>
      <c r="F6">
        <v>1061.1425999999999</v>
      </c>
      <c r="G6">
        <v>1.3149999999999999</v>
      </c>
      <c r="H6">
        <f t="shared" si="0"/>
        <v>1062.4576</v>
      </c>
      <c r="J6" s="3">
        <f t="shared" ref="J6:J60" si="2">SQRT((D5-D6)^2+(E5-E6)^2)/(B6+C6-B5-C5)</f>
        <v>5.3434979613637586E-2</v>
      </c>
      <c r="K6" s="3">
        <f t="shared" si="1"/>
        <v>5.8969929050147066E-3</v>
      </c>
      <c r="L6" s="3">
        <f>(H6-H5)/(B6+C6-B5-C5)</f>
        <v>-1.7438118955239904E-2</v>
      </c>
      <c r="M6" s="3">
        <f>(H6-H4)/(B6+C6-B4-C4)</f>
        <v>-2.3149027997398316E-2</v>
      </c>
      <c r="N6">
        <v>21</v>
      </c>
      <c r="O6" s="3">
        <f>L6+TAN(N6/180*3.14)*J6</f>
        <v>3.0622569977749141E-3</v>
      </c>
      <c r="P6">
        <f>O6*365</f>
        <v>1.1177238041878437</v>
      </c>
    </row>
    <row r="7" spans="1:17" x14ac:dyDescent="0.25">
      <c r="A7" t="s">
        <v>173</v>
      </c>
      <c r="B7" s="1">
        <v>36826</v>
      </c>
      <c r="C7" s="2">
        <v>0.62465277777777783</v>
      </c>
      <c r="D7">
        <v>406272.97779999999</v>
      </c>
      <c r="E7">
        <v>4116569.8615999999</v>
      </c>
      <c r="F7">
        <v>958.35310000000004</v>
      </c>
      <c r="G7">
        <v>1.67</v>
      </c>
      <c r="H7">
        <f t="shared" si="0"/>
        <v>960.0231</v>
      </c>
      <c r="J7" s="3">
        <v>0</v>
      </c>
      <c r="K7" s="3">
        <v>0</v>
      </c>
    </row>
    <row r="8" spans="1:17" x14ac:dyDescent="0.25">
      <c r="A8" t="s">
        <v>80</v>
      </c>
      <c r="B8" s="1">
        <v>36839</v>
      </c>
      <c r="C8" s="2">
        <v>0.59675925925925932</v>
      </c>
      <c r="D8">
        <v>406273.34289999999</v>
      </c>
      <c r="E8">
        <v>4116570.3531999998</v>
      </c>
      <c r="F8">
        <v>958.1653</v>
      </c>
      <c r="G8">
        <v>1.61</v>
      </c>
      <c r="H8">
        <f t="shared" si="0"/>
        <v>959.77530000000002</v>
      </c>
      <c r="J8" s="3">
        <f t="shared" si="2"/>
        <v>4.7204883293911135E-2</v>
      </c>
      <c r="K8" s="3">
        <f t="shared" si="1"/>
        <v>5.4509788537128838E-3</v>
      </c>
      <c r="L8" s="3">
        <f>(H8-H7)/(B8+C8-B7-C7)</f>
        <v>-1.9102525896914163E-2</v>
      </c>
    </row>
    <row r="9" spans="1:17" x14ac:dyDescent="0.25">
      <c r="A9" t="s">
        <v>53</v>
      </c>
      <c r="B9" s="1">
        <v>36851</v>
      </c>
      <c r="C9" s="2">
        <v>0.58402777777777781</v>
      </c>
      <c r="D9">
        <v>406273.7219</v>
      </c>
      <c r="E9">
        <v>4116570.8133</v>
      </c>
      <c r="F9">
        <v>958.12030000000004</v>
      </c>
      <c r="G9">
        <v>1.345</v>
      </c>
      <c r="H9">
        <f t="shared" si="0"/>
        <v>959.46530000000007</v>
      </c>
      <c r="J9" s="3">
        <f t="shared" si="2"/>
        <v>4.9727605080152081E-2</v>
      </c>
      <c r="K9" s="3">
        <f t="shared" si="1"/>
        <v>5.8988148976084681E-3</v>
      </c>
      <c r="L9" s="3">
        <f>(H9-H8)/(B9+C9-B8-C8)</f>
        <v>-2.5860770493387145E-2</v>
      </c>
      <c r="M9" s="3">
        <f>(H9-H7)/(B9+C9-B7-C7)</f>
        <v>-2.2348316013521455E-2</v>
      </c>
      <c r="N9">
        <v>12</v>
      </c>
      <c r="O9" s="3">
        <f>L9+TAN(N9/180*3.14)*J9</f>
        <v>-1.5296360084667856E-2</v>
      </c>
      <c r="P9">
        <f>O9*365</f>
        <v>-5.5831714309037679</v>
      </c>
    </row>
    <row r="10" spans="1:17" x14ac:dyDescent="0.25">
      <c r="A10" t="s">
        <v>175</v>
      </c>
      <c r="B10" s="1">
        <v>36826</v>
      </c>
      <c r="C10" s="2">
        <v>0.58298611111111109</v>
      </c>
      <c r="D10">
        <v>406661.97489999997</v>
      </c>
      <c r="E10">
        <v>4116869.8198000002</v>
      </c>
      <c r="F10">
        <v>864.86990000000003</v>
      </c>
      <c r="G10">
        <v>2.0499999999999998</v>
      </c>
      <c r="H10">
        <f t="shared" si="0"/>
        <v>866.91989999999998</v>
      </c>
      <c r="J10" s="3">
        <v>0</v>
      </c>
      <c r="K10" s="3">
        <v>0</v>
      </c>
    </row>
    <row r="11" spans="1:17" x14ac:dyDescent="0.25">
      <c r="A11" t="s">
        <v>38</v>
      </c>
      <c r="B11" s="1">
        <v>36839</v>
      </c>
      <c r="C11" s="2">
        <v>0.62766203703703705</v>
      </c>
      <c r="D11">
        <v>406662.62310000003</v>
      </c>
      <c r="E11">
        <v>4116870.5756000001</v>
      </c>
      <c r="F11">
        <v>865.04110000000003</v>
      </c>
      <c r="G11">
        <v>1.75</v>
      </c>
      <c r="H11">
        <f t="shared" si="0"/>
        <v>866.79110000000003</v>
      </c>
      <c r="J11" s="3">
        <f t="shared" si="2"/>
        <v>7.6329159414330452E-2</v>
      </c>
      <c r="K11" s="3">
        <f t="shared" si="1"/>
        <v>5.4206542592704805E-3</v>
      </c>
      <c r="L11" s="3">
        <f>(H11-H10)/(B11+C11-B10-C10)</f>
        <v>-9.873760048266381E-3</v>
      </c>
    </row>
    <row r="12" spans="1:17" x14ac:dyDescent="0.25">
      <c r="A12" t="s">
        <v>83</v>
      </c>
      <c r="B12" s="1">
        <v>36851</v>
      </c>
      <c r="C12" s="2">
        <v>0.61354166666666665</v>
      </c>
      <c r="D12">
        <v>406663.11969999998</v>
      </c>
      <c r="E12">
        <v>4116871.1686999998</v>
      </c>
      <c r="F12">
        <v>865.22450000000003</v>
      </c>
      <c r="G12">
        <v>1.51</v>
      </c>
      <c r="H12">
        <f t="shared" si="0"/>
        <v>866.73450000000003</v>
      </c>
      <c r="J12" s="3">
        <f t="shared" si="2"/>
        <v>6.4538418880749043E-2</v>
      </c>
      <c r="K12" s="3">
        <f t="shared" si="1"/>
        <v>5.8994984351303289E-3</v>
      </c>
      <c r="L12" s="3">
        <f>(H12-H11)/(B12+C12-B11-C11)</f>
        <v>-4.7222232951589088E-3</v>
      </c>
      <c r="M12" s="3">
        <f>(H12-H10)/(B12+C12-B10-C10)</f>
        <v>-7.4069470646973392E-3</v>
      </c>
      <c r="N12">
        <v>13</v>
      </c>
      <c r="O12" s="3">
        <f>L12+TAN(N12/180*3.14)*J12</f>
        <v>1.0169825732034919E-2</v>
      </c>
      <c r="P12">
        <f>O12*365</f>
        <v>3.7119863921927454</v>
      </c>
    </row>
    <row r="13" spans="1:17" x14ac:dyDescent="0.25">
      <c r="A13" t="s">
        <v>9</v>
      </c>
      <c r="B13" s="1">
        <v>36826</v>
      </c>
      <c r="C13" s="2">
        <v>0.54097222222222219</v>
      </c>
      <c r="D13">
        <v>407101.2781</v>
      </c>
      <c r="E13">
        <v>4117147.5984</v>
      </c>
      <c r="F13">
        <v>755.70479999999998</v>
      </c>
      <c r="G13">
        <v>1.49</v>
      </c>
      <c r="H13">
        <f t="shared" si="0"/>
        <v>757.19479999999999</v>
      </c>
      <c r="J13" s="3">
        <v>0</v>
      </c>
      <c r="K13" s="3">
        <v>0</v>
      </c>
    </row>
    <row r="14" spans="1:17" x14ac:dyDescent="0.25">
      <c r="A14" t="s">
        <v>103</v>
      </c>
      <c r="B14" s="1">
        <v>36839</v>
      </c>
      <c r="C14" s="2">
        <v>0.65625</v>
      </c>
      <c r="D14">
        <v>407101.9754</v>
      </c>
      <c r="E14">
        <v>4117148.3758</v>
      </c>
      <c r="F14">
        <v>755.41160000000002</v>
      </c>
      <c r="G14">
        <v>1.5449999999999999</v>
      </c>
      <c r="H14">
        <f t="shared" si="0"/>
        <v>756.95659999999998</v>
      </c>
      <c r="J14" s="3">
        <f t="shared" si="2"/>
        <v>7.9625263578081973E-2</v>
      </c>
      <c r="K14" s="3">
        <f t="shared" si="1"/>
        <v>5.3914739219984575E-3</v>
      </c>
      <c r="L14" s="3">
        <f>(H14-H13)/(B14+C14-B13-C13)</f>
        <v>-1.8162024780260983E-2</v>
      </c>
    </row>
    <row r="15" spans="1:17" x14ac:dyDescent="0.25">
      <c r="A15" t="s">
        <v>98</v>
      </c>
      <c r="B15" s="1">
        <v>36851</v>
      </c>
      <c r="C15" s="2">
        <v>0.63854166666666667</v>
      </c>
      <c r="D15">
        <v>407102.77610000002</v>
      </c>
      <c r="E15">
        <v>4117148.9408</v>
      </c>
      <c r="F15">
        <v>755.34950000000003</v>
      </c>
      <c r="G15">
        <v>1.4650000000000001</v>
      </c>
      <c r="H15">
        <f t="shared" si="0"/>
        <v>756.81450000000007</v>
      </c>
      <c r="J15" s="3">
        <f t="shared" si="2"/>
        <v>8.1785038757856282E-2</v>
      </c>
      <c r="K15" s="3">
        <f t="shared" si="1"/>
        <v>5.9012649738247264E-3</v>
      </c>
      <c r="L15" s="3">
        <f>(H15-H14)/(B15+C15-B14-C14)</f>
        <v>-1.1859167173773092E-2</v>
      </c>
      <c r="M15" s="3">
        <f>(H15-H13)/(B15+C15-B13-C13)</f>
        <v>-1.5152861747897081E-2</v>
      </c>
      <c r="N15">
        <v>10</v>
      </c>
      <c r="O15" s="3">
        <f>L15+TAN(N15/180*3.14)*J15</f>
        <v>2.5542805034853861E-3</v>
      </c>
      <c r="P15">
        <f>O15*365</f>
        <v>0.93231238377216596</v>
      </c>
    </row>
    <row r="16" spans="1:17" x14ac:dyDescent="0.25">
      <c r="A16" t="s">
        <v>174</v>
      </c>
      <c r="B16" s="1">
        <v>36826</v>
      </c>
      <c r="C16" s="2">
        <v>0.71006944444444453</v>
      </c>
      <c r="D16">
        <v>407482.01549999998</v>
      </c>
      <c r="E16">
        <v>4117422.9144000001</v>
      </c>
      <c r="F16">
        <v>677.96519999999998</v>
      </c>
      <c r="G16">
        <v>1.615</v>
      </c>
      <c r="H16">
        <f t="shared" si="0"/>
        <v>679.58019999999999</v>
      </c>
      <c r="J16" s="3">
        <v>0</v>
      </c>
      <c r="K16" s="3">
        <v>0</v>
      </c>
    </row>
    <row r="17" spans="1:16" x14ac:dyDescent="0.25">
      <c r="A17" t="s">
        <v>109</v>
      </c>
      <c r="B17" s="1">
        <v>36839</v>
      </c>
      <c r="C17" s="2">
        <v>0.68599537037037039</v>
      </c>
      <c r="D17">
        <v>407482.93199999997</v>
      </c>
      <c r="E17">
        <v>4117423.466</v>
      </c>
      <c r="F17">
        <v>677.66459999999995</v>
      </c>
      <c r="G17">
        <v>1.69</v>
      </c>
      <c r="H17">
        <f t="shared" si="0"/>
        <v>679.3546</v>
      </c>
      <c r="J17" s="3">
        <f t="shared" si="2"/>
        <v>8.2436438403859572E-2</v>
      </c>
      <c r="K17" s="3">
        <f t="shared" si="1"/>
        <v>5.4493743662167643E-3</v>
      </c>
      <c r="L17" s="3">
        <f>(H17-H16)/(B17+C17-B16-C16)</f>
        <v>-1.7386042528901899E-2</v>
      </c>
    </row>
    <row r="18" spans="1:16" x14ac:dyDescent="0.25">
      <c r="A18" t="s">
        <v>135</v>
      </c>
      <c r="B18" s="1">
        <v>36851</v>
      </c>
      <c r="C18" s="2">
        <v>0.66527777777777775</v>
      </c>
      <c r="D18">
        <v>407483.6459</v>
      </c>
      <c r="E18">
        <v>4117424.1721999999</v>
      </c>
      <c r="F18">
        <v>677.68769999999995</v>
      </c>
      <c r="G18">
        <v>1.4750000000000001</v>
      </c>
      <c r="H18">
        <f t="shared" si="0"/>
        <v>679.16269999999997</v>
      </c>
      <c r="J18" s="3">
        <f t="shared" si="2"/>
        <v>8.3826148070789364E-2</v>
      </c>
      <c r="K18" s="3">
        <f t="shared" si="1"/>
        <v>5.9027474028768871E-3</v>
      </c>
      <c r="L18" s="3">
        <f>(H18-H17)/(B18+C18-B17-C17)</f>
        <v>-1.6019323484799518E-2</v>
      </c>
      <c r="M18" s="3">
        <f>(H18-H16)/(B18+C18-B16-C16)</f>
        <v>-1.6729974537713913E-2</v>
      </c>
      <c r="N18">
        <v>10</v>
      </c>
      <c r="O18" s="3">
        <f>L18+TAN(N18/180*3.14)*J18</f>
        <v>-1.2461593761209974E-3</v>
      </c>
      <c r="P18">
        <f>O18*365</f>
        <v>-0.45484817228416402</v>
      </c>
    </row>
    <row r="19" spans="1:16" x14ac:dyDescent="0.25">
      <c r="A19" t="s">
        <v>170</v>
      </c>
      <c r="B19" s="1">
        <v>36826</v>
      </c>
      <c r="C19" s="2">
        <v>0.76840277777777777</v>
      </c>
      <c r="D19">
        <v>407941.34</v>
      </c>
      <c r="E19">
        <v>4117620.0164999999</v>
      </c>
      <c r="F19">
        <v>586.58789999999999</v>
      </c>
      <c r="G19">
        <v>1.34</v>
      </c>
      <c r="H19">
        <f t="shared" si="0"/>
        <v>587.92790000000002</v>
      </c>
      <c r="J19" s="3">
        <v>0</v>
      </c>
      <c r="K19" s="3">
        <v>0</v>
      </c>
    </row>
    <row r="20" spans="1:16" x14ac:dyDescent="0.25">
      <c r="A20" t="s">
        <v>45</v>
      </c>
      <c r="B20" s="1">
        <v>36839</v>
      </c>
      <c r="C20" s="2">
        <v>0.71562499999999996</v>
      </c>
      <c r="D20">
        <v>407942.53460000001</v>
      </c>
      <c r="E20">
        <v>4117620.3111999999</v>
      </c>
      <c r="F20">
        <v>586.41780000000006</v>
      </c>
      <c r="G20">
        <v>1.25</v>
      </c>
      <c r="H20">
        <f t="shared" si="0"/>
        <v>587.66780000000006</v>
      </c>
      <c r="J20" s="3">
        <f t="shared" si="2"/>
        <v>9.5033005971159323E-2</v>
      </c>
      <c r="K20" s="3">
        <f t="shared" si="1"/>
        <v>5.4614555079857199E-3</v>
      </c>
      <c r="L20" s="3">
        <f>(H20-H19)/(B20+C20-B19-C19)</f>
        <v>-2.0089251233642726E-2</v>
      </c>
    </row>
    <row r="21" spans="1:16" x14ac:dyDescent="0.25">
      <c r="A21" t="s">
        <v>70</v>
      </c>
      <c r="B21" s="1">
        <v>36851</v>
      </c>
      <c r="C21" s="2">
        <v>0.69374999999999998</v>
      </c>
      <c r="D21">
        <v>407943.63819999999</v>
      </c>
      <c r="E21">
        <v>4117620.5495000002</v>
      </c>
      <c r="F21">
        <v>586.6069</v>
      </c>
      <c r="G21">
        <v>0.81499999999999995</v>
      </c>
      <c r="H21">
        <f t="shared" si="0"/>
        <v>587.42190000000005</v>
      </c>
      <c r="J21" s="3">
        <f t="shared" si="2"/>
        <v>9.4258067918328262E-2</v>
      </c>
      <c r="K21" s="3">
        <f t="shared" si="1"/>
        <v>5.9033177662333085E-3</v>
      </c>
      <c r="L21" s="3">
        <f>(H21-H20)/(B21+C21-B20-C20)</f>
        <v>-2.052908948604526E-2</v>
      </c>
      <c r="M21" s="3">
        <f>(H21-H19)/(B21+C21-B19-C19)</f>
        <v>-2.030061990666579E-2</v>
      </c>
      <c r="N21">
        <v>10</v>
      </c>
      <c r="O21" s="3">
        <f>L21+TAN(N21/180*3.14)*J21</f>
        <v>-3.9174481548880438E-3</v>
      </c>
      <c r="P21">
        <f>O21*365</f>
        <v>-1.4298685765341359</v>
      </c>
    </row>
    <row r="22" spans="1:16" x14ac:dyDescent="0.25">
      <c r="A22" t="s">
        <v>172</v>
      </c>
      <c r="B22" s="1">
        <v>36826</v>
      </c>
      <c r="C22" s="2">
        <v>0.80486111111111114</v>
      </c>
      <c r="D22">
        <v>408439.24</v>
      </c>
      <c r="E22">
        <v>4117730.1444999999</v>
      </c>
      <c r="F22">
        <v>498.50670000000002</v>
      </c>
      <c r="G22">
        <v>1.595</v>
      </c>
      <c r="H22">
        <f t="shared" si="0"/>
        <v>500.10170000000005</v>
      </c>
      <c r="J22" s="3">
        <v>0</v>
      </c>
      <c r="K22" s="3">
        <v>0</v>
      </c>
    </row>
    <row r="23" spans="1:16" x14ac:dyDescent="0.25">
      <c r="A23" t="s">
        <v>153</v>
      </c>
      <c r="B23" s="1">
        <v>36837</v>
      </c>
      <c r="C23" s="2">
        <v>0.67418981481481488</v>
      </c>
      <c r="D23">
        <v>408440.51980000001</v>
      </c>
      <c r="E23">
        <v>4117730.5940999999</v>
      </c>
      <c r="F23">
        <v>498.245</v>
      </c>
      <c r="G23">
        <v>1.4</v>
      </c>
      <c r="H23">
        <f t="shared" si="0"/>
        <v>499.64499999999998</v>
      </c>
      <c r="J23" s="3">
        <f t="shared" si="2"/>
        <v>0.12479854351780242</v>
      </c>
      <c r="K23" s="3">
        <f t="shared" si="1"/>
        <v>6.5055239422967025E-3</v>
      </c>
      <c r="L23" s="3">
        <f>(H23-H22)/(B23+C23-B22-C22)</f>
        <v>-4.2017314265630407E-2</v>
      </c>
    </row>
    <row r="24" spans="1:16" x14ac:dyDescent="0.25">
      <c r="A24" t="s">
        <v>33</v>
      </c>
      <c r="B24" s="1">
        <v>36851</v>
      </c>
      <c r="C24" s="2">
        <v>0.4694444444444445</v>
      </c>
      <c r="D24">
        <v>408442.103</v>
      </c>
      <c r="E24">
        <v>4117731.0803999999</v>
      </c>
      <c r="F24">
        <v>498.00850000000003</v>
      </c>
      <c r="G24">
        <v>1.08</v>
      </c>
      <c r="H24">
        <f t="shared" si="0"/>
        <v>499.08850000000001</v>
      </c>
      <c r="J24" s="3">
        <f t="shared" si="2"/>
        <v>0.12005602747003501</v>
      </c>
      <c r="K24" s="3">
        <f t="shared" si="1"/>
        <v>5.1257247522470397E-3</v>
      </c>
      <c r="L24" s="3">
        <f>(H24-H23)/(B24+C24-B23-C23)</f>
        <v>-4.0339958553908963E-2</v>
      </c>
      <c r="M24" s="3">
        <f>(H24-H22)/(B24+C24-B22-C22)</f>
        <v>-4.1079145198072028E-2</v>
      </c>
      <c r="N24">
        <v>11</v>
      </c>
      <c r="O24" s="3">
        <f>L24+TAN(N24/180*3.14)*J24</f>
        <v>-1.7015557003100389E-2</v>
      </c>
      <c r="P24">
        <f>O24*365</f>
        <v>-6.2106783061316415</v>
      </c>
    </row>
    <row r="25" spans="1:16" x14ac:dyDescent="0.25">
      <c r="A25" t="s">
        <v>164</v>
      </c>
      <c r="B25" s="1">
        <v>36826</v>
      </c>
      <c r="C25" s="2">
        <v>0.58263888888888882</v>
      </c>
      <c r="D25">
        <v>408943.55479999998</v>
      </c>
      <c r="E25">
        <v>4117800.7672000001</v>
      </c>
      <c r="F25">
        <v>414.33679999999998</v>
      </c>
      <c r="G25">
        <v>1.49</v>
      </c>
      <c r="H25">
        <f t="shared" si="0"/>
        <v>415.82679999999999</v>
      </c>
      <c r="J25" s="3">
        <v>0</v>
      </c>
      <c r="K25" s="3">
        <v>0</v>
      </c>
    </row>
    <row r="26" spans="1:16" x14ac:dyDescent="0.25">
      <c r="A26" t="s">
        <v>147</v>
      </c>
      <c r="B26" s="1">
        <v>36837</v>
      </c>
      <c r="C26" s="2">
        <v>0.58680555555555558</v>
      </c>
      <c r="D26">
        <v>408945.0809</v>
      </c>
      <c r="E26">
        <v>4117801.6047999999</v>
      </c>
      <c r="F26">
        <v>413.85250000000002</v>
      </c>
      <c r="G26">
        <v>1.59</v>
      </c>
      <c r="H26">
        <f t="shared" si="0"/>
        <v>415.4425</v>
      </c>
      <c r="J26" s="3">
        <f t="shared" si="2"/>
        <v>0.15819906902933792</v>
      </c>
      <c r="K26" s="3">
        <f t="shared" si="1"/>
        <v>6.4258094466029501E-3</v>
      </c>
      <c r="L26" s="3">
        <f>(H26-H25)/(B26+C26-B25-C25)</f>
        <v>-3.492313517607188E-2</v>
      </c>
    </row>
    <row r="27" spans="1:16" x14ac:dyDescent="0.25">
      <c r="A27" t="s">
        <v>86</v>
      </c>
      <c r="B27" s="1">
        <v>36851</v>
      </c>
      <c r="C27" s="2">
        <v>0.7270833333333333</v>
      </c>
      <c r="D27">
        <v>408947.0698</v>
      </c>
      <c r="E27">
        <v>4117802.5326</v>
      </c>
      <c r="F27">
        <v>413.68150000000003</v>
      </c>
      <c r="G27">
        <v>1.28</v>
      </c>
      <c r="H27">
        <f t="shared" si="0"/>
        <v>414.9615</v>
      </c>
      <c r="J27" s="3">
        <f t="shared" si="2"/>
        <v>0.15520634317023724</v>
      </c>
      <c r="K27" s="3">
        <f t="shared" si="1"/>
        <v>5.0006569340377586E-3</v>
      </c>
      <c r="L27" s="3">
        <f>(H27-H26)/(B27+C27-B26-C26)</f>
        <v>-3.4016304881646559E-2</v>
      </c>
      <c r="M27" s="3">
        <f>(H27-H25)/(B27+C27-B25-C25)</f>
        <v>-3.4413168360585576E-2</v>
      </c>
      <c r="N27">
        <v>13</v>
      </c>
      <c r="O27" s="3">
        <f>L27+TAN(N27/180*3.14)*J27</f>
        <v>1.7970991636775957E-3</v>
      </c>
      <c r="P27">
        <f>O27*365</f>
        <v>0.65594119474232238</v>
      </c>
    </row>
    <row r="28" spans="1:16" x14ac:dyDescent="0.25">
      <c r="A28" t="s">
        <v>160</v>
      </c>
      <c r="B28" s="1">
        <v>36826</v>
      </c>
      <c r="C28" s="2">
        <v>0.54097222222222219</v>
      </c>
      <c r="D28">
        <v>409419.4633</v>
      </c>
      <c r="E28">
        <v>4117944.3064000001</v>
      </c>
      <c r="F28">
        <v>303.91419999999999</v>
      </c>
      <c r="G28">
        <v>0.85</v>
      </c>
      <c r="H28">
        <f t="shared" si="0"/>
        <v>304.76420000000002</v>
      </c>
      <c r="J28" s="3">
        <v>0</v>
      </c>
      <c r="K28" s="3">
        <v>0</v>
      </c>
    </row>
    <row r="29" spans="1:16" x14ac:dyDescent="0.25">
      <c r="A29" t="s">
        <v>73</v>
      </c>
      <c r="B29" s="1">
        <v>36837</v>
      </c>
      <c r="C29" s="2">
        <v>0.49131944444444442</v>
      </c>
      <c r="D29">
        <v>409420.94010000001</v>
      </c>
      <c r="E29">
        <v>4117945.5307</v>
      </c>
      <c r="F29">
        <v>303.80650000000003</v>
      </c>
      <c r="G29">
        <v>0.57499999999999996</v>
      </c>
      <c r="H29">
        <f t="shared" si="0"/>
        <v>304.38150000000002</v>
      </c>
      <c r="J29" s="3">
        <f t="shared" si="2"/>
        <v>0.17518103695263981</v>
      </c>
      <c r="K29" s="3">
        <f t="shared" si="1"/>
        <v>6.4573914126806829E-3</v>
      </c>
      <c r="L29" s="3">
        <f>(H29-H28)/(B29+C29-B28-C28)</f>
        <v>-3.494866347464623E-2</v>
      </c>
    </row>
    <row r="30" spans="1:16" x14ac:dyDescent="0.25">
      <c r="A30" t="s">
        <v>64</v>
      </c>
      <c r="B30" s="1">
        <v>36852</v>
      </c>
      <c r="C30" s="2">
        <v>0.47743055555555558</v>
      </c>
      <c r="D30">
        <v>409423.02429999999</v>
      </c>
      <c r="E30">
        <v>4117947.2182999998</v>
      </c>
      <c r="F30">
        <v>303.39089999999999</v>
      </c>
      <c r="G30">
        <v>0.495</v>
      </c>
      <c r="H30">
        <f t="shared" si="0"/>
        <v>303.88589999999999</v>
      </c>
      <c r="J30" s="3">
        <f t="shared" si="2"/>
        <v>0.17895027518470438</v>
      </c>
      <c r="K30" s="3">
        <f t="shared" si="1"/>
        <v>4.7184141098641497E-3</v>
      </c>
      <c r="L30" s="3">
        <f>(H30-H29)/(B30+C30-B29-C29)</f>
        <v>-3.3070620945323155E-2</v>
      </c>
      <c r="M30" s="3">
        <f>(H30-H28)/(B30+C30-B28-C28)</f>
        <v>-3.3863528655771302E-2</v>
      </c>
      <c r="N30">
        <v>14</v>
      </c>
      <c r="O30" s="3">
        <f>L30+TAN(N30/180*3.14)*J30</f>
        <v>1.152314937738793E-2</v>
      </c>
      <c r="P30">
        <f>O30*365</f>
        <v>4.2059495227465939</v>
      </c>
    </row>
    <row r="31" spans="1:16" x14ac:dyDescent="0.25">
      <c r="A31" t="s">
        <v>161</v>
      </c>
      <c r="B31" s="1">
        <v>36827</v>
      </c>
      <c r="C31" s="2">
        <v>0.4993055555555555</v>
      </c>
      <c r="D31">
        <v>409783.54029999999</v>
      </c>
      <c r="E31">
        <v>4118128.7900999999</v>
      </c>
      <c r="F31">
        <v>187.41669999999999</v>
      </c>
      <c r="G31">
        <v>1.083</v>
      </c>
      <c r="H31">
        <f t="shared" si="0"/>
        <v>188.49969999999999</v>
      </c>
      <c r="J31" s="3">
        <v>0</v>
      </c>
      <c r="K31" s="3">
        <v>0</v>
      </c>
    </row>
    <row r="32" spans="1:16" x14ac:dyDescent="0.25">
      <c r="A32" t="s">
        <v>106</v>
      </c>
      <c r="B32" s="1">
        <v>36837</v>
      </c>
      <c r="C32" s="2">
        <v>0.45069444444444445</v>
      </c>
      <c r="D32">
        <v>409784.74670000002</v>
      </c>
      <c r="E32">
        <v>4118129.7437</v>
      </c>
      <c r="F32">
        <v>187.01929999999999</v>
      </c>
      <c r="G32">
        <v>1.0249999999999999</v>
      </c>
      <c r="H32">
        <f t="shared" si="0"/>
        <v>188.04429999999999</v>
      </c>
      <c r="J32" s="3">
        <f t="shared" si="2"/>
        <v>0.15452874544436934</v>
      </c>
      <c r="K32" s="3">
        <f t="shared" si="1"/>
        <v>7.1056089665645136E-3</v>
      </c>
      <c r="L32" s="3">
        <f>(H32-H31)/(B32+C32-B31-C31)</f>
        <v>-4.5762456385208566E-2</v>
      </c>
    </row>
    <row r="33" spans="1:16" x14ac:dyDescent="0.25">
      <c r="A33" t="s">
        <v>50</v>
      </c>
      <c r="B33" s="1">
        <v>36852</v>
      </c>
      <c r="C33" s="2">
        <v>0.44618055555555558</v>
      </c>
      <c r="D33">
        <v>409786.60340000002</v>
      </c>
      <c r="E33">
        <v>4118131.1513999999</v>
      </c>
      <c r="F33">
        <v>186.4307</v>
      </c>
      <c r="G33">
        <v>0.94</v>
      </c>
      <c r="H33">
        <f t="shared" si="0"/>
        <v>187.3707</v>
      </c>
      <c r="J33" s="3">
        <f t="shared" si="2"/>
        <v>0.15538086656462227</v>
      </c>
      <c r="K33" s="3">
        <f t="shared" si="1"/>
        <v>4.7154642133451436E-3</v>
      </c>
      <c r="L33" s="3">
        <f>(H33-H32)/(B33+C33-B32-C32)</f>
        <v>-4.4920184314726316E-2</v>
      </c>
      <c r="M33" s="3">
        <f>(H33-H31)/(B33+C33-B31-C31)</f>
        <v>-4.5256169359890859E-2</v>
      </c>
      <c r="N33">
        <v>16</v>
      </c>
      <c r="O33" s="3">
        <f>L33+TAN(N33/180*3.14)*J33</f>
        <v>-3.8924264165937639E-4</v>
      </c>
      <c r="P33">
        <f>O33*365</f>
        <v>-0.14207356420567238</v>
      </c>
    </row>
    <row r="34" spans="1:16" x14ac:dyDescent="0.25">
      <c r="A34" t="s">
        <v>189</v>
      </c>
      <c r="B34" s="1">
        <v>0</v>
      </c>
      <c r="C34" s="2">
        <v>0</v>
      </c>
      <c r="D34">
        <v>0</v>
      </c>
      <c r="E34">
        <v>0</v>
      </c>
      <c r="F34">
        <v>0</v>
      </c>
      <c r="H34">
        <f t="shared" si="0"/>
        <v>0</v>
      </c>
      <c r="J34" s="3">
        <v>0</v>
      </c>
      <c r="K34" s="3">
        <v>0</v>
      </c>
    </row>
    <row r="35" spans="1:16" x14ac:dyDescent="0.25">
      <c r="A35" t="s">
        <v>167</v>
      </c>
      <c r="B35" s="1">
        <v>36839</v>
      </c>
      <c r="C35" s="2">
        <v>0.83090277777777777</v>
      </c>
      <c r="D35">
        <v>408561.09840000002</v>
      </c>
      <c r="E35">
        <v>4117426.0044</v>
      </c>
      <c r="F35">
        <v>491.9135</v>
      </c>
      <c r="G35">
        <v>0.79500000000000004</v>
      </c>
      <c r="H35">
        <f t="shared" si="0"/>
        <v>492.70850000000002</v>
      </c>
      <c r="J35" s="3">
        <v>0</v>
      </c>
      <c r="K35" s="3">
        <f t="shared" si="1"/>
        <v>1.9194083247901953E-6</v>
      </c>
    </row>
    <row r="36" spans="1:16" x14ac:dyDescent="0.25">
      <c r="A36" t="s">
        <v>26</v>
      </c>
      <c r="B36" s="1">
        <v>36852</v>
      </c>
      <c r="C36" s="2">
        <v>0.74004629629629637</v>
      </c>
      <c r="D36">
        <v>408562.44199999998</v>
      </c>
      <c r="E36">
        <v>4117426.5208999999</v>
      </c>
      <c r="F36">
        <v>491.97789999999998</v>
      </c>
      <c r="G36">
        <v>0.51500000000000001</v>
      </c>
      <c r="H36">
        <f t="shared" si="0"/>
        <v>492.49289999999996</v>
      </c>
      <c r="J36" s="3">
        <f t="shared" si="2"/>
        <v>0.11150669064604175</v>
      </c>
      <c r="K36" s="3">
        <f t="shared" si="1"/>
        <v>5.477565418434624E-3</v>
      </c>
      <c r="L36" s="3">
        <f>(H36-H35)/(B36+C36-B35-C35)</f>
        <v>-1.6701340386427843E-2</v>
      </c>
      <c r="M36" s="3">
        <v>-1.6701340386427843E-2</v>
      </c>
    </row>
    <row r="37" spans="1:16" x14ac:dyDescent="0.25">
      <c r="A37" t="s">
        <v>190</v>
      </c>
      <c r="B37" s="1">
        <v>0</v>
      </c>
      <c r="C37" s="2">
        <v>0</v>
      </c>
      <c r="D37">
        <v>0</v>
      </c>
      <c r="E37">
        <v>0</v>
      </c>
      <c r="F37">
        <v>0</v>
      </c>
      <c r="H37">
        <f t="shared" si="0"/>
        <v>0</v>
      </c>
      <c r="J37" s="3">
        <v>0</v>
      </c>
      <c r="K37" s="3">
        <f t="shared" si="1"/>
        <v>-1.9187359753935363E-6</v>
      </c>
    </row>
    <row r="38" spans="1:16" x14ac:dyDescent="0.25">
      <c r="A38" t="s">
        <v>168</v>
      </c>
      <c r="B38" s="1">
        <v>36839</v>
      </c>
      <c r="C38" s="2">
        <v>0.8081018518518519</v>
      </c>
      <c r="D38">
        <v>408521.05650000001</v>
      </c>
      <c r="E38">
        <v>4117527.9372999999</v>
      </c>
      <c r="F38">
        <v>494.00890000000004</v>
      </c>
      <c r="G38">
        <v>1.82</v>
      </c>
      <c r="H38">
        <f t="shared" si="0"/>
        <v>495.82890000000003</v>
      </c>
      <c r="J38" s="3">
        <v>0</v>
      </c>
      <c r="K38" s="3">
        <f t="shared" si="1"/>
        <v>1.9194095127520577E-6</v>
      </c>
    </row>
    <row r="39" spans="1:16" x14ac:dyDescent="0.25">
      <c r="A39" t="s">
        <v>89</v>
      </c>
      <c r="B39" s="1">
        <v>36852</v>
      </c>
      <c r="C39" s="2">
        <v>0.70636574074074077</v>
      </c>
      <c r="D39">
        <v>408522.3861</v>
      </c>
      <c r="E39">
        <v>4117528.4911000002</v>
      </c>
      <c r="F39">
        <v>493.98149999999998</v>
      </c>
      <c r="G39">
        <v>1.58</v>
      </c>
      <c r="H39">
        <f t="shared" si="0"/>
        <v>495.56149999999997</v>
      </c>
      <c r="J39" s="3">
        <f t="shared" si="2"/>
        <v>0.11166798115558572</v>
      </c>
      <c r="K39" s="3">
        <f t="shared" si="1"/>
        <v>5.4821857211002798E-3</v>
      </c>
      <c r="L39" s="3">
        <f>(H39-H38)/(B39+C39-B38-C38)</f>
        <v>-2.0731472258867168E-2</v>
      </c>
      <c r="M39" s="3">
        <v>-2.0731472258867168E-2</v>
      </c>
    </row>
    <row r="40" spans="1:16" x14ac:dyDescent="0.25">
      <c r="A40" t="s">
        <v>191</v>
      </c>
      <c r="B40" s="1">
        <v>0</v>
      </c>
      <c r="C40" s="2">
        <v>0</v>
      </c>
      <c r="D40">
        <v>0</v>
      </c>
      <c r="E40">
        <v>0</v>
      </c>
      <c r="F40">
        <v>0</v>
      </c>
      <c r="H40">
        <f t="shared" si="0"/>
        <v>0</v>
      </c>
      <c r="J40" s="3">
        <v>0</v>
      </c>
      <c r="K40" s="3">
        <f t="shared" si="1"/>
        <v>-1.9187377289714955E-6</v>
      </c>
    </row>
    <row r="41" spans="1:16" x14ac:dyDescent="0.25">
      <c r="A41" t="s">
        <v>166</v>
      </c>
      <c r="B41" s="1">
        <v>36839</v>
      </c>
      <c r="C41" s="2">
        <v>0.78819444444444453</v>
      </c>
      <c r="D41">
        <v>408480.7378</v>
      </c>
      <c r="E41">
        <v>4117630.2930000001</v>
      </c>
      <c r="F41">
        <v>495.93769999999995</v>
      </c>
      <c r="G41">
        <v>1.34</v>
      </c>
      <c r="H41">
        <f t="shared" si="0"/>
        <v>497.27769999999992</v>
      </c>
      <c r="J41" s="3">
        <v>0</v>
      </c>
      <c r="K41" s="3">
        <f t="shared" si="1"/>
        <v>1.9194105499585409E-6</v>
      </c>
    </row>
    <row r="42" spans="1:16" x14ac:dyDescent="0.25">
      <c r="A42" t="s">
        <v>61</v>
      </c>
      <c r="B42" s="1">
        <v>36852</v>
      </c>
      <c r="C42" s="2">
        <v>0.68194444444444446</v>
      </c>
      <c r="D42">
        <v>408482.1825</v>
      </c>
      <c r="E42">
        <v>4117630.9134999998</v>
      </c>
      <c r="F42">
        <v>495.70280000000002</v>
      </c>
      <c r="G42">
        <v>1.08</v>
      </c>
      <c r="H42">
        <f t="shared" si="0"/>
        <v>496.78280000000001</v>
      </c>
      <c r="J42" s="3">
        <f t="shared" si="2"/>
        <v>0.1219440608032463</v>
      </c>
      <c r="K42" s="3">
        <f t="shared" si="1"/>
        <v>5.4841049437653342E-3</v>
      </c>
      <c r="L42" s="3">
        <f>(H42-H41)/(B42+C42-B41-C41)</f>
        <v>-3.8382937469708389E-2</v>
      </c>
      <c r="M42" s="3">
        <v>-3.8382937469708389E-2</v>
      </c>
    </row>
    <row r="43" spans="1:16" x14ac:dyDescent="0.25">
      <c r="A43" t="s">
        <v>192</v>
      </c>
      <c r="B43" s="1">
        <v>0</v>
      </c>
      <c r="C43" s="2">
        <v>0</v>
      </c>
      <c r="D43">
        <v>0</v>
      </c>
      <c r="E43">
        <v>0</v>
      </c>
      <c r="F43">
        <v>0</v>
      </c>
      <c r="H43">
        <f t="shared" si="0"/>
        <v>0</v>
      </c>
      <c r="J43" s="3">
        <v>0</v>
      </c>
      <c r="K43" s="3">
        <f t="shared" si="1"/>
        <v>-1.9187390004681716E-6</v>
      </c>
    </row>
    <row r="44" spans="1:16" x14ac:dyDescent="0.25">
      <c r="A44" t="s">
        <v>169</v>
      </c>
      <c r="B44" s="1">
        <v>36839</v>
      </c>
      <c r="C44" s="2">
        <v>0.76400462962962967</v>
      </c>
      <c r="D44">
        <v>408398.63299999997</v>
      </c>
      <c r="E44">
        <v>4117833.7673999998</v>
      </c>
      <c r="F44">
        <v>499.16989999999998</v>
      </c>
      <c r="G44">
        <v>1.232</v>
      </c>
      <c r="H44">
        <f t="shared" si="0"/>
        <v>500.40190000000001</v>
      </c>
      <c r="J44" s="3">
        <v>0</v>
      </c>
      <c r="K44" s="3">
        <f t="shared" si="1"/>
        <v>1.9194118102865318E-6</v>
      </c>
    </row>
    <row r="45" spans="1:16" x14ac:dyDescent="0.25">
      <c r="A45" t="s">
        <v>115</v>
      </c>
      <c r="B45" s="1">
        <v>36852</v>
      </c>
      <c r="C45" s="2">
        <v>0.65277777777777779</v>
      </c>
      <c r="D45">
        <v>408399.31479999999</v>
      </c>
      <c r="E45">
        <v>4117834.0776999998</v>
      </c>
      <c r="F45">
        <v>499.16099999999994</v>
      </c>
      <c r="G45">
        <v>1.1499999999999999</v>
      </c>
      <c r="H45">
        <f t="shared" si="0"/>
        <v>500.31099999999992</v>
      </c>
      <c r="J45" s="3">
        <f t="shared" si="2"/>
        <v>5.811965141253185E-2</v>
      </c>
      <c r="K45" s="3">
        <f t="shared" si="1"/>
        <v>5.4862225679561056E-3</v>
      </c>
      <c r="L45" s="3">
        <f>(H45-H44)/(B45+C45-B44-C44)</f>
        <v>-7.0526495388839854E-3</v>
      </c>
      <c r="M45" s="3">
        <v>-7.0526495388839854E-3</v>
      </c>
    </row>
    <row r="46" spans="1:16" x14ac:dyDescent="0.25">
      <c r="A46" t="s">
        <v>193</v>
      </c>
      <c r="B46" s="1">
        <v>0</v>
      </c>
      <c r="C46" s="2">
        <v>0</v>
      </c>
      <c r="D46">
        <v>0</v>
      </c>
      <c r="E46">
        <v>0</v>
      </c>
      <c r="F46">
        <v>0</v>
      </c>
      <c r="H46">
        <f t="shared" si="0"/>
        <v>0</v>
      </c>
      <c r="J46" s="3">
        <v>0</v>
      </c>
      <c r="K46" s="3">
        <f t="shared" si="1"/>
        <v>-1.9187405190351299E-6</v>
      </c>
    </row>
    <row r="47" spans="1:16" x14ac:dyDescent="0.25">
      <c r="A47" t="s">
        <v>177</v>
      </c>
      <c r="B47" s="1">
        <v>36839</v>
      </c>
      <c r="C47" s="2">
        <v>0.73958333333333337</v>
      </c>
      <c r="D47">
        <v>408357.69689999998</v>
      </c>
      <c r="E47">
        <v>4117934.8596999999</v>
      </c>
      <c r="F47">
        <v>493.66859999999997</v>
      </c>
      <c r="G47">
        <v>1.5</v>
      </c>
      <c r="H47">
        <f t="shared" si="0"/>
        <v>495.16859999999997</v>
      </c>
      <c r="J47" s="3">
        <v>0</v>
      </c>
      <c r="K47" s="3">
        <f t="shared" si="1"/>
        <v>1.9194130826767565E-6</v>
      </c>
    </row>
    <row r="48" spans="1:16" x14ac:dyDescent="0.25">
      <c r="A48" t="s">
        <v>67</v>
      </c>
      <c r="B48" s="1">
        <v>36852</v>
      </c>
      <c r="C48" s="2">
        <v>0.62673611111111105</v>
      </c>
      <c r="D48">
        <v>408357.9742</v>
      </c>
      <c r="E48">
        <v>4117935.0128000001</v>
      </c>
      <c r="F48">
        <v>493.82339999999999</v>
      </c>
      <c r="G48">
        <v>1.2949999999999999</v>
      </c>
      <c r="H48">
        <f t="shared" si="0"/>
        <v>495.11840000000001</v>
      </c>
      <c r="J48" s="3">
        <f t="shared" si="2"/>
        <v>2.4579273047752277E-2</v>
      </c>
      <c r="K48" s="3">
        <f t="shared" si="1"/>
        <v>5.4869123799474954E-3</v>
      </c>
      <c r="L48" s="3">
        <f>(H48-H47)/(B48+C48-B47-C47)</f>
        <v>-3.8953522834408272E-3</v>
      </c>
      <c r="M48" s="3">
        <v>-3.8953522834408272E-3</v>
      </c>
    </row>
    <row r="49" spans="1:13" x14ac:dyDescent="0.25">
      <c r="A49" t="s">
        <v>165</v>
      </c>
      <c r="B49" s="1">
        <v>36826</v>
      </c>
      <c r="C49" s="2">
        <v>0.76666666666666661</v>
      </c>
      <c r="D49">
        <v>408983.99310000002</v>
      </c>
      <c r="E49">
        <v>4117596.2237</v>
      </c>
      <c r="F49">
        <v>418.74400000000003</v>
      </c>
      <c r="G49">
        <v>1.7549999999999999</v>
      </c>
      <c r="H49">
        <f t="shared" si="0"/>
        <v>420.49900000000002</v>
      </c>
      <c r="J49" s="3">
        <v>0</v>
      </c>
      <c r="K49" s="3">
        <v>0</v>
      </c>
    </row>
    <row r="50" spans="1:13" x14ac:dyDescent="0.25">
      <c r="A50" t="s">
        <v>150</v>
      </c>
      <c r="B50" s="1">
        <v>36837</v>
      </c>
      <c r="C50" s="2">
        <v>0.53125</v>
      </c>
      <c r="D50">
        <v>408985.56449999998</v>
      </c>
      <c r="E50">
        <v>4117596.9687999999</v>
      </c>
      <c r="F50">
        <v>418.40429999999998</v>
      </c>
      <c r="G50">
        <v>1.8049999999999999</v>
      </c>
      <c r="H50">
        <f t="shared" si="0"/>
        <v>420.20929999999998</v>
      </c>
      <c r="J50" s="3">
        <f t="shared" si="2"/>
        <v>0.16155766132319435</v>
      </c>
      <c r="K50" s="3">
        <f t="shared" si="1"/>
        <v>6.568826300939478E-3</v>
      </c>
      <c r="L50" s="3">
        <f>(H50-H49)/(B50+C50-B49-C49)</f>
        <v>-2.6912328236891558E-2</v>
      </c>
    </row>
    <row r="51" spans="1:13" x14ac:dyDescent="0.25">
      <c r="A51" t="s">
        <v>132</v>
      </c>
      <c r="B51" s="1">
        <v>36852</v>
      </c>
      <c r="C51" s="2">
        <v>0.51122685185185179</v>
      </c>
      <c r="D51">
        <v>408987.73450000002</v>
      </c>
      <c r="E51">
        <v>4117597.9193000002</v>
      </c>
      <c r="F51">
        <v>418.1979</v>
      </c>
      <c r="G51">
        <v>1.64</v>
      </c>
      <c r="H51">
        <f t="shared" si="0"/>
        <v>419.83789999999999</v>
      </c>
      <c r="J51" s="3">
        <f t="shared" si="2"/>
        <v>0.15814710304647031</v>
      </c>
      <c r="K51" s="3">
        <f t="shared" si="1"/>
        <v>4.7203462874459527E-3</v>
      </c>
      <c r="L51" s="3">
        <f>(H51-H50)/(B51+C51-B50-C50)</f>
        <v>-2.4793095721916007E-2</v>
      </c>
      <c r="M51" s="3">
        <f>(H51-H49)/(B51+C51-B49-C49)</f>
        <v>-2.5679211268115686E-2</v>
      </c>
    </row>
    <row r="52" spans="1:13" x14ac:dyDescent="0.25">
      <c r="A52" t="s">
        <v>171</v>
      </c>
      <c r="B52" s="1">
        <v>36826</v>
      </c>
      <c r="C52" s="2">
        <v>0.70590277777777777</v>
      </c>
      <c r="D52">
        <v>408960.25790000003</v>
      </c>
      <c r="E52">
        <v>4117711.7415</v>
      </c>
      <c r="F52">
        <v>414.17509999999999</v>
      </c>
      <c r="G52">
        <v>1.75</v>
      </c>
      <c r="H52">
        <f t="shared" si="0"/>
        <v>415.92509999999999</v>
      </c>
      <c r="J52" s="3">
        <v>0</v>
      </c>
      <c r="K52" s="3">
        <v>0</v>
      </c>
    </row>
    <row r="53" spans="1:13" x14ac:dyDescent="0.25">
      <c r="A53" t="s">
        <v>112</v>
      </c>
      <c r="B53" s="1">
        <v>36837</v>
      </c>
      <c r="C53" s="2">
        <v>0.55775462962962963</v>
      </c>
      <c r="D53">
        <v>408961.88679999998</v>
      </c>
      <c r="E53">
        <v>4117712.5543</v>
      </c>
      <c r="F53">
        <v>413.84460000000001</v>
      </c>
      <c r="G53">
        <v>1.825</v>
      </c>
      <c r="H53">
        <f t="shared" si="0"/>
        <v>415.6696</v>
      </c>
      <c r="J53" s="3">
        <f t="shared" si="2"/>
        <v>0.16775277481149989</v>
      </c>
      <c r="K53" s="3">
        <f t="shared" si="1"/>
        <v>6.5160010553046641E-3</v>
      </c>
      <c r="L53" s="3">
        <f>(H53-H52)/(B53+C53-B52-C52)</f>
        <v>-2.3544368600688335E-2</v>
      </c>
    </row>
    <row r="54" spans="1:13" x14ac:dyDescent="0.25">
      <c r="A54" t="s">
        <v>144</v>
      </c>
      <c r="B54" s="1">
        <v>36852</v>
      </c>
      <c r="C54" s="2">
        <v>0.53645833333333337</v>
      </c>
      <c r="D54">
        <v>408964.08630000002</v>
      </c>
      <c r="E54">
        <v>4117713.5504999999</v>
      </c>
      <c r="F54">
        <v>413.63459999999998</v>
      </c>
      <c r="G54">
        <v>1.65</v>
      </c>
      <c r="H54">
        <f t="shared" si="0"/>
        <v>415.28459999999995</v>
      </c>
      <c r="J54" s="3">
        <f t="shared" si="2"/>
        <v>0.16120111584123817</v>
      </c>
      <c r="K54" s="3">
        <f t="shared" si="1"/>
        <v>4.7207475037482089E-3</v>
      </c>
      <c r="L54" s="3">
        <f>(H54-H53)/(B54+C54-B53-C53)</f>
        <v>-2.5703158805710839E-2</v>
      </c>
      <c r="M54" s="3">
        <f>(H54-H52)/(B54+C54-B52-C52)</f>
        <v>-2.4796214646735093E-2</v>
      </c>
    </row>
    <row r="55" spans="1:13" x14ac:dyDescent="0.25">
      <c r="A55" t="s">
        <v>163</v>
      </c>
      <c r="B55" s="1">
        <v>36826</v>
      </c>
      <c r="C55" s="2">
        <v>0.66840277777777779</v>
      </c>
      <c r="D55">
        <v>408922.45870000002</v>
      </c>
      <c r="E55">
        <v>4117898.9427999998</v>
      </c>
      <c r="F55">
        <v>415.43279999999999</v>
      </c>
      <c r="G55">
        <v>0.77</v>
      </c>
      <c r="H55">
        <f t="shared" si="0"/>
        <v>416.20279999999997</v>
      </c>
      <c r="J55" s="3">
        <v>0</v>
      </c>
      <c r="K55" s="3">
        <v>0</v>
      </c>
    </row>
    <row r="56" spans="1:13" x14ac:dyDescent="0.25">
      <c r="A56" t="s">
        <v>95</v>
      </c>
      <c r="B56" s="1">
        <v>36837</v>
      </c>
      <c r="C56" s="2">
        <v>0.61215277777777777</v>
      </c>
      <c r="D56">
        <v>408923.75689999998</v>
      </c>
      <c r="E56">
        <v>4117899.4</v>
      </c>
      <c r="F56">
        <v>415.05610000000001</v>
      </c>
      <c r="G56">
        <v>0.83499999999999996</v>
      </c>
      <c r="H56">
        <f t="shared" si="0"/>
        <v>415.89109999999999</v>
      </c>
      <c r="J56" s="3">
        <f t="shared" si="2"/>
        <v>0.12576637115720327</v>
      </c>
      <c r="K56" s="3">
        <f t="shared" si="1"/>
        <v>6.4612841227772271E-3</v>
      </c>
      <c r="L56" s="3">
        <f>(H56-H55)/(B56+C56-B55-C55)</f>
        <v>-2.8482010279833037E-2</v>
      </c>
    </row>
    <row r="57" spans="1:13" x14ac:dyDescent="0.25">
      <c r="A57" t="s">
        <v>58</v>
      </c>
      <c r="B57" s="1">
        <v>36852</v>
      </c>
      <c r="C57" s="2">
        <v>0.56215277777777783</v>
      </c>
      <c r="D57">
        <v>408925.57140000002</v>
      </c>
      <c r="E57">
        <v>4117900.0227000001</v>
      </c>
      <c r="F57">
        <v>414.93869999999998</v>
      </c>
      <c r="G57">
        <v>0.53500000000000003</v>
      </c>
      <c r="H57">
        <f t="shared" si="0"/>
        <v>415.47370000000001</v>
      </c>
      <c r="J57" s="3">
        <f t="shared" si="2"/>
        <v>0.12831944854708707</v>
      </c>
      <c r="K57" s="3">
        <f t="shared" si="1"/>
        <v>4.729811245395326E-3</v>
      </c>
      <c r="L57" s="3">
        <f>(H57-H56)/(B57+C57-B56-C56)</f>
        <v>-2.7919732441472781E-2</v>
      </c>
      <c r="M57" s="3">
        <f>(H57-H55)/(B57+C57-B55-C55)</f>
        <v>-2.8157373883658868E-2</v>
      </c>
    </row>
    <row r="58" spans="1:13" x14ac:dyDescent="0.25">
      <c r="A58" t="s">
        <v>162</v>
      </c>
      <c r="B58" s="1">
        <v>36826</v>
      </c>
      <c r="C58" s="2">
        <v>0.62881944444444449</v>
      </c>
      <c r="D58">
        <v>408894.24070000002</v>
      </c>
      <c r="E58">
        <v>4117975.3354000002</v>
      </c>
      <c r="F58">
        <v>413.60050000000001</v>
      </c>
      <c r="G58">
        <v>1.48</v>
      </c>
      <c r="H58">
        <f t="shared" si="0"/>
        <v>415.08050000000003</v>
      </c>
      <c r="J58" s="3">
        <v>0</v>
      </c>
      <c r="K58" s="3">
        <v>0</v>
      </c>
    </row>
    <row r="59" spans="1:13" x14ac:dyDescent="0.25">
      <c r="A59" t="s">
        <v>122</v>
      </c>
      <c r="B59" s="1">
        <v>36837</v>
      </c>
      <c r="C59" s="2">
        <v>0.63784722222222223</v>
      </c>
      <c r="D59">
        <v>408894.84769999998</v>
      </c>
      <c r="E59">
        <v>4117975.6567000002</v>
      </c>
      <c r="F59">
        <v>413.52850000000001</v>
      </c>
      <c r="G59">
        <v>1.52</v>
      </c>
      <c r="H59">
        <f t="shared" si="0"/>
        <v>415.04849999999999</v>
      </c>
      <c r="J59" s="3">
        <f t="shared" si="2"/>
        <v>6.2384399893677306E-2</v>
      </c>
      <c r="K59" s="3">
        <f t="shared" si="1"/>
        <v>6.4229720867267585E-3</v>
      </c>
      <c r="L59" s="3">
        <f>(H59-H58)/(B59+C59-B58-C58)</f>
        <v>-2.9067053554572482E-3</v>
      </c>
    </row>
    <row r="60" spans="1:13" x14ac:dyDescent="0.25">
      <c r="A60" t="s">
        <v>92</v>
      </c>
      <c r="B60" s="1">
        <v>36852</v>
      </c>
      <c r="C60" s="2">
        <v>0.5869212962962963</v>
      </c>
      <c r="D60">
        <v>408895.49180000002</v>
      </c>
      <c r="E60">
        <v>4117976.0048000002</v>
      </c>
      <c r="F60">
        <v>413.72300000000001</v>
      </c>
      <c r="G60">
        <v>1.25</v>
      </c>
      <c r="H60">
        <f t="shared" si="0"/>
        <v>414.97300000000001</v>
      </c>
      <c r="J60" s="3">
        <f t="shared" si="2"/>
        <v>4.8976039822301531E-2</v>
      </c>
      <c r="K60" s="3">
        <f t="shared" si="1"/>
        <v>4.7301042036644002E-3</v>
      </c>
      <c r="L60" s="3">
        <f>(H60-H59)/(B60+C60-B59-C59)</f>
        <v>-5.0504800247748857E-3</v>
      </c>
      <c r="M60" s="3">
        <f>(H60-H58)/(B60+C60-B58-C58)</f>
        <v>-4.1412889360536468E-3</v>
      </c>
    </row>
  </sheetData>
  <phoneticPr fontId="0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GPSpoints</vt:lpstr>
      <vt:lpstr>Velocity</vt:lpstr>
      <vt:lpstr>Emergence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mtruffer</dc:creator>
  <cp:lastModifiedBy>Dave Connell</cp:lastModifiedBy>
  <cp:lastPrinted>2001-03-26T05:35:18Z</cp:lastPrinted>
  <dcterms:created xsi:type="dcterms:W3CDTF">2001-02-14T07:57:35Z</dcterms:created>
  <dcterms:modified xsi:type="dcterms:W3CDTF">2020-12-11T05:14:54Z</dcterms:modified>
</cp:coreProperties>
</file>