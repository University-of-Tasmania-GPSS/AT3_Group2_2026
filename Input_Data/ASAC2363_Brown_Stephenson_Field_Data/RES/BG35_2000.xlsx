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asets\science\ASAC_2363\RES\"/>
    </mc:Choice>
  </mc:AlternateContent>
  <bookViews>
    <workbookView xWindow="1032" yWindow="180" windowWidth="16356" windowHeight="11532"/>
  </bookViews>
  <sheets>
    <sheet name="bg35" sheetId="1" r:id="rId1"/>
  </sheets>
  <calcPr calcId="162913"/>
</workbook>
</file>

<file path=xl/calcChain.xml><?xml version="1.0" encoding="utf-8"?>
<calcChain xmlns="http://schemas.openxmlformats.org/spreadsheetml/2006/main">
  <c r="K42" i="1" l="1"/>
  <c r="P42" i="1" s="1"/>
  <c r="Q42" i="1" s="1"/>
  <c r="L42" i="1"/>
  <c r="L40" i="1"/>
  <c r="K40" i="1"/>
  <c r="L3" i="1"/>
  <c r="K3" i="1"/>
  <c r="L4" i="1"/>
  <c r="K4" i="1"/>
  <c r="P4" i="1" s="1"/>
  <c r="Q4" i="1" s="1"/>
  <c r="P40" i="1"/>
  <c r="Q40" i="1" s="1"/>
  <c r="P3" i="1"/>
  <c r="Q3" i="1" s="1"/>
  <c r="R4" i="1" s="1"/>
  <c r="K5" i="1"/>
  <c r="P5" i="1" s="1"/>
  <c r="Q5" i="1" s="1"/>
  <c r="L5" i="1"/>
  <c r="K6" i="1"/>
  <c r="P6" i="1" s="1"/>
  <c r="L6" i="1"/>
  <c r="N6" i="1" s="1"/>
  <c r="K7" i="1"/>
  <c r="L7" i="1"/>
  <c r="P7" i="1"/>
  <c r="K8" i="1"/>
  <c r="L8" i="1"/>
  <c r="P8" i="1"/>
  <c r="Q8" i="1" s="1"/>
  <c r="K9" i="1"/>
  <c r="L9" i="1"/>
  <c r="P9" i="1"/>
  <c r="K10" i="1"/>
  <c r="L10" i="1"/>
  <c r="N10" i="1" s="1"/>
  <c r="P10" i="1"/>
  <c r="Q10" i="1" s="1"/>
  <c r="K11" i="1"/>
  <c r="L11" i="1"/>
  <c r="P11" i="1"/>
  <c r="K12" i="1"/>
  <c r="L12" i="1"/>
  <c r="P12" i="1"/>
  <c r="Q12" i="1" s="1"/>
  <c r="K13" i="1"/>
  <c r="L13" i="1"/>
  <c r="P13" i="1"/>
  <c r="K14" i="1"/>
  <c r="L14" i="1"/>
  <c r="N14" i="1" s="1"/>
  <c r="P14" i="1"/>
  <c r="K15" i="1"/>
  <c r="L15" i="1"/>
  <c r="P15" i="1"/>
  <c r="K16" i="1"/>
  <c r="L16" i="1"/>
  <c r="P16" i="1"/>
  <c r="Q16" i="1" s="1"/>
  <c r="K17" i="1"/>
  <c r="L17" i="1"/>
  <c r="P17" i="1"/>
  <c r="K18" i="1"/>
  <c r="L18" i="1"/>
  <c r="N18" i="1" s="1"/>
  <c r="P18" i="1"/>
  <c r="Q18" i="1" s="1"/>
  <c r="K19" i="1"/>
  <c r="L19" i="1"/>
  <c r="P19" i="1"/>
  <c r="K20" i="1"/>
  <c r="L20" i="1"/>
  <c r="P20" i="1"/>
  <c r="Q20" i="1" s="1"/>
  <c r="K21" i="1"/>
  <c r="L21" i="1"/>
  <c r="P21" i="1"/>
  <c r="K22" i="1"/>
  <c r="L22" i="1"/>
  <c r="N22" i="1" s="1"/>
  <c r="P22" i="1"/>
  <c r="T22" i="1" s="1"/>
  <c r="U22" i="1" s="1"/>
  <c r="K23" i="1"/>
  <c r="L23" i="1"/>
  <c r="P23" i="1"/>
  <c r="K24" i="1"/>
  <c r="L24" i="1"/>
  <c r="P24" i="1"/>
  <c r="Q24" i="1" s="1"/>
  <c r="K25" i="1"/>
  <c r="L25" i="1"/>
  <c r="P25" i="1"/>
  <c r="K26" i="1"/>
  <c r="L26" i="1"/>
  <c r="N26" i="1" s="1"/>
  <c r="P26" i="1"/>
  <c r="Q26" i="1" s="1"/>
  <c r="K27" i="1"/>
  <c r="L27" i="1"/>
  <c r="P27" i="1"/>
  <c r="Q27" i="1" s="1"/>
  <c r="K28" i="1"/>
  <c r="L28" i="1"/>
  <c r="P28" i="1"/>
  <c r="Q28" i="1" s="1"/>
  <c r="K29" i="1"/>
  <c r="L29" i="1"/>
  <c r="P29" i="1"/>
  <c r="K30" i="1"/>
  <c r="L30" i="1"/>
  <c r="N30" i="1" s="1"/>
  <c r="P30" i="1"/>
  <c r="Q30" i="1" s="1"/>
  <c r="K31" i="1"/>
  <c r="L31" i="1"/>
  <c r="P31" i="1"/>
  <c r="K32" i="1"/>
  <c r="L32" i="1"/>
  <c r="P32" i="1"/>
  <c r="Q32" i="1" s="1"/>
  <c r="K33" i="1"/>
  <c r="L33" i="1"/>
  <c r="P33" i="1" s="1"/>
  <c r="Q33" i="1" s="1"/>
  <c r="K34" i="1"/>
  <c r="L34" i="1"/>
  <c r="N34" i="1" s="1"/>
  <c r="P34" i="1"/>
  <c r="Q34" i="1" s="1"/>
  <c r="K35" i="1"/>
  <c r="L35" i="1"/>
  <c r="P35" i="1" s="1"/>
  <c r="Q35" i="1" s="1"/>
  <c r="K36" i="1"/>
  <c r="L36" i="1"/>
  <c r="P36" i="1"/>
  <c r="Q36" i="1" s="1"/>
  <c r="K37" i="1"/>
  <c r="L37" i="1"/>
  <c r="P37" i="1" s="1"/>
  <c r="Q37" i="1" s="1"/>
  <c r="K38" i="1"/>
  <c r="L38" i="1"/>
  <c r="N38" i="1" s="1"/>
  <c r="P38" i="1"/>
  <c r="K39" i="1"/>
  <c r="L39" i="1"/>
  <c r="P39" i="1" s="1"/>
  <c r="Q39" i="1" s="1"/>
  <c r="Q7" i="1"/>
  <c r="Q9" i="1"/>
  <c r="Q11" i="1"/>
  <c r="Q13" i="1"/>
  <c r="Q14" i="1"/>
  <c r="Q15" i="1"/>
  <c r="Q17" i="1"/>
  <c r="Q19" i="1"/>
  <c r="Q21" i="1"/>
  <c r="Q22" i="1"/>
  <c r="Q23" i="1"/>
  <c r="Q25" i="1"/>
  <c r="Q29" i="1"/>
  <c r="Q31" i="1"/>
  <c r="Q38" i="1"/>
  <c r="O40" i="1"/>
  <c r="U40" i="1"/>
  <c r="O3" i="1"/>
  <c r="U3" i="1" s="1"/>
  <c r="M40" i="1"/>
  <c r="N40" i="1"/>
  <c r="N3" i="1"/>
  <c r="M3" i="1"/>
  <c r="O5" i="1"/>
  <c r="S5" i="1"/>
  <c r="O6" i="1"/>
  <c r="S6" i="1"/>
  <c r="O7" i="1"/>
  <c r="S7" i="1"/>
  <c r="T7" i="1" s="1"/>
  <c r="O8" i="1"/>
  <c r="S8" i="1"/>
  <c r="T8" i="1"/>
  <c r="U8" i="1" s="1"/>
  <c r="O9" i="1"/>
  <c r="S9" i="1"/>
  <c r="T9" i="1" s="1"/>
  <c r="O10" i="1"/>
  <c r="S10" i="1"/>
  <c r="T10" i="1"/>
  <c r="U10" i="1" s="1"/>
  <c r="O11" i="1"/>
  <c r="S11" i="1"/>
  <c r="T11" i="1" s="1"/>
  <c r="O12" i="1"/>
  <c r="S12" i="1"/>
  <c r="T12" i="1"/>
  <c r="U12" i="1" s="1"/>
  <c r="O13" i="1"/>
  <c r="S13" i="1"/>
  <c r="T13" i="1" s="1"/>
  <c r="O14" i="1"/>
  <c r="S14" i="1"/>
  <c r="T14" i="1"/>
  <c r="U14" i="1" s="1"/>
  <c r="O15" i="1"/>
  <c r="S15" i="1"/>
  <c r="T15" i="1" s="1"/>
  <c r="O16" i="1"/>
  <c r="S16" i="1"/>
  <c r="T16" i="1"/>
  <c r="U16" i="1" s="1"/>
  <c r="O17" i="1"/>
  <c r="U17" i="1"/>
  <c r="O18" i="1"/>
  <c r="S18" i="1"/>
  <c r="O19" i="1"/>
  <c r="S19" i="1"/>
  <c r="T19" i="1" s="1"/>
  <c r="O20" i="1"/>
  <c r="S20" i="1"/>
  <c r="O21" i="1"/>
  <c r="S21" i="1"/>
  <c r="T21" i="1" s="1"/>
  <c r="O22" i="1"/>
  <c r="S22" i="1"/>
  <c r="O23" i="1"/>
  <c r="S23" i="1"/>
  <c r="T23" i="1" s="1"/>
  <c r="O24" i="1"/>
  <c r="S24" i="1"/>
  <c r="O25" i="1"/>
  <c r="S25" i="1"/>
  <c r="T25" i="1" s="1"/>
  <c r="O26" i="1"/>
  <c r="S26" i="1"/>
  <c r="O27" i="1"/>
  <c r="S27" i="1"/>
  <c r="T27" i="1" s="1"/>
  <c r="O28" i="1"/>
  <c r="S28" i="1"/>
  <c r="O29" i="1"/>
  <c r="S29" i="1"/>
  <c r="T29" i="1" s="1"/>
  <c r="O30" i="1"/>
  <c r="S30" i="1"/>
  <c r="T30" i="1" s="1"/>
  <c r="U30" i="1" s="1"/>
  <c r="O31" i="1"/>
  <c r="S31" i="1"/>
  <c r="T31" i="1" s="1"/>
  <c r="O32" i="1"/>
  <c r="S32" i="1"/>
  <c r="T32" i="1" s="1"/>
  <c r="U32" i="1" s="1"/>
  <c r="O33" i="1"/>
  <c r="S33" i="1"/>
  <c r="T33" i="1" s="1"/>
  <c r="O34" i="1"/>
  <c r="S34" i="1"/>
  <c r="T34" i="1" s="1"/>
  <c r="U34" i="1" s="1"/>
  <c r="O35" i="1"/>
  <c r="S35" i="1"/>
  <c r="O36" i="1"/>
  <c r="S36" i="1"/>
  <c r="T36" i="1" s="1"/>
  <c r="U36" i="1" s="1"/>
  <c r="O37" i="1"/>
  <c r="S37" i="1"/>
  <c r="T37" i="1" s="1"/>
  <c r="O38" i="1"/>
  <c r="S38" i="1"/>
  <c r="T38" i="1" s="1"/>
  <c r="U38" i="1" s="1"/>
  <c r="O39" i="1"/>
  <c r="S39" i="1"/>
  <c r="T39" i="1" s="1"/>
  <c r="O4" i="1"/>
  <c r="S4" i="1"/>
  <c r="T4" i="1" s="1"/>
  <c r="U4" i="1" s="1"/>
  <c r="M5" i="1"/>
  <c r="N5" i="1"/>
  <c r="M7" i="1"/>
  <c r="N7" i="1"/>
  <c r="M8" i="1"/>
  <c r="N8" i="1"/>
  <c r="M9" i="1"/>
  <c r="N9" i="1"/>
  <c r="M10" i="1"/>
  <c r="M11" i="1"/>
  <c r="N11" i="1"/>
  <c r="M12" i="1"/>
  <c r="N12" i="1"/>
  <c r="M13" i="1"/>
  <c r="N13" i="1"/>
  <c r="M14" i="1"/>
  <c r="M15" i="1"/>
  <c r="N15" i="1"/>
  <c r="M16" i="1"/>
  <c r="N16" i="1"/>
  <c r="M17" i="1"/>
  <c r="N17" i="1"/>
  <c r="M18" i="1"/>
  <c r="M19" i="1"/>
  <c r="N19" i="1"/>
  <c r="M20" i="1"/>
  <c r="N20" i="1"/>
  <c r="M21" i="1"/>
  <c r="N21" i="1"/>
  <c r="M22" i="1"/>
  <c r="M23" i="1"/>
  <c r="N23" i="1"/>
  <c r="M24" i="1"/>
  <c r="N24" i="1"/>
  <c r="M25" i="1"/>
  <c r="N25" i="1"/>
  <c r="M26" i="1"/>
  <c r="M27" i="1"/>
  <c r="N27" i="1"/>
  <c r="M28" i="1"/>
  <c r="N28" i="1"/>
  <c r="M29" i="1"/>
  <c r="N29" i="1"/>
  <c r="M30" i="1"/>
  <c r="M31" i="1"/>
  <c r="N31" i="1"/>
  <c r="M32" i="1"/>
  <c r="N32" i="1"/>
  <c r="M33" i="1"/>
  <c r="N33" i="1"/>
  <c r="M34" i="1"/>
  <c r="M35" i="1"/>
  <c r="N35" i="1"/>
  <c r="M36" i="1"/>
  <c r="N36" i="1"/>
  <c r="M37" i="1"/>
  <c r="N37" i="1"/>
  <c r="M38" i="1"/>
  <c r="M39" i="1"/>
  <c r="N39" i="1"/>
  <c r="N4" i="1"/>
  <c r="M4" i="1"/>
  <c r="U25" i="1" l="1"/>
  <c r="U7" i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U37" i="1"/>
  <c r="U21" i="1"/>
  <c r="U13" i="1"/>
  <c r="T35" i="1"/>
  <c r="U39" i="1"/>
  <c r="U31" i="1"/>
  <c r="U27" i="1"/>
  <c r="U23" i="1"/>
  <c r="U19" i="1"/>
  <c r="U9" i="1"/>
  <c r="T5" i="1"/>
  <c r="U5" i="1" s="1"/>
  <c r="T6" i="1"/>
  <c r="U6" i="1" s="1"/>
  <c r="Q6" i="1"/>
  <c r="U11" i="1"/>
  <c r="U29" i="1"/>
  <c r="U35" i="1"/>
  <c r="U15" i="1"/>
  <c r="U33" i="1"/>
  <c r="T28" i="1"/>
  <c r="U28" i="1" s="1"/>
  <c r="T26" i="1"/>
  <c r="U26" i="1" s="1"/>
  <c r="T24" i="1"/>
  <c r="U24" i="1" s="1"/>
  <c r="T20" i="1"/>
  <c r="U20" i="1" s="1"/>
  <c r="T18" i="1"/>
  <c r="U18" i="1" s="1"/>
  <c r="M6" i="1"/>
</calcChain>
</file>

<file path=xl/sharedStrings.xml><?xml version="1.0" encoding="utf-8"?>
<sst xmlns="http://schemas.openxmlformats.org/spreadsheetml/2006/main" count="40" uniqueCount="37">
  <si>
    <t>Zr</t>
  </si>
  <si>
    <t>t1</t>
  </si>
  <si>
    <t>t2</t>
  </si>
  <si>
    <t>t3</t>
  </si>
  <si>
    <t>Et</t>
  </si>
  <si>
    <t>Nt</t>
  </si>
  <si>
    <t>Zt</t>
  </si>
  <si>
    <t>Er</t>
  </si>
  <si>
    <t>Nr</t>
  </si>
  <si>
    <t>2-way travel time</t>
  </si>
  <si>
    <t>Reciever</t>
  </si>
  <si>
    <t>Transmitter</t>
  </si>
  <si>
    <t>Point name</t>
  </si>
  <si>
    <t>BG35_nw</t>
  </si>
  <si>
    <t>BG35-se</t>
  </si>
  <si>
    <t>BG35</t>
  </si>
  <si>
    <t>speed in ice (m/usec)</t>
  </si>
  <si>
    <t>x2-x1</t>
  </si>
  <si>
    <t>y2-y1</t>
  </si>
  <si>
    <t>mid E</t>
  </si>
  <si>
    <t>mid N</t>
  </si>
  <si>
    <t>mid Z</t>
  </si>
  <si>
    <t>0.5 travel distance</t>
  </si>
  <si>
    <t>depth</t>
  </si>
  <si>
    <t>rock ASL</t>
  </si>
  <si>
    <t>distance between pings</t>
  </si>
  <si>
    <t>cumulative distance</t>
  </si>
  <si>
    <t>0.5 distance between pings</t>
  </si>
  <si>
    <t>BOB0</t>
  </si>
  <si>
    <t>BOB1</t>
  </si>
  <si>
    <t>BOB2</t>
  </si>
  <si>
    <t>BOB3</t>
  </si>
  <si>
    <t>BOB4</t>
  </si>
  <si>
    <t>northwest margin</t>
  </si>
  <si>
    <t>southeast margin</t>
  </si>
  <si>
    <t>BG 35</t>
  </si>
  <si>
    <t xml:space="preserve"> = total width across transect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</si>
</sst>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2" borderId="6" xfId="0" applyFill="1" applyBorder="1"/>
    <xf numFmtId="0" fontId="0" fillId="0" borderId="0" xfId="0" applyFill="1" applyBorder="1"/>
    <xf numFmtId="2" fontId="0" fillId="0" borderId="5" xfId="0" applyNumberFormat="1" applyBorder="1"/>
    <xf numFmtId="2" fontId="0" fillId="0" borderId="0" xfId="0" applyNumberFormat="1" applyBorder="1"/>
    <xf numFmtId="0" fontId="0" fillId="0" borderId="7" xfId="0" applyBorder="1"/>
    <xf numFmtId="0" fontId="0" fillId="0" borderId="8" xfId="0" applyBorder="1"/>
    <xf numFmtId="2" fontId="0" fillId="0" borderId="9" xfId="0" applyNumberFormat="1" applyBorder="1"/>
    <xf numFmtId="0" fontId="0" fillId="0" borderId="9" xfId="0" applyBorder="1"/>
    <xf numFmtId="2" fontId="0" fillId="0" borderId="8" xfId="0" applyNumberFormat="1" applyBorder="1"/>
    <xf numFmtId="2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67438854091297E-2"/>
          <c:y val="4.8961424332344218E-2"/>
          <c:w val="0.6900118678758409"/>
          <c:h val="0.866468842729970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'bg35'!$U$2</c:f>
              <c:strCache>
                <c:ptCount val="1"/>
                <c:pt idx="0">
                  <c:v>rock ASL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2"/>
            <c:spPr>
              <a:solidFill>
                <a:srgbClr val="FFFF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xVal>
            <c:numRef>
              <c:f>'bg35'!$R$4:$R$39</c:f>
              <c:numCache>
                <c:formatCode>0.00</c:formatCode>
                <c:ptCount val="36"/>
                <c:pt idx="0">
                  <c:v>178.39088830164104</c:v>
                </c:pt>
                <c:pt idx="1">
                  <c:v>199.55649483677658</c:v>
                </c:pt>
                <c:pt idx="2">
                  <c:v>220.72015768136984</c:v>
                </c:pt>
                <c:pt idx="3">
                  <c:v>241.88382052597441</c:v>
                </c:pt>
                <c:pt idx="4">
                  <c:v>263.04942706110995</c:v>
                </c:pt>
                <c:pt idx="5">
                  <c:v>284.26110780549027</c:v>
                </c:pt>
                <c:pt idx="6">
                  <c:v>305.47278854988184</c:v>
                </c:pt>
                <c:pt idx="7">
                  <c:v>326.63839508501741</c:v>
                </c:pt>
                <c:pt idx="8">
                  <c:v>347.80400162014166</c:v>
                </c:pt>
                <c:pt idx="9">
                  <c:v>368.96960815527723</c:v>
                </c:pt>
                <c:pt idx="10">
                  <c:v>390.13521469041279</c:v>
                </c:pt>
                <c:pt idx="11">
                  <c:v>411.29887753500606</c:v>
                </c:pt>
                <c:pt idx="12">
                  <c:v>432.46254037961063</c:v>
                </c:pt>
                <c:pt idx="13">
                  <c:v>453.6281469147462</c:v>
                </c:pt>
                <c:pt idx="14">
                  <c:v>474.79375344987045</c:v>
                </c:pt>
                <c:pt idx="15">
                  <c:v>497.19386282474079</c:v>
                </c:pt>
                <c:pt idx="16">
                  <c:v>519.59397219938523</c:v>
                </c:pt>
                <c:pt idx="17">
                  <c:v>541.9479964454606</c:v>
                </c:pt>
                <c:pt idx="18">
                  <c:v>564.34810582031969</c:v>
                </c:pt>
                <c:pt idx="19">
                  <c:v>586.74821519517877</c:v>
                </c:pt>
                <c:pt idx="20">
                  <c:v>609.10223944125414</c:v>
                </c:pt>
                <c:pt idx="21">
                  <c:v>631.45626368732951</c:v>
                </c:pt>
                <c:pt idx="22">
                  <c:v>653.8563730621886</c:v>
                </c:pt>
                <c:pt idx="23">
                  <c:v>676.25648243705893</c:v>
                </c:pt>
                <c:pt idx="24">
                  <c:v>698.60856567318137</c:v>
                </c:pt>
                <c:pt idx="25">
                  <c:v>720.96064890929256</c:v>
                </c:pt>
                <c:pt idx="26">
                  <c:v>743.36075828415164</c:v>
                </c:pt>
                <c:pt idx="27">
                  <c:v>765.76086765901073</c:v>
                </c:pt>
                <c:pt idx="28">
                  <c:v>788.1148919050861</c:v>
                </c:pt>
                <c:pt idx="29">
                  <c:v>810.51500127973054</c:v>
                </c:pt>
                <c:pt idx="30">
                  <c:v>832.91511065460088</c:v>
                </c:pt>
                <c:pt idx="31">
                  <c:v>855.26913490090203</c:v>
                </c:pt>
                <c:pt idx="32">
                  <c:v>877.6231591469774</c:v>
                </c:pt>
                <c:pt idx="33">
                  <c:v>900.02326852162184</c:v>
                </c:pt>
                <c:pt idx="34">
                  <c:v>922.42337789648093</c:v>
                </c:pt>
                <c:pt idx="35">
                  <c:v>944.77740214277082</c:v>
                </c:pt>
              </c:numCache>
            </c:numRef>
          </c:xVal>
          <c:yVal>
            <c:numRef>
              <c:f>'bg35'!$U$4:$U$39</c:f>
              <c:numCache>
                <c:formatCode>0.00</c:formatCode>
                <c:ptCount val="36"/>
                <c:pt idx="0">
                  <c:v>422.36767782271443</c:v>
                </c:pt>
                <c:pt idx="1">
                  <c:v>427.30524402665606</c:v>
                </c:pt>
                <c:pt idx="2">
                  <c:v>435.18198266582175</c:v>
                </c:pt>
                <c:pt idx="3">
                  <c:v>435.8213576658261</c:v>
                </c:pt>
                <c:pt idx="4">
                  <c:v>443.82987615596079</c:v>
                </c:pt>
                <c:pt idx="5">
                  <c:v>447.48977042142405</c:v>
                </c:pt>
                <c:pt idx="6">
                  <c:v>458.2015650364948</c:v>
                </c:pt>
                <c:pt idx="7">
                  <c:v>463.72483201968441</c:v>
                </c:pt>
                <c:pt idx="8">
                  <c:v>466.0622163662066</c:v>
                </c:pt>
                <c:pt idx="9">
                  <c:v>466.70159136621544</c:v>
                </c:pt>
                <c:pt idx="10">
                  <c:v>466.48739994308704</c:v>
                </c:pt>
                <c:pt idx="11">
                  <c:v>467.12532267855863</c:v>
                </c:pt>
                <c:pt idx="12">
                  <c:v>464.43455712561422</c:v>
                </c:pt>
                <c:pt idx="13">
                  <c:v>496.73124999999999</c:v>
                </c:pt>
                <c:pt idx="14">
                  <c:v>447.99598069748066</c:v>
                </c:pt>
                <c:pt idx="15">
                  <c:v>448.81802487360244</c:v>
                </c:pt>
                <c:pt idx="16">
                  <c:v>444.74045223332899</c:v>
                </c:pt>
                <c:pt idx="17">
                  <c:v>438.12622822095966</c:v>
                </c:pt>
                <c:pt idx="18">
                  <c:v>428.75975606656209</c:v>
                </c:pt>
                <c:pt idx="19">
                  <c:v>421.27187206213057</c:v>
                </c:pt>
                <c:pt idx="20">
                  <c:v>415.580451275455</c:v>
                </c:pt>
                <c:pt idx="21">
                  <c:v>408.18208300013185</c:v>
                </c:pt>
                <c:pt idx="22">
                  <c:v>399.07815300675401</c:v>
                </c:pt>
                <c:pt idx="23">
                  <c:v>391.74279107139296</c:v>
                </c:pt>
                <c:pt idx="24">
                  <c:v>387.89577960932729</c:v>
                </c:pt>
                <c:pt idx="25">
                  <c:v>384.95399102324723</c:v>
                </c:pt>
                <c:pt idx="26">
                  <c:v>383.76937553344794</c:v>
                </c:pt>
                <c:pt idx="27">
                  <c:v>386.93376524254262</c:v>
                </c:pt>
                <c:pt idx="28">
                  <c:v>386.62514158129636</c:v>
                </c:pt>
                <c:pt idx="29">
                  <c:v>386.33602725090941</c:v>
                </c:pt>
                <c:pt idx="30">
                  <c:v>396.44370047596163</c:v>
                </c:pt>
                <c:pt idx="31">
                  <c:v>408.32369346508597</c:v>
                </c:pt>
                <c:pt idx="32">
                  <c:v>432.66336650786229</c:v>
                </c:pt>
                <c:pt idx="33">
                  <c:v>444.88750674410403</c:v>
                </c:pt>
                <c:pt idx="34">
                  <c:v>442.21764043212517</c:v>
                </c:pt>
                <c:pt idx="35">
                  <c:v>456.28152237999166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86-486A-B4B1-E86A6A8442EA}"/>
            </c:ext>
          </c:extLst>
        </c:ser>
        <c:ser>
          <c:idx val="0"/>
          <c:order val="1"/>
          <c:tx>
            <c:strRef>
              <c:f>'bg35'!$O$2</c:f>
              <c:strCache>
                <c:ptCount val="1"/>
                <c:pt idx="0">
                  <c:v>mid Z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'bg35'!$R$4:$R$39</c:f>
              <c:numCache>
                <c:formatCode>0.00</c:formatCode>
                <c:ptCount val="36"/>
                <c:pt idx="0">
                  <c:v>178.39088830164104</c:v>
                </c:pt>
                <c:pt idx="1">
                  <c:v>199.55649483677658</c:v>
                </c:pt>
                <c:pt idx="2">
                  <c:v>220.72015768136984</c:v>
                </c:pt>
                <c:pt idx="3">
                  <c:v>241.88382052597441</c:v>
                </c:pt>
                <c:pt idx="4">
                  <c:v>263.04942706110995</c:v>
                </c:pt>
                <c:pt idx="5">
                  <c:v>284.26110780549027</c:v>
                </c:pt>
                <c:pt idx="6">
                  <c:v>305.47278854988184</c:v>
                </c:pt>
                <c:pt idx="7">
                  <c:v>326.63839508501741</c:v>
                </c:pt>
                <c:pt idx="8">
                  <c:v>347.80400162014166</c:v>
                </c:pt>
                <c:pt idx="9">
                  <c:v>368.96960815527723</c:v>
                </c:pt>
                <c:pt idx="10">
                  <c:v>390.13521469041279</c:v>
                </c:pt>
                <c:pt idx="11">
                  <c:v>411.29887753500606</c:v>
                </c:pt>
                <c:pt idx="12">
                  <c:v>432.46254037961063</c:v>
                </c:pt>
                <c:pt idx="13">
                  <c:v>453.6281469147462</c:v>
                </c:pt>
                <c:pt idx="14">
                  <c:v>474.79375344987045</c:v>
                </c:pt>
                <c:pt idx="15">
                  <c:v>497.19386282474079</c:v>
                </c:pt>
                <c:pt idx="16">
                  <c:v>519.59397219938523</c:v>
                </c:pt>
                <c:pt idx="17">
                  <c:v>541.9479964454606</c:v>
                </c:pt>
                <c:pt idx="18">
                  <c:v>564.34810582031969</c:v>
                </c:pt>
                <c:pt idx="19">
                  <c:v>586.74821519517877</c:v>
                </c:pt>
                <c:pt idx="20">
                  <c:v>609.10223944125414</c:v>
                </c:pt>
                <c:pt idx="21">
                  <c:v>631.45626368732951</c:v>
                </c:pt>
                <c:pt idx="22">
                  <c:v>653.8563730621886</c:v>
                </c:pt>
                <c:pt idx="23">
                  <c:v>676.25648243705893</c:v>
                </c:pt>
                <c:pt idx="24">
                  <c:v>698.60856567318137</c:v>
                </c:pt>
                <c:pt idx="25">
                  <c:v>720.96064890929256</c:v>
                </c:pt>
                <c:pt idx="26">
                  <c:v>743.36075828415164</c:v>
                </c:pt>
                <c:pt idx="27">
                  <c:v>765.76086765901073</c:v>
                </c:pt>
                <c:pt idx="28">
                  <c:v>788.1148919050861</c:v>
                </c:pt>
                <c:pt idx="29">
                  <c:v>810.51500127973054</c:v>
                </c:pt>
                <c:pt idx="30">
                  <c:v>832.91511065460088</c:v>
                </c:pt>
                <c:pt idx="31">
                  <c:v>855.26913490090203</c:v>
                </c:pt>
                <c:pt idx="32">
                  <c:v>877.6231591469774</c:v>
                </c:pt>
                <c:pt idx="33">
                  <c:v>900.02326852162184</c:v>
                </c:pt>
                <c:pt idx="34">
                  <c:v>922.42337789648093</c:v>
                </c:pt>
                <c:pt idx="35">
                  <c:v>944.77740214277082</c:v>
                </c:pt>
              </c:numCache>
            </c:numRef>
          </c:xVal>
          <c:yVal>
            <c:numRef>
              <c:f>'bg35'!$O$4:$O$39</c:f>
              <c:numCache>
                <c:formatCode>0.00</c:formatCode>
                <c:ptCount val="36"/>
                <c:pt idx="0">
                  <c:v>488.41937499999995</c:v>
                </c:pt>
                <c:pt idx="1">
                  <c:v>489.05875000000003</c:v>
                </c:pt>
                <c:pt idx="2">
                  <c:v>489.698125</c:v>
                </c:pt>
                <c:pt idx="3">
                  <c:v>490.33749999999998</c:v>
                </c:pt>
                <c:pt idx="4">
                  <c:v>490.97687499999995</c:v>
                </c:pt>
                <c:pt idx="5">
                  <c:v>491.61625000000004</c:v>
                </c:pt>
                <c:pt idx="6">
                  <c:v>492.25562500000001</c:v>
                </c:pt>
                <c:pt idx="7">
                  <c:v>492.89499999999998</c:v>
                </c:pt>
                <c:pt idx="8">
                  <c:v>493.53437499999995</c:v>
                </c:pt>
                <c:pt idx="9">
                  <c:v>494.17375000000004</c:v>
                </c:pt>
                <c:pt idx="10">
                  <c:v>494.81312500000001</c:v>
                </c:pt>
                <c:pt idx="11">
                  <c:v>495.45249999999999</c:v>
                </c:pt>
                <c:pt idx="12">
                  <c:v>496.09187499999996</c:v>
                </c:pt>
                <c:pt idx="13">
                  <c:v>496.73124999999999</c:v>
                </c:pt>
                <c:pt idx="14">
                  <c:v>497.37062500000002</c:v>
                </c:pt>
                <c:pt idx="15">
                  <c:v>497.64499999999998</c:v>
                </c:pt>
                <c:pt idx="16">
                  <c:v>497.28499999999997</c:v>
                </c:pt>
                <c:pt idx="17">
                  <c:v>496.91999999999996</c:v>
                </c:pt>
                <c:pt idx="18">
                  <c:v>496.55500000000001</c:v>
                </c:pt>
                <c:pt idx="19">
                  <c:v>496.19499999999999</c:v>
                </c:pt>
                <c:pt idx="20">
                  <c:v>495.82499999999999</c:v>
                </c:pt>
                <c:pt idx="21">
                  <c:v>495.46500000000003</c:v>
                </c:pt>
                <c:pt idx="22">
                  <c:v>495.1</c:v>
                </c:pt>
                <c:pt idx="23">
                  <c:v>494.73500000000001</c:v>
                </c:pt>
                <c:pt idx="24">
                  <c:v>494.375</c:v>
                </c:pt>
                <c:pt idx="25">
                  <c:v>494.90499999999997</c:v>
                </c:pt>
                <c:pt idx="26">
                  <c:v>495.44499999999999</c:v>
                </c:pt>
                <c:pt idx="27">
                  <c:v>496.875</c:v>
                </c:pt>
                <c:pt idx="28">
                  <c:v>498.31</c:v>
                </c:pt>
                <c:pt idx="29">
                  <c:v>499.745</c:v>
                </c:pt>
                <c:pt idx="30">
                  <c:v>501.17500000000001</c:v>
                </c:pt>
                <c:pt idx="31">
                  <c:v>502.61</c:v>
                </c:pt>
                <c:pt idx="32">
                  <c:v>504.04500000000002</c:v>
                </c:pt>
                <c:pt idx="33">
                  <c:v>505.47954500000003</c:v>
                </c:pt>
                <c:pt idx="34">
                  <c:v>506.42227500000001</c:v>
                </c:pt>
                <c:pt idx="35">
                  <c:v>507.36454500000002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86-486A-B4B1-E86A6A8442EA}"/>
            </c:ext>
          </c:extLst>
        </c:ser>
        <c:ser>
          <c:idx val="1"/>
          <c:order val="2"/>
          <c:tx>
            <c:v>nw glacier margin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66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'bg35'!$R$3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'bg35'!$O$3</c:f>
              <c:numCache>
                <c:formatCode>General</c:formatCode>
                <c:ptCount val="1"/>
                <c:pt idx="0">
                  <c:v>481.24119999999999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86-486A-B4B1-E86A6A8442EA}"/>
            </c:ext>
          </c:extLst>
        </c:ser>
        <c:ser>
          <c:idx val="3"/>
          <c:order val="3"/>
          <c:tx>
            <c:v>se glacier margin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00CC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'bg35'!$R$40</c:f>
              <c:numCache>
                <c:formatCode>0.00</c:formatCode>
                <c:ptCount val="1"/>
                <c:pt idx="0">
                  <c:v>989.48545063535062</c:v>
                </c:pt>
              </c:numCache>
            </c:numRef>
          </c:xVal>
          <c:yVal>
            <c:numRef>
              <c:f>'bg35'!$O$40</c:f>
              <c:numCache>
                <c:formatCode>General</c:formatCode>
                <c:ptCount val="1"/>
                <c:pt idx="0">
                  <c:v>507.81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86-486A-B4B1-E86A6A844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68568"/>
        <c:axId val="1"/>
      </c:scatterChart>
      <c:valAx>
        <c:axId val="301968568"/>
        <c:scaling>
          <c:orientation val="minMax"/>
          <c:max val="1000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196856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941491988763348"/>
          <c:y val="0.40801186943620182"/>
          <c:w val="0.17910457801768917"/>
          <c:h val="0.149851632047477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36630812638364"/>
          <c:y val="4.8961424332344218E-2"/>
          <c:w val="0.66819784875830179"/>
          <c:h val="0.8338278931750743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'bg35'!$M$3:$M$40</c:f>
              <c:numCache>
                <c:formatCode>General</c:formatCode>
                <c:ptCount val="38"/>
                <c:pt idx="0">
                  <c:v>408247.1519</c:v>
                </c:pt>
                <c:pt idx="1">
                  <c:v>408318.67000000004</c:v>
                </c:pt>
                <c:pt idx="2">
                  <c:v>408326.9</c:v>
                </c:pt>
                <c:pt idx="3">
                  <c:v>408335.125</c:v>
                </c:pt>
                <c:pt idx="4">
                  <c:v>408343.35499999998</c:v>
                </c:pt>
                <c:pt idx="5">
                  <c:v>408351.57999999996</c:v>
                </c:pt>
                <c:pt idx="6">
                  <c:v>408359.81</c:v>
                </c:pt>
                <c:pt idx="7">
                  <c:v>408368.04000000004</c:v>
                </c:pt>
                <c:pt idx="8">
                  <c:v>408376.27</c:v>
                </c:pt>
                <c:pt idx="9">
                  <c:v>408384.5</c:v>
                </c:pt>
                <c:pt idx="10">
                  <c:v>408392.73</c:v>
                </c:pt>
                <c:pt idx="11">
                  <c:v>408400.95999999996</c:v>
                </c:pt>
                <c:pt idx="12">
                  <c:v>408409.185</c:v>
                </c:pt>
                <c:pt idx="13">
                  <c:v>408417.41500000004</c:v>
                </c:pt>
                <c:pt idx="14">
                  <c:v>408425.64</c:v>
                </c:pt>
                <c:pt idx="15">
                  <c:v>408433.87</c:v>
                </c:pt>
                <c:pt idx="16">
                  <c:v>408450.78</c:v>
                </c:pt>
                <c:pt idx="17">
                  <c:v>408459.46</c:v>
                </c:pt>
                <c:pt idx="18">
                  <c:v>408468.14</c:v>
                </c:pt>
                <c:pt idx="19">
                  <c:v>408476.82</c:v>
                </c:pt>
                <c:pt idx="20">
                  <c:v>408485.5</c:v>
                </c:pt>
                <c:pt idx="21">
                  <c:v>408494.18</c:v>
                </c:pt>
                <c:pt idx="22">
                  <c:v>408502.86</c:v>
                </c:pt>
                <c:pt idx="23">
                  <c:v>408511.54</c:v>
                </c:pt>
                <c:pt idx="24">
                  <c:v>408520.22</c:v>
                </c:pt>
                <c:pt idx="25">
                  <c:v>408528.89500000002</c:v>
                </c:pt>
                <c:pt idx="26">
                  <c:v>408537.57500000001</c:v>
                </c:pt>
                <c:pt idx="27">
                  <c:v>408546.25</c:v>
                </c:pt>
                <c:pt idx="28">
                  <c:v>408554.93</c:v>
                </c:pt>
                <c:pt idx="29">
                  <c:v>408563.61</c:v>
                </c:pt>
                <c:pt idx="30">
                  <c:v>408572.29</c:v>
                </c:pt>
                <c:pt idx="31">
                  <c:v>408580.97</c:v>
                </c:pt>
                <c:pt idx="32">
                  <c:v>408589.65</c:v>
                </c:pt>
                <c:pt idx="33">
                  <c:v>408598.33</c:v>
                </c:pt>
                <c:pt idx="34">
                  <c:v>408607.01</c:v>
                </c:pt>
                <c:pt idx="35">
                  <c:v>408615.69</c:v>
                </c:pt>
                <c:pt idx="36">
                  <c:v>408624.37</c:v>
                </c:pt>
                <c:pt idx="37">
                  <c:v>408633.05</c:v>
                </c:pt>
              </c:numCache>
            </c:numRef>
          </c:xVal>
          <c:yVal>
            <c:numRef>
              <c:f>'bg35'!$N$3:$N$40</c:f>
              <c:numCache>
                <c:formatCode>General</c:formatCode>
                <c:ptCount val="38"/>
                <c:pt idx="0">
                  <c:v>4118187.125</c:v>
                </c:pt>
                <c:pt idx="1">
                  <c:v>4118023.7</c:v>
                </c:pt>
                <c:pt idx="2">
                  <c:v>4118004.2</c:v>
                </c:pt>
                <c:pt idx="3">
                  <c:v>4117984.7</c:v>
                </c:pt>
                <c:pt idx="4">
                  <c:v>4117965.2</c:v>
                </c:pt>
                <c:pt idx="5">
                  <c:v>4117945.7</c:v>
                </c:pt>
                <c:pt idx="6">
                  <c:v>4117926.1500000004</c:v>
                </c:pt>
                <c:pt idx="7">
                  <c:v>4117906.6500000004</c:v>
                </c:pt>
                <c:pt idx="8">
                  <c:v>4117887.1</c:v>
                </c:pt>
                <c:pt idx="9">
                  <c:v>4117867.6</c:v>
                </c:pt>
                <c:pt idx="10">
                  <c:v>4117848.1</c:v>
                </c:pt>
                <c:pt idx="11">
                  <c:v>4117828.6</c:v>
                </c:pt>
                <c:pt idx="12">
                  <c:v>4117809.1</c:v>
                </c:pt>
                <c:pt idx="13">
                  <c:v>4117789.6</c:v>
                </c:pt>
                <c:pt idx="14">
                  <c:v>4117770.1</c:v>
                </c:pt>
                <c:pt idx="15">
                  <c:v>4117750.6</c:v>
                </c:pt>
                <c:pt idx="16">
                  <c:v>4117710.45</c:v>
                </c:pt>
                <c:pt idx="17">
                  <c:v>4117689.85</c:v>
                </c:pt>
                <c:pt idx="18">
                  <c:v>4117669.2</c:v>
                </c:pt>
                <c:pt idx="19">
                  <c:v>4117648.55</c:v>
                </c:pt>
                <c:pt idx="20">
                  <c:v>4117627.95</c:v>
                </c:pt>
                <c:pt idx="21">
                  <c:v>4117607.3</c:v>
                </c:pt>
                <c:pt idx="22">
                  <c:v>4117586.7</c:v>
                </c:pt>
                <c:pt idx="23">
                  <c:v>4117566.05</c:v>
                </c:pt>
                <c:pt idx="24">
                  <c:v>4117545.45</c:v>
                </c:pt>
                <c:pt idx="25">
                  <c:v>4117524.8</c:v>
                </c:pt>
                <c:pt idx="26">
                  <c:v>4117504.2</c:v>
                </c:pt>
                <c:pt idx="27">
                  <c:v>4117483.55</c:v>
                </c:pt>
                <c:pt idx="28">
                  <c:v>4117462.95</c:v>
                </c:pt>
                <c:pt idx="29">
                  <c:v>4117442.3</c:v>
                </c:pt>
                <c:pt idx="30">
                  <c:v>4117421.65</c:v>
                </c:pt>
                <c:pt idx="31">
                  <c:v>4117401.05</c:v>
                </c:pt>
                <c:pt idx="32">
                  <c:v>4117380.4</c:v>
                </c:pt>
                <c:pt idx="33">
                  <c:v>4117359.8</c:v>
                </c:pt>
                <c:pt idx="34">
                  <c:v>4117339.15</c:v>
                </c:pt>
                <c:pt idx="35">
                  <c:v>4117318.55</c:v>
                </c:pt>
                <c:pt idx="36">
                  <c:v>4117297.9</c:v>
                </c:pt>
                <c:pt idx="37">
                  <c:v>4117277.3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F-4089-8DE8-E7E28C7C8CD5}"/>
            </c:ext>
          </c:extLst>
        </c:ser>
        <c:ser>
          <c:idx val="1"/>
          <c:order val="1"/>
          <c:tx>
            <c:v>survey markers</c:v>
          </c:tx>
          <c:spPr>
            <a:ln w="19050">
              <a:noFill/>
            </a:ln>
          </c:spPr>
          <c:marker>
            <c:symbol val="square"/>
            <c:size val="3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'bg35'!$C$43:$C$48</c:f>
              <c:numCache>
                <c:formatCode>General</c:formatCode>
                <c:ptCount val="6"/>
                <c:pt idx="0">
                  <c:v>408561.09840000002</c:v>
                </c:pt>
                <c:pt idx="1">
                  <c:v>408521.05650000001</c:v>
                </c:pt>
                <c:pt idx="2">
                  <c:v>408480.7378</c:v>
                </c:pt>
                <c:pt idx="3">
                  <c:v>408398.63299999997</c:v>
                </c:pt>
                <c:pt idx="4">
                  <c:v>408357.69689999998</c:v>
                </c:pt>
                <c:pt idx="5">
                  <c:v>408439.24</c:v>
                </c:pt>
              </c:numCache>
            </c:numRef>
          </c:xVal>
          <c:yVal>
            <c:numRef>
              <c:f>'bg35'!$D$43:$D$48</c:f>
              <c:numCache>
                <c:formatCode>General</c:formatCode>
                <c:ptCount val="6"/>
                <c:pt idx="0">
                  <c:v>4117426.0044</c:v>
                </c:pt>
                <c:pt idx="1">
                  <c:v>4117527.9372999999</c:v>
                </c:pt>
                <c:pt idx="2">
                  <c:v>4117630.2930000001</c:v>
                </c:pt>
                <c:pt idx="3">
                  <c:v>4117833.7673999998</c:v>
                </c:pt>
                <c:pt idx="4">
                  <c:v>4117934.8596999999</c:v>
                </c:pt>
                <c:pt idx="5">
                  <c:v>4117730.1444999999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CF-4089-8DE8-E7E28C7C8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448792"/>
        <c:axId val="1"/>
      </c:scatterChart>
      <c:valAx>
        <c:axId val="404448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4448792"/>
        <c:crosses val="autoZero"/>
        <c:crossBetween val="midCat"/>
      </c:valAx>
      <c:spPr>
        <a:solidFill>
          <a:srgbClr val="80808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89327264664843"/>
          <c:y val="0.42878338278931755"/>
          <c:w val="0.15958677143883843"/>
          <c:h val="7.56676557863501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601980</xdr:colOff>
      <xdr:row>49</xdr:row>
      <xdr:rowOff>38100</xdr:rowOff>
    </xdr:from>
    <xdr:to>
      <xdr:col>21</xdr:col>
      <xdr:colOff>121920</xdr:colOff>
      <xdr:row>79</xdr:row>
      <xdr:rowOff>144780</xdr:rowOff>
    </xdr:to>
    <xdr:graphicFrame macro="">
      <xdr:nvGraphicFramePr>
        <xdr:cNvPr id="102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49</xdr:row>
      <xdr:rowOff>38100</xdr:rowOff>
    </xdr:from>
    <xdr:to>
      <xdr:col>10</xdr:col>
      <xdr:colOff>365760</xdr:colOff>
      <xdr:row>79</xdr:row>
      <xdr:rowOff>144780</xdr:rowOff>
    </xdr:to>
    <xdr:graphicFrame macro="">
      <xdr:nvGraphicFramePr>
        <xdr:cNvPr id="102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tabSelected="1" zoomScale="75" workbookViewId="0"/>
  </sheetViews>
  <sheetFormatPr defaultRowHeight="13.2" x14ac:dyDescent="0.25"/>
  <cols>
    <col min="1" max="1" width="11.44140625" customWidth="1"/>
    <col min="19" max="19" width="14.88671875" customWidth="1"/>
  </cols>
  <sheetData>
    <row r="1" spans="1:22" ht="13.8" thickBot="1" x14ac:dyDescent="0.3">
      <c r="B1" s="1" t="s">
        <v>11</v>
      </c>
      <c r="C1" s="2"/>
      <c r="D1" s="3"/>
      <c r="E1" s="1" t="s">
        <v>10</v>
      </c>
      <c r="F1" s="2"/>
      <c r="G1" s="3"/>
      <c r="H1" s="1" t="s">
        <v>9</v>
      </c>
      <c r="I1" s="2"/>
      <c r="J1" s="3"/>
      <c r="L1" t="s">
        <v>16</v>
      </c>
      <c r="N1" s="7">
        <v>170</v>
      </c>
    </row>
    <row r="2" spans="1:22" x14ac:dyDescent="0.25">
      <c r="A2" t="s">
        <v>12</v>
      </c>
      <c r="B2" s="4" t="s">
        <v>4</v>
      </c>
      <c r="C2" s="5" t="s">
        <v>5</v>
      </c>
      <c r="D2" s="6" t="s">
        <v>6</v>
      </c>
      <c r="E2" s="4" t="s">
        <v>7</v>
      </c>
      <c r="F2" s="5" t="s">
        <v>8</v>
      </c>
      <c r="G2" s="6" t="s">
        <v>0</v>
      </c>
      <c r="H2" s="4" t="s">
        <v>1</v>
      </c>
      <c r="I2" s="5" t="s">
        <v>2</v>
      </c>
      <c r="J2" s="6" t="s">
        <v>3</v>
      </c>
      <c r="K2" s="8" t="s">
        <v>17</v>
      </c>
      <c r="L2" s="8" t="s">
        <v>18</v>
      </c>
      <c r="M2" s="8" t="s">
        <v>19</v>
      </c>
      <c r="N2" s="8" t="s">
        <v>20</v>
      </c>
      <c r="O2" s="8" t="s">
        <v>21</v>
      </c>
      <c r="P2" s="8" t="s">
        <v>27</v>
      </c>
      <c r="Q2" s="8" t="s">
        <v>25</v>
      </c>
      <c r="R2" s="8" t="s">
        <v>26</v>
      </c>
      <c r="S2" s="8" t="s">
        <v>22</v>
      </c>
      <c r="T2" s="8" t="s">
        <v>23</v>
      </c>
      <c r="U2" s="8" t="s">
        <v>24</v>
      </c>
    </row>
    <row r="3" spans="1:22" x14ac:dyDescent="0.25">
      <c r="A3" t="s">
        <v>13</v>
      </c>
      <c r="B3" s="11">
        <v>408247.1519</v>
      </c>
      <c r="C3" s="12">
        <v>4118187.125</v>
      </c>
      <c r="D3" s="13">
        <v>481.24119999999999</v>
      </c>
      <c r="E3" s="11"/>
      <c r="F3" s="12"/>
      <c r="G3" s="14"/>
      <c r="H3" s="11"/>
      <c r="I3" s="12"/>
      <c r="J3" s="14"/>
      <c r="K3" s="12">
        <f>B4-B3</f>
        <v>63.288100000005215</v>
      </c>
      <c r="L3" s="12">
        <f>C4-C3</f>
        <v>-143.92499999981374</v>
      </c>
      <c r="M3" s="12">
        <f>B3</f>
        <v>408247.1519</v>
      </c>
      <c r="N3" s="12">
        <f>C3</f>
        <v>4118187.125</v>
      </c>
      <c r="O3" s="12">
        <f>D3</f>
        <v>481.24119999999999</v>
      </c>
      <c r="P3" s="15">
        <f>0.5*SQRT(K3^2+L3^2)</f>
        <v>78.612640883252752</v>
      </c>
      <c r="Q3" s="15">
        <f>2*P3</f>
        <v>157.2252817665055</v>
      </c>
      <c r="R3" s="12">
        <v>0</v>
      </c>
      <c r="S3" s="12"/>
      <c r="T3" s="12"/>
      <c r="U3" s="14">
        <f>O3</f>
        <v>481.24119999999999</v>
      </c>
      <c r="V3" t="s">
        <v>33</v>
      </c>
    </row>
    <row r="4" spans="1:22" x14ac:dyDescent="0.25">
      <c r="B4" s="4">
        <v>408310.44</v>
      </c>
      <c r="C4" s="5">
        <v>4118043.2</v>
      </c>
      <c r="D4" s="9">
        <v>487.78</v>
      </c>
      <c r="E4" s="4">
        <v>408326.9</v>
      </c>
      <c r="F4" s="5">
        <v>4118004.2</v>
      </c>
      <c r="G4" s="9">
        <v>489.05874999999997</v>
      </c>
      <c r="H4" s="4">
        <v>0.81599999999999995</v>
      </c>
      <c r="I4" s="5">
        <v>0</v>
      </c>
      <c r="J4" s="6">
        <v>0</v>
      </c>
      <c r="K4" s="5">
        <f>E4-B4</f>
        <v>16.460000000020955</v>
      </c>
      <c r="L4" s="5">
        <f>F4-C4</f>
        <v>-39</v>
      </c>
      <c r="M4" s="5">
        <f>0.5*K4+B4</f>
        <v>408318.67000000004</v>
      </c>
      <c r="N4" s="5">
        <f>0.5*L4+C4</f>
        <v>4118023.7</v>
      </c>
      <c r="O4" s="10">
        <f>D4+0.5*(G4-D4)</f>
        <v>488.41937499999995</v>
      </c>
      <c r="P4" s="10">
        <f>0.5*SQRT(K4^2+L4^2)</f>
        <v>21.165606535135545</v>
      </c>
      <c r="Q4" s="10">
        <f t="shared" ref="Q4:Q39" si="0">2*P4</f>
        <v>42.33121307027109</v>
      </c>
      <c r="R4" s="10">
        <f>Q3+P4</f>
        <v>178.39088830164104</v>
      </c>
      <c r="S4" s="10">
        <f>0.5*H4*$N$1</f>
        <v>69.36</v>
      </c>
      <c r="T4" s="10">
        <f>SQRT(S4^2-P4^2)</f>
        <v>66.051697177285519</v>
      </c>
      <c r="U4" s="9">
        <f>O4-T4</f>
        <v>422.36767782271443</v>
      </c>
      <c r="V4">
        <v>1</v>
      </c>
    </row>
    <row r="5" spans="1:22" x14ac:dyDescent="0.25">
      <c r="B5" s="4">
        <v>408318.67</v>
      </c>
      <c r="C5" s="5">
        <v>4118023.7</v>
      </c>
      <c r="D5" s="9">
        <v>488.41937000000001</v>
      </c>
      <c r="E5" s="4">
        <v>408335.13</v>
      </c>
      <c r="F5" s="5">
        <v>4117984.7</v>
      </c>
      <c r="G5" s="9">
        <v>489.69812999999999</v>
      </c>
      <c r="H5" s="4">
        <v>0.76800000000000002</v>
      </c>
      <c r="I5" s="5">
        <v>0</v>
      </c>
      <c r="J5" s="6">
        <v>0</v>
      </c>
      <c r="K5" s="5">
        <f t="shared" ref="K5:K39" si="1">E5-B5</f>
        <v>16.460000000020955</v>
      </c>
      <c r="L5" s="5">
        <f t="shared" ref="L5:L39" si="2">F5-C5</f>
        <v>-39</v>
      </c>
      <c r="M5" s="5">
        <f t="shared" ref="M5:M39" si="3">0.5*K5+B5</f>
        <v>408326.9</v>
      </c>
      <c r="N5" s="5">
        <f t="shared" ref="N5:N39" si="4">0.5*L5+C5</f>
        <v>4118004.2</v>
      </c>
      <c r="O5" s="10">
        <f t="shared" ref="O5:O39" si="5">D5+0.5*(G5-D5)</f>
        <v>489.05875000000003</v>
      </c>
      <c r="P5" s="10">
        <f t="shared" ref="P5:P39" si="6">0.5*SQRT(K5^2+L5^2)</f>
        <v>21.165606535135545</v>
      </c>
      <c r="Q5" s="10">
        <f t="shared" si="0"/>
        <v>42.33121307027109</v>
      </c>
      <c r="R5" s="10">
        <f>R4+P5</f>
        <v>199.55649483677658</v>
      </c>
      <c r="S5" s="10">
        <f t="shared" ref="S5:S39" si="7">0.5*H5*$N$1</f>
        <v>65.28</v>
      </c>
      <c r="T5" s="10">
        <f t="shared" ref="T5:T39" si="8">SQRT(S5^2-P5^2)</f>
        <v>61.753505973343955</v>
      </c>
      <c r="U5" s="9">
        <f t="shared" ref="U5:U39" si="9">O5-T5</f>
        <v>427.30524402665606</v>
      </c>
      <c r="V5">
        <v>2</v>
      </c>
    </row>
    <row r="6" spans="1:22" x14ac:dyDescent="0.25">
      <c r="B6" s="4">
        <v>408326.9</v>
      </c>
      <c r="C6" s="5">
        <v>4118004.2</v>
      </c>
      <c r="D6" s="9">
        <v>489.05874999999997</v>
      </c>
      <c r="E6" s="4">
        <v>408343.35</v>
      </c>
      <c r="F6" s="5">
        <v>4117965.2</v>
      </c>
      <c r="G6" s="9">
        <v>490.33749999999998</v>
      </c>
      <c r="H6" s="4">
        <v>0.68799999999999994</v>
      </c>
      <c r="I6" s="5">
        <v>0</v>
      </c>
      <c r="J6" s="6">
        <v>0</v>
      </c>
      <c r="K6" s="5">
        <f t="shared" si="1"/>
        <v>16.449999999953434</v>
      </c>
      <c r="L6" s="5">
        <f t="shared" si="2"/>
        <v>-39</v>
      </c>
      <c r="M6" s="5">
        <f t="shared" si="3"/>
        <v>408335.125</v>
      </c>
      <c r="N6" s="5">
        <f t="shared" si="4"/>
        <v>4117984.7</v>
      </c>
      <c r="O6" s="10">
        <f t="shared" si="5"/>
        <v>489.698125</v>
      </c>
      <c r="P6" s="10">
        <f t="shared" si="6"/>
        <v>21.163662844593254</v>
      </c>
      <c r="Q6" s="10">
        <f t="shared" si="0"/>
        <v>42.327325689186509</v>
      </c>
      <c r="R6" s="10">
        <f>R5+P6</f>
        <v>220.72015768136984</v>
      </c>
      <c r="S6" s="10">
        <f t="shared" si="7"/>
        <v>58.48</v>
      </c>
      <c r="T6" s="10">
        <f t="shared" si="8"/>
        <v>54.516142334178255</v>
      </c>
      <c r="U6" s="9">
        <f t="shared" si="9"/>
        <v>435.18198266582175</v>
      </c>
      <c r="V6">
        <v>3</v>
      </c>
    </row>
    <row r="7" spans="1:22" x14ac:dyDescent="0.25">
      <c r="B7" s="4">
        <v>408335.13</v>
      </c>
      <c r="C7" s="5">
        <v>4117984.7</v>
      </c>
      <c r="D7" s="9">
        <v>489.69812999999999</v>
      </c>
      <c r="E7" s="4">
        <v>408351.58</v>
      </c>
      <c r="F7" s="5">
        <v>4117945.7</v>
      </c>
      <c r="G7" s="9">
        <v>490.97687000000002</v>
      </c>
      <c r="H7" s="4">
        <v>0.68799999999999994</v>
      </c>
      <c r="I7" s="5">
        <v>0</v>
      </c>
      <c r="J7" s="6">
        <v>0</v>
      </c>
      <c r="K7" s="5">
        <f t="shared" si="1"/>
        <v>16.450000000011642</v>
      </c>
      <c r="L7" s="5">
        <f t="shared" si="2"/>
        <v>-39</v>
      </c>
      <c r="M7" s="5">
        <f t="shared" si="3"/>
        <v>408343.35499999998</v>
      </c>
      <c r="N7" s="5">
        <f t="shared" si="4"/>
        <v>4117965.2</v>
      </c>
      <c r="O7" s="10">
        <f t="shared" si="5"/>
        <v>490.33749999999998</v>
      </c>
      <c r="P7" s="10">
        <f t="shared" si="6"/>
        <v>21.163662844604566</v>
      </c>
      <c r="Q7" s="10">
        <f t="shared" si="0"/>
        <v>42.327325689209133</v>
      </c>
      <c r="R7" s="10">
        <f t="shared" ref="R7:R38" si="10">R6+P7</f>
        <v>241.88382052597441</v>
      </c>
      <c r="S7" s="10">
        <f t="shared" si="7"/>
        <v>58.48</v>
      </c>
      <c r="T7" s="10">
        <f t="shared" si="8"/>
        <v>54.516142334173864</v>
      </c>
      <c r="U7" s="9">
        <f t="shared" si="9"/>
        <v>435.8213576658261</v>
      </c>
      <c r="V7">
        <v>4</v>
      </c>
    </row>
    <row r="8" spans="1:22" x14ac:dyDescent="0.25">
      <c r="B8" s="4">
        <v>408343.35</v>
      </c>
      <c r="C8" s="5">
        <v>4117965.2</v>
      </c>
      <c r="D8" s="9">
        <v>490.33749999999998</v>
      </c>
      <c r="E8" s="4">
        <v>408359.81</v>
      </c>
      <c r="F8" s="5">
        <v>4117926.2</v>
      </c>
      <c r="G8" s="9">
        <v>491.61624999999998</v>
      </c>
      <c r="H8" s="4">
        <v>0.60799999999999998</v>
      </c>
      <c r="I8" s="5">
        <v>0</v>
      </c>
      <c r="J8" s="6">
        <v>0</v>
      </c>
      <c r="K8" s="5">
        <f t="shared" si="1"/>
        <v>16.460000000020955</v>
      </c>
      <c r="L8" s="5">
        <f t="shared" si="2"/>
        <v>-39</v>
      </c>
      <c r="M8" s="5">
        <f t="shared" si="3"/>
        <v>408351.57999999996</v>
      </c>
      <c r="N8" s="5">
        <f t="shared" si="4"/>
        <v>4117945.7</v>
      </c>
      <c r="O8" s="10">
        <f t="shared" si="5"/>
        <v>490.97687499999995</v>
      </c>
      <c r="P8" s="10">
        <f t="shared" si="6"/>
        <v>21.165606535135545</v>
      </c>
      <c r="Q8" s="10">
        <f t="shared" si="0"/>
        <v>42.33121307027109</v>
      </c>
      <c r="R8" s="10">
        <f t="shared" si="10"/>
        <v>263.04942706110995</v>
      </c>
      <c r="S8" s="10">
        <f t="shared" si="7"/>
        <v>51.68</v>
      </c>
      <c r="T8" s="10">
        <f t="shared" si="8"/>
        <v>47.146998844039139</v>
      </c>
      <c r="U8" s="9">
        <f t="shared" si="9"/>
        <v>443.82987615596079</v>
      </c>
      <c r="V8">
        <v>5</v>
      </c>
    </row>
    <row r="9" spans="1:22" x14ac:dyDescent="0.25">
      <c r="B9" s="4">
        <v>408351.58</v>
      </c>
      <c r="C9" s="5">
        <v>4117945.7</v>
      </c>
      <c r="D9" s="9">
        <v>490.97687000000002</v>
      </c>
      <c r="E9" s="4">
        <v>408368.04</v>
      </c>
      <c r="F9" s="5">
        <v>4117906.6</v>
      </c>
      <c r="G9" s="9">
        <v>492.25563</v>
      </c>
      <c r="H9" s="4">
        <v>0.57599999999999996</v>
      </c>
      <c r="I9" s="5">
        <v>0</v>
      </c>
      <c r="J9" s="6">
        <v>0</v>
      </c>
      <c r="K9" s="5">
        <f t="shared" si="1"/>
        <v>16.459999999962747</v>
      </c>
      <c r="L9" s="5">
        <f t="shared" si="2"/>
        <v>-39.100000000093132</v>
      </c>
      <c r="M9" s="5">
        <f t="shared" si="3"/>
        <v>408359.81</v>
      </c>
      <c r="N9" s="5">
        <f t="shared" si="4"/>
        <v>4117926.1500000004</v>
      </c>
      <c r="O9" s="10">
        <f t="shared" si="5"/>
        <v>491.61625000000004</v>
      </c>
      <c r="P9" s="10">
        <f t="shared" si="6"/>
        <v>21.211680744380303</v>
      </c>
      <c r="Q9" s="10">
        <f t="shared" si="0"/>
        <v>42.423361488760605</v>
      </c>
      <c r="R9" s="10">
        <f t="shared" si="10"/>
        <v>284.26110780549027</v>
      </c>
      <c r="S9" s="10">
        <f t="shared" si="7"/>
        <v>48.959999999999994</v>
      </c>
      <c r="T9" s="10">
        <f t="shared" si="8"/>
        <v>44.12647957857601</v>
      </c>
      <c r="U9" s="9">
        <f t="shared" si="9"/>
        <v>447.48977042142405</v>
      </c>
      <c r="V9">
        <v>6</v>
      </c>
    </row>
    <row r="10" spans="1:22" x14ac:dyDescent="0.25">
      <c r="B10" s="4">
        <v>408359.81</v>
      </c>
      <c r="C10" s="5">
        <v>4117926.2</v>
      </c>
      <c r="D10" s="9">
        <v>491.61624999999998</v>
      </c>
      <c r="E10" s="4">
        <v>408376.27</v>
      </c>
      <c r="F10" s="5">
        <v>4117887.1</v>
      </c>
      <c r="G10" s="9">
        <v>492.89499999999998</v>
      </c>
      <c r="H10" s="4">
        <v>0.47199999999999998</v>
      </c>
      <c r="I10" s="5">
        <v>0.59199999999999997</v>
      </c>
      <c r="J10" s="6">
        <v>0</v>
      </c>
      <c r="K10" s="5">
        <f t="shared" si="1"/>
        <v>16.460000000020955</v>
      </c>
      <c r="L10" s="5">
        <f t="shared" si="2"/>
        <v>-39.100000000093132</v>
      </c>
      <c r="M10" s="5">
        <f t="shared" si="3"/>
        <v>408368.04000000004</v>
      </c>
      <c r="N10" s="5">
        <f t="shared" si="4"/>
        <v>4117906.6500000004</v>
      </c>
      <c r="O10" s="10">
        <f t="shared" si="5"/>
        <v>492.25562500000001</v>
      </c>
      <c r="P10" s="10">
        <f t="shared" si="6"/>
        <v>21.211680744391597</v>
      </c>
      <c r="Q10" s="10">
        <f t="shared" si="0"/>
        <v>42.423361488783193</v>
      </c>
      <c r="R10" s="10">
        <f t="shared" si="10"/>
        <v>305.47278854988184</v>
      </c>
      <c r="S10" s="10">
        <f t="shared" si="7"/>
        <v>40.119999999999997</v>
      </c>
      <c r="T10" s="10">
        <f t="shared" si="8"/>
        <v>34.054059963505182</v>
      </c>
      <c r="U10" s="9">
        <f t="shared" si="9"/>
        <v>458.2015650364948</v>
      </c>
      <c r="V10">
        <v>7</v>
      </c>
    </row>
    <row r="11" spans="1:22" x14ac:dyDescent="0.25">
      <c r="B11" s="4">
        <v>408368.04</v>
      </c>
      <c r="C11" s="5">
        <v>4117906.6</v>
      </c>
      <c r="D11" s="9">
        <v>492.25563</v>
      </c>
      <c r="E11" s="4">
        <v>408384.5</v>
      </c>
      <c r="F11" s="5">
        <v>4117867.6</v>
      </c>
      <c r="G11" s="9">
        <v>493.53437000000002</v>
      </c>
      <c r="H11" s="4">
        <v>0.42399999999999999</v>
      </c>
      <c r="I11" s="5">
        <v>0</v>
      </c>
      <c r="J11" s="6">
        <v>0</v>
      </c>
      <c r="K11" s="5">
        <f t="shared" si="1"/>
        <v>16.460000000020955</v>
      </c>
      <c r="L11" s="5">
        <f t="shared" si="2"/>
        <v>-39</v>
      </c>
      <c r="M11" s="5">
        <f t="shared" si="3"/>
        <v>408376.27</v>
      </c>
      <c r="N11" s="5">
        <f t="shared" si="4"/>
        <v>4117887.1</v>
      </c>
      <c r="O11" s="10">
        <f t="shared" si="5"/>
        <v>492.89499999999998</v>
      </c>
      <c r="P11" s="10">
        <f t="shared" si="6"/>
        <v>21.165606535135545</v>
      </c>
      <c r="Q11" s="10">
        <f t="shared" si="0"/>
        <v>42.33121307027109</v>
      </c>
      <c r="R11" s="10">
        <f t="shared" si="10"/>
        <v>326.63839508501741</v>
      </c>
      <c r="S11" s="10">
        <f t="shared" si="7"/>
        <v>36.04</v>
      </c>
      <c r="T11" s="10">
        <f t="shared" si="8"/>
        <v>29.170167980315565</v>
      </c>
      <c r="U11" s="9">
        <f t="shared" si="9"/>
        <v>463.72483201968441</v>
      </c>
      <c r="V11">
        <v>8</v>
      </c>
    </row>
    <row r="12" spans="1:22" x14ac:dyDescent="0.25">
      <c r="B12" s="4">
        <v>408376.27</v>
      </c>
      <c r="C12" s="5">
        <v>4117887.1</v>
      </c>
      <c r="D12" s="9">
        <v>492.89499999999998</v>
      </c>
      <c r="E12" s="4">
        <v>408392.73</v>
      </c>
      <c r="F12" s="5">
        <v>4117848.1</v>
      </c>
      <c r="G12" s="9">
        <v>494.17374999999998</v>
      </c>
      <c r="H12" s="4">
        <v>0.40799999999999997</v>
      </c>
      <c r="I12" s="5">
        <v>0</v>
      </c>
      <c r="J12" s="6">
        <v>0</v>
      </c>
      <c r="K12" s="5">
        <f t="shared" si="1"/>
        <v>16.459999999962747</v>
      </c>
      <c r="L12" s="5">
        <f t="shared" si="2"/>
        <v>-39</v>
      </c>
      <c r="M12" s="5">
        <f t="shared" si="3"/>
        <v>408384.5</v>
      </c>
      <c r="N12" s="5">
        <f t="shared" si="4"/>
        <v>4117867.6</v>
      </c>
      <c r="O12" s="10">
        <f t="shared" si="5"/>
        <v>493.53437499999995</v>
      </c>
      <c r="P12" s="10">
        <f t="shared" si="6"/>
        <v>21.165606535124226</v>
      </c>
      <c r="Q12" s="10">
        <f t="shared" si="0"/>
        <v>42.331213070248452</v>
      </c>
      <c r="R12" s="10">
        <f t="shared" si="10"/>
        <v>347.80400162014166</v>
      </c>
      <c r="S12" s="10">
        <f t="shared" si="7"/>
        <v>34.68</v>
      </c>
      <c r="T12" s="10">
        <f t="shared" si="8"/>
        <v>27.472158633793352</v>
      </c>
      <c r="U12" s="9">
        <f t="shared" si="9"/>
        <v>466.0622163662066</v>
      </c>
      <c r="V12">
        <v>9</v>
      </c>
    </row>
    <row r="13" spans="1:22" x14ac:dyDescent="0.25">
      <c r="B13" s="4">
        <v>408384.5</v>
      </c>
      <c r="C13" s="5">
        <v>4117867.6</v>
      </c>
      <c r="D13" s="9">
        <v>493.53437000000002</v>
      </c>
      <c r="E13" s="4">
        <v>408400.96</v>
      </c>
      <c r="F13" s="5">
        <v>4117828.6</v>
      </c>
      <c r="G13" s="9">
        <v>494.81313</v>
      </c>
      <c r="H13" s="4">
        <v>0.40799999999999997</v>
      </c>
      <c r="I13" s="5">
        <v>0</v>
      </c>
      <c r="J13" s="6">
        <v>0</v>
      </c>
      <c r="K13" s="5">
        <f t="shared" si="1"/>
        <v>16.460000000020955</v>
      </c>
      <c r="L13" s="5">
        <f t="shared" si="2"/>
        <v>-39</v>
      </c>
      <c r="M13" s="5">
        <f t="shared" si="3"/>
        <v>408392.73</v>
      </c>
      <c r="N13" s="5">
        <f t="shared" si="4"/>
        <v>4117848.1</v>
      </c>
      <c r="O13" s="10">
        <f t="shared" si="5"/>
        <v>494.17375000000004</v>
      </c>
      <c r="P13" s="10">
        <f t="shared" si="6"/>
        <v>21.165606535135545</v>
      </c>
      <c r="Q13" s="10">
        <f t="shared" si="0"/>
        <v>42.33121307027109</v>
      </c>
      <c r="R13" s="10">
        <f t="shared" si="10"/>
        <v>368.96960815527723</v>
      </c>
      <c r="S13" s="10">
        <f t="shared" si="7"/>
        <v>34.68</v>
      </c>
      <c r="T13" s="10">
        <f t="shared" si="8"/>
        <v>27.47215863378463</v>
      </c>
      <c r="U13" s="9">
        <f t="shared" si="9"/>
        <v>466.70159136621544</v>
      </c>
      <c r="V13">
        <v>10</v>
      </c>
    </row>
    <row r="14" spans="1:22" x14ac:dyDescent="0.25">
      <c r="B14" s="4">
        <v>408392.73</v>
      </c>
      <c r="C14" s="5">
        <v>4117848.1</v>
      </c>
      <c r="D14" s="9">
        <v>494.17374999999998</v>
      </c>
      <c r="E14" s="4">
        <v>408409.19</v>
      </c>
      <c r="F14" s="5">
        <v>4117809.1</v>
      </c>
      <c r="G14" s="9">
        <v>495.45249999999999</v>
      </c>
      <c r="H14" s="4">
        <v>0.41599999999999998</v>
      </c>
      <c r="I14" s="5">
        <v>0</v>
      </c>
      <c r="J14" s="6">
        <v>0</v>
      </c>
      <c r="K14" s="5">
        <f t="shared" si="1"/>
        <v>16.460000000020955</v>
      </c>
      <c r="L14" s="5">
        <f t="shared" si="2"/>
        <v>-39</v>
      </c>
      <c r="M14" s="5">
        <f t="shared" si="3"/>
        <v>408400.95999999996</v>
      </c>
      <c r="N14" s="5">
        <f t="shared" si="4"/>
        <v>4117828.6</v>
      </c>
      <c r="O14" s="10">
        <f t="shared" si="5"/>
        <v>494.81312500000001</v>
      </c>
      <c r="P14" s="10">
        <f t="shared" si="6"/>
        <v>21.165606535135545</v>
      </c>
      <c r="Q14" s="10">
        <f t="shared" si="0"/>
        <v>42.33121307027109</v>
      </c>
      <c r="R14" s="10">
        <f t="shared" si="10"/>
        <v>390.13521469041279</v>
      </c>
      <c r="S14" s="10">
        <f t="shared" si="7"/>
        <v>35.36</v>
      </c>
      <c r="T14" s="10">
        <f t="shared" si="8"/>
        <v>28.325725056912972</v>
      </c>
      <c r="U14" s="9">
        <f t="shared" si="9"/>
        <v>466.48739994308704</v>
      </c>
      <c r="V14">
        <v>11</v>
      </c>
    </row>
    <row r="15" spans="1:22" x14ac:dyDescent="0.25">
      <c r="B15" s="4">
        <v>408400.96</v>
      </c>
      <c r="C15" s="5">
        <v>4117828.6</v>
      </c>
      <c r="D15" s="9">
        <v>494.81313</v>
      </c>
      <c r="E15" s="4">
        <v>408417.41</v>
      </c>
      <c r="F15" s="5">
        <v>4117789.6</v>
      </c>
      <c r="G15" s="9">
        <v>496.09186999999997</v>
      </c>
      <c r="H15" s="4">
        <v>0.41599999999999998</v>
      </c>
      <c r="I15" s="5">
        <v>0</v>
      </c>
      <c r="J15" s="6">
        <v>0</v>
      </c>
      <c r="K15" s="5">
        <f t="shared" si="1"/>
        <v>16.449999999953434</v>
      </c>
      <c r="L15" s="5">
        <f t="shared" si="2"/>
        <v>-39</v>
      </c>
      <c r="M15" s="5">
        <f t="shared" si="3"/>
        <v>408409.185</v>
      </c>
      <c r="N15" s="5">
        <f t="shared" si="4"/>
        <v>4117809.1</v>
      </c>
      <c r="O15" s="10">
        <f t="shared" si="5"/>
        <v>495.45249999999999</v>
      </c>
      <c r="P15" s="10">
        <f t="shared" si="6"/>
        <v>21.163662844593254</v>
      </c>
      <c r="Q15" s="10">
        <f t="shared" si="0"/>
        <v>42.327325689186509</v>
      </c>
      <c r="R15" s="10">
        <f t="shared" si="10"/>
        <v>411.29887753500606</v>
      </c>
      <c r="S15" s="10">
        <f t="shared" si="7"/>
        <v>35.36</v>
      </c>
      <c r="T15" s="10">
        <f t="shared" si="8"/>
        <v>28.327177321441383</v>
      </c>
      <c r="U15" s="9">
        <f t="shared" si="9"/>
        <v>467.12532267855863</v>
      </c>
      <c r="V15">
        <v>12</v>
      </c>
    </row>
    <row r="16" spans="1:22" x14ac:dyDescent="0.25">
      <c r="B16" s="4">
        <v>408409.19</v>
      </c>
      <c r="C16" s="5">
        <v>4117809.1</v>
      </c>
      <c r="D16" s="9">
        <v>495.45249999999999</v>
      </c>
      <c r="E16" s="4">
        <v>408425.64</v>
      </c>
      <c r="F16" s="5">
        <v>4117770.1</v>
      </c>
      <c r="G16" s="9">
        <v>496.73124999999999</v>
      </c>
      <c r="H16" s="4">
        <v>0.44800000000000001</v>
      </c>
      <c r="I16" s="5">
        <v>0</v>
      </c>
      <c r="J16" s="6">
        <v>0</v>
      </c>
      <c r="K16" s="5">
        <f t="shared" si="1"/>
        <v>16.450000000011642</v>
      </c>
      <c r="L16" s="5">
        <f t="shared" si="2"/>
        <v>-39</v>
      </c>
      <c r="M16" s="5">
        <f t="shared" si="3"/>
        <v>408417.41500000004</v>
      </c>
      <c r="N16" s="5">
        <f t="shared" si="4"/>
        <v>4117789.6</v>
      </c>
      <c r="O16" s="10">
        <f t="shared" si="5"/>
        <v>496.09187499999996</v>
      </c>
      <c r="P16" s="10">
        <f t="shared" si="6"/>
        <v>21.163662844604566</v>
      </c>
      <c r="Q16" s="10">
        <f t="shared" si="0"/>
        <v>42.327325689209133</v>
      </c>
      <c r="R16" s="10">
        <f t="shared" si="10"/>
        <v>432.46254037961063</v>
      </c>
      <c r="S16" s="10">
        <f t="shared" si="7"/>
        <v>38.08</v>
      </c>
      <c r="T16" s="10">
        <f t="shared" si="8"/>
        <v>31.657317874385758</v>
      </c>
      <c r="U16" s="9">
        <f t="shared" si="9"/>
        <v>464.43455712561422</v>
      </c>
      <c r="V16">
        <v>13</v>
      </c>
    </row>
    <row r="17" spans="1:23" x14ac:dyDescent="0.25">
      <c r="B17" s="4">
        <v>408417.41</v>
      </c>
      <c r="C17" s="5">
        <v>4117789.6</v>
      </c>
      <c r="D17" s="9">
        <v>496.09186999999997</v>
      </c>
      <c r="E17" s="4">
        <v>408433.87</v>
      </c>
      <c r="F17" s="5">
        <v>4117750.6</v>
      </c>
      <c r="G17" s="9">
        <v>497.37063000000001</v>
      </c>
      <c r="H17" s="4">
        <v>0</v>
      </c>
      <c r="I17" s="5">
        <v>0</v>
      </c>
      <c r="J17" s="6">
        <v>0</v>
      </c>
      <c r="K17" s="5">
        <f t="shared" si="1"/>
        <v>16.460000000020955</v>
      </c>
      <c r="L17" s="5">
        <f t="shared" si="2"/>
        <v>-39</v>
      </c>
      <c r="M17" s="5">
        <f t="shared" si="3"/>
        <v>408425.64</v>
      </c>
      <c r="N17" s="5">
        <f t="shared" si="4"/>
        <v>4117770.1</v>
      </c>
      <c r="O17" s="10">
        <f t="shared" si="5"/>
        <v>496.73124999999999</v>
      </c>
      <c r="P17" s="10">
        <f t="shared" si="6"/>
        <v>21.165606535135545</v>
      </c>
      <c r="Q17" s="10">
        <f t="shared" si="0"/>
        <v>42.33121307027109</v>
      </c>
      <c r="R17" s="10">
        <f t="shared" si="10"/>
        <v>453.6281469147462</v>
      </c>
      <c r="S17" s="10"/>
      <c r="T17" s="10"/>
      <c r="U17" s="9">
        <f t="shared" si="9"/>
        <v>496.73124999999999</v>
      </c>
      <c r="V17">
        <v>14</v>
      </c>
    </row>
    <row r="18" spans="1:23" x14ac:dyDescent="0.25">
      <c r="B18" s="4">
        <v>408425.64</v>
      </c>
      <c r="C18" s="5">
        <v>4117770.1</v>
      </c>
      <c r="D18" s="9">
        <v>496.73124999999999</v>
      </c>
      <c r="E18" s="4">
        <v>408442.1</v>
      </c>
      <c r="F18" s="5">
        <v>4117731.1</v>
      </c>
      <c r="G18" s="9">
        <v>498.01</v>
      </c>
      <c r="H18" s="4">
        <v>0.63200000000000001</v>
      </c>
      <c r="I18" s="5">
        <v>0</v>
      </c>
      <c r="J18" s="6">
        <v>0</v>
      </c>
      <c r="K18" s="5">
        <f t="shared" si="1"/>
        <v>16.459999999962747</v>
      </c>
      <c r="L18" s="5">
        <f t="shared" si="2"/>
        <v>-39</v>
      </c>
      <c r="M18" s="5">
        <f t="shared" si="3"/>
        <v>408433.87</v>
      </c>
      <c r="N18" s="5">
        <f t="shared" si="4"/>
        <v>4117750.6</v>
      </c>
      <c r="O18" s="10">
        <f t="shared" si="5"/>
        <v>497.37062500000002</v>
      </c>
      <c r="P18" s="10">
        <f t="shared" si="6"/>
        <v>21.165606535124226</v>
      </c>
      <c r="Q18" s="10">
        <f t="shared" si="0"/>
        <v>42.331213070248452</v>
      </c>
      <c r="R18" s="10">
        <f t="shared" si="10"/>
        <v>474.79375344987045</v>
      </c>
      <c r="S18" s="10">
        <f t="shared" si="7"/>
        <v>53.72</v>
      </c>
      <c r="T18" s="10">
        <f t="shared" si="8"/>
        <v>49.37464430251935</v>
      </c>
      <c r="U18" s="9">
        <f t="shared" si="9"/>
        <v>447.99598069748066</v>
      </c>
      <c r="V18">
        <v>15</v>
      </c>
    </row>
    <row r="19" spans="1:23" x14ac:dyDescent="0.25">
      <c r="A19" t="s">
        <v>15</v>
      </c>
      <c r="B19" s="4">
        <v>408442.1</v>
      </c>
      <c r="C19" s="5">
        <v>4117731.1</v>
      </c>
      <c r="D19" s="9">
        <v>498.01</v>
      </c>
      <c r="E19" s="4">
        <v>408459.46</v>
      </c>
      <c r="F19" s="5">
        <v>4117689.8</v>
      </c>
      <c r="G19" s="9">
        <v>497.28</v>
      </c>
      <c r="H19" s="4">
        <v>0.63200000000000001</v>
      </c>
      <c r="I19" s="5">
        <v>0.8</v>
      </c>
      <c r="J19" s="6">
        <v>0</v>
      </c>
      <c r="K19" s="5">
        <f t="shared" si="1"/>
        <v>17.360000000044238</v>
      </c>
      <c r="L19" s="5">
        <f t="shared" si="2"/>
        <v>-41.300000000279397</v>
      </c>
      <c r="M19" s="5">
        <f t="shared" si="3"/>
        <v>408450.78</v>
      </c>
      <c r="N19" s="5">
        <f t="shared" si="4"/>
        <v>4117710.45</v>
      </c>
      <c r="O19" s="10">
        <f t="shared" si="5"/>
        <v>497.64499999999998</v>
      </c>
      <c r="P19" s="10">
        <f t="shared" si="6"/>
        <v>22.400109374870329</v>
      </c>
      <c r="Q19" s="10">
        <f t="shared" si="0"/>
        <v>44.800218749740658</v>
      </c>
      <c r="R19" s="10">
        <f t="shared" si="10"/>
        <v>497.19386282474079</v>
      </c>
      <c r="S19" s="10">
        <f t="shared" si="7"/>
        <v>53.72</v>
      </c>
      <c r="T19" s="10">
        <f t="shared" si="8"/>
        <v>48.826975126397564</v>
      </c>
      <c r="U19" s="9">
        <f t="shared" si="9"/>
        <v>448.81802487360244</v>
      </c>
      <c r="V19">
        <v>16</v>
      </c>
      <c r="W19" t="s">
        <v>35</v>
      </c>
    </row>
    <row r="20" spans="1:23" x14ac:dyDescent="0.25">
      <c r="B20" s="4">
        <v>408450.78</v>
      </c>
      <c r="C20" s="5">
        <v>4117710.5</v>
      </c>
      <c r="D20" s="9">
        <v>497.65</v>
      </c>
      <c r="E20" s="4">
        <v>408468.14</v>
      </c>
      <c r="F20" s="5">
        <v>4117669.2</v>
      </c>
      <c r="G20" s="9">
        <v>496.92</v>
      </c>
      <c r="H20" s="4">
        <v>0.67200000000000004</v>
      </c>
      <c r="I20" s="5">
        <v>0</v>
      </c>
      <c r="J20" s="6">
        <v>0</v>
      </c>
      <c r="K20" s="5">
        <f t="shared" si="1"/>
        <v>17.35999999998603</v>
      </c>
      <c r="L20" s="5">
        <f t="shared" si="2"/>
        <v>-41.299999999813735</v>
      </c>
      <c r="M20" s="5">
        <f t="shared" si="3"/>
        <v>408459.46</v>
      </c>
      <c r="N20" s="5">
        <f t="shared" si="4"/>
        <v>4117689.85</v>
      </c>
      <c r="O20" s="10">
        <f t="shared" si="5"/>
        <v>497.28499999999997</v>
      </c>
      <c r="P20" s="10">
        <f t="shared" si="6"/>
        <v>22.400109374644412</v>
      </c>
      <c r="Q20" s="10">
        <f t="shared" si="0"/>
        <v>44.800218749288824</v>
      </c>
      <c r="R20" s="10">
        <f t="shared" si="10"/>
        <v>519.59397219938523</v>
      </c>
      <c r="S20" s="10">
        <f t="shared" si="7"/>
        <v>57.120000000000005</v>
      </c>
      <c r="T20" s="10">
        <f t="shared" si="8"/>
        <v>52.544547766670973</v>
      </c>
      <c r="U20" s="9">
        <f t="shared" si="9"/>
        <v>444.74045223332899</v>
      </c>
      <c r="V20">
        <v>17</v>
      </c>
    </row>
    <row r="21" spans="1:23" x14ac:dyDescent="0.25">
      <c r="B21" s="4">
        <v>408459.46</v>
      </c>
      <c r="C21" s="5">
        <v>4117689.8</v>
      </c>
      <c r="D21" s="9">
        <v>497.28</v>
      </c>
      <c r="E21" s="4">
        <v>408476.82</v>
      </c>
      <c r="F21" s="5">
        <v>4117648.6</v>
      </c>
      <c r="G21" s="9">
        <v>496.56</v>
      </c>
      <c r="H21" s="4">
        <v>0.74</v>
      </c>
      <c r="I21" s="5">
        <v>0</v>
      </c>
      <c r="J21" s="6">
        <v>0</v>
      </c>
      <c r="K21" s="5">
        <f t="shared" si="1"/>
        <v>17.35999999998603</v>
      </c>
      <c r="L21" s="5">
        <f t="shared" si="2"/>
        <v>-41.199999999720603</v>
      </c>
      <c r="M21" s="5">
        <f t="shared" si="3"/>
        <v>408468.14</v>
      </c>
      <c r="N21" s="5">
        <f t="shared" si="4"/>
        <v>4117669.2</v>
      </c>
      <c r="O21" s="10">
        <f t="shared" si="5"/>
        <v>496.91999999999996</v>
      </c>
      <c r="P21" s="10">
        <f t="shared" si="6"/>
        <v>22.354024246075319</v>
      </c>
      <c r="Q21" s="10">
        <f t="shared" si="0"/>
        <v>44.708048492150638</v>
      </c>
      <c r="R21" s="10">
        <f t="shared" si="10"/>
        <v>541.9479964454606</v>
      </c>
      <c r="S21" s="10">
        <f t="shared" si="7"/>
        <v>62.9</v>
      </c>
      <c r="T21" s="10">
        <f t="shared" si="8"/>
        <v>58.793771779040306</v>
      </c>
      <c r="U21" s="9">
        <f t="shared" si="9"/>
        <v>438.12622822095966</v>
      </c>
      <c r="V21">
        <v>18</v>
      </c>
    </row>
    <row r="22" spans="1:23" x14ac:dyDescent="0.25">
      <c r="B22" s="4">
        <v>408468.14</v>
      </c>
      <c r="C22" s="5">
        <v>4117669.2</v>
      </c>
      <c r="D22" s="9">
        <v>496.92</v>
      </c>
      <c r="E22" s="4">
        <v>408485.5</v>
      </c>
      <c r="F22" s="5">
        <v>4117627.9</v>
      </c>
      <c r="G22" s="9">
        <v>496.19</v>
      </c>
      <c r="H22" s="4">
        <v>0.84</v>
      </c>
      <c r="I22" s="5">
        <v>0</v>
      </c>
      <c r="J22" s="6">
        <v>0</v>
      </c>
      <c r="K22" s="5">
        <f t="shared" si="1"/>
        <v>17.35999999998603</v>
      </c>
      <c r="L22" s="5">
        <f t="shared" si="2"/>
        <v>-41.300000000279397</v>
      </c>
      <c r="M22" s="5">
        <f t="shared" si="3"/>
        <v>408476.82</v>
      </c>
      <c r="N22" s="5">
        <f t="shared" si="4"/>
        <v>4117648.55</v>
      </c>
      <c r="O22" s="10">
        <f t="shared" si="5"/>
        <v>496.55500000000001</v>
      </c>
      <c r="P22" s="10">
        <f t="shared" si="6"/>
        <v>22.400109374859049</v>
      </c>
      <c r="Q22" s="10">
        <f t="shared" si="0"/>
        <v>44.800218749718098</v>
      </c>
      <c r="R22" s="10">
        <f t="shared" si="10"/>
        <v>564.34810582031969</v>
      </c>
      <c r="S22" s="10">
        <f t="shared" si="7"/>
        <v>71.399999999999991</v>
      </c>
      <c r="T22" s="10">
        <f t="shared" si="8"/>
        <v>67.795243933437916</v>
      </c>
      <c r="U22" s="9">
        <f t="shared" si="9"/>
        <v>428.75975606656209</v>
      </c>
      <c r="V22">
        <v>19</v>
      </c>
    </row>
    <row r="23" spans="1:23" x14ac:dyDescent="0.25">
      <c r="B23" s="4">
        <v>408476.82</v>
      </c>
      <c r="C23" s="5">
        <v>4117648.6</v>
      </c>
      <c r="D23" s="9">
        <v>496.56</v>
      </c>
      <c r="E23" s="4">
        <v>408494.18</v>
      </c>
      <c r="F23" s="5">
        <v>4117607.3</v>
      </c>
      <c r="G23" s="9">
        <v>495.83</v>
      </c>
      <c r="H23" s="4">
        <v>0.92</v>
      </c>
      <c r="I23" s="5">
        <v>0</v>
      </c>
      <c r="J23" s="6">
        <v>0</v>
      </c>
      <c r="K23" s="5">
        <f t="shared" si="1"/>
        <v>17.35999999998603</v>
      </c>
      <c r="L23" s="5">
        <f t="shared" si="2"/>
        <v>-41.300000000279397</v>
      </c>
      <c r="M23" s="5">
        <f t="shared" si="3"/>
        <v>408485.5</v>
      </c>
      <c r="N23" s="5">
        <f t="shared" si="4"/>
        <v>4117627.95</v>
      </c>
      <c r="O23" s="10">
        <f t="shared" si="5"/>
        <v>496.19499999999999</v>
      </c>
      <c r="P23" s="10">
        <f t="shared" si="6"/>
        <v>22.400109374859049</v>
      </c>
      <c r="Q23" s="10">
        <f t="shared" si="0"/>
        <v>44.800218749718098</v>
      </c>
      <c r="R23" s="10">
        <f t="shared" si="10"/>
        <v>586.74821519517877</v>
      </c>
      <c r="S23" s="10">
        <f t="shared" si="7"/>
        <v>78.2</v>
      </c>
      <c r="T23" s="10">
        <f t="shared" si="8"/>
        <v>74.923127937869438</v>
      </c>
      <c r="U23" s="9">
        <f t="shared" si="9"/>
        <v>421.27187206213057</v>
      </c>
      <c r="V23">
        <v>20</v>
      </c>
    </row>
    <row r="24" spans="1:23" x14ac:dyDescent="0.25">
      <c r="B24" s="4">
        <v>408485.5</v>
      </c>
      <c r="C24" s="5">
        <v>4117627.9</v>
      </c>
      <c r="D24" s="9">
        <v>496.19</v>
      </c>
      <c r="E24" s="4">
        <v>408502.86</v>
      </c>
      <c r="F24" s="5">
        <v>4117586.7</v>
      </c>
      <c r="G24" s="9">
        <v>495.46</v>
      </c>
      <c r="H24" s="4">
        <v>0.98</v>
      </c>
      <c r="I24" s="5">
        <v>0</v>
      </c>
      <c r="J24" s="6">
        <v>0</v>
      </c>
      <c r="K24" s="5">
        <f t="shared" si="1"/>
        <v>17.35999999998603</v>
      </c>
      <c r="L24" s="5">
        <f t="shared" si="2"/>
        <v>-41.199999999720603</v>
      </c>
      <c r="M24" s="5">
        <f t="shared" si="3"/>
        <v>408494.18</v>
      </c>
      <c r="N24" s="5">
        <f t="shared" si="4"/>
        <v>4117607.3</v>
      </c>
      <c r="O24" s="10">
        <f t="shared" si="5"/>
        <v>495.82499999999999</v>
      </c>
      <c r="P24" s="10">
        <f t="shared" si="6"/>
        <v>22.354024246075319</v>
      </c>
      <c r="Q24" s="10">
        <f t="shared" si="0"/>
        <v>44.708048492150638</v>
      </c>
      <c r="R24" s="10">
        <f t="shared" si="10"/>
        <v>609.10223944125414</v>
      </c>
      <c r="S24" s="10">
        <f t="shared" si="7"/>
        <v>83.3</v>
      </c>
      <c r="T24" s="10">
        <f t="shared" si="8"/>
        <v>80.244548724544998</v>
      </c>
      <c r="U24" s="9">
        <f t="shared" si="9"/>
        <v>415.580451275455</v>
      </c>
      <c r="V24">
        <v>21</v>
      </c>
    </row>
    <row r="25" spans="1:23" x14ac:dyDescent="0.25">
      <c r="B25" s="4">
        <v>408494.18</v>
      </c>
      <c r="C25" s="5">
        <v>4117607.3</v>
      </c>
      <c r="D25" s="9">
        <v>495.83</v>
      </c>
      <c r="E25" s="4">
        <v>408511.54</v>
      </c>
      <c r="F25" s="5">
        <v>4117566.1</v>
      </c>
      <c r="G25" s="9">
        <v>495.1</v>
      </c>
      <c r="H25" s="4">
        <v>1.06</v>
      </c>
      <c r="I25" s="5">
        <v>0</v>
      </c>
      <c r="J25" s="6">
        <v>0</v>
      </c>
      <c r="K25" s="5">
        <f t="shared" si="1"/>
        <v>17.35999999998603</v>
      </c>
      <c r="L25" s="5">
        <f t="shared" si="2"/>
        <v>-41.199999999720603</v>
      </c>
      <c r="M25" s="5">
        <f t="shared" si="3"/>
        <v>408502.86</v>
      </c>
      <c r="N25" s="5">
        <f t="shared" si="4"/>
        <v>4117586.7</v>
      </c>
      <c r="O25" s="10">
        <f t="shared" si="5"/>
        <v>495.46500000000003</v>
      </c>
      <c r="P25" s="10">
        <f t="shared" si="6"/>
        <v>22.354024246075319</v>
      </c>
      <c r="Q25" s="10">
        <f t="shared" si="0"/>
        <v>44.708048492150638</v>
      </c>
      <c r="R25" s="10">
        <f t="shared" si="10"/>
        <v>631.45626368732951</v>
      </c>
      <c r="S25" s="10">
        <f t="shared" si="7"/>
        <v>90.100000000000009</v>
      </c>
      <c r="T25" s="10">
        <f t="shared" si="8"/>
        <v>87.282916999868178</v>
      </c>
      <c r="U25" s="9">
        <f t="shared" si="9"/>
        <v>408.18208300013185</v>
      </c>
      <c r="V25">
        <v>22</v>
      </c>
    </row>
    <row r="26" spans="1:23" x14ac:dyDescent="0.25">
      <c r="B26" s="4">
        <v>408502.86</v>
      </c>
      <c r="C26" s="5">
        <v>4117586.7</v>
      </c>
      <c r="D26" s="9">
        <v>495.46</v>
      </c>
      <c r="E26" s="4">
        <v>408520.22</v>
      </c>
      <c r="F26" s="5">
        <v>4117545.4</v>
      </c>
      <c r="G26" s="9">
        <v>494.74</v>
      </c>
      <c r="H26" s="4">
        <v>1.1599999999999999</v>
      </c>
      <c r="I26" s="5">
        <v>0</v>
      </c>
      <c r="J26" s="6">
        <v>0</v>
      </c>
      <c r="K26" s="5">
        <f t="shared" si="1"/>
        <v>17.35999999998603</v>
      </c>
      <c r="L26" s="5">
        <f t="shared" si="2"/>
        <v>-41.300000000279397</v>
      </c>
      <c r="M26" s="5">
        <f t="shared" si="3"/>
        <v>408511.54</v>
      </c>
      <c r="N26" s="5">
        <f t="shared" si="4"/>
        <v>4117566.05</v>
      </c>
      <c r="O26" s="10">
        <f t="shared" si="5"/>
        <v>495.1</v>
      </c>
      <c r="P26" s="10">
        <f t="shared" si="6"/>
        <v>22.400109374859049</v>
      </c>
      <c r="Q26" s="10">
        <f t="shared" si="0"/>
        <v>44.800218749718098</v>
      </c>
      <c r="R26" s="10">
        <f t="shared" si="10"/>
        <v>653.8563730621886</v>
      </c>
      <c r="S26" s="10">
        <f t="shared" si="7"/>
        <v>98.6</v>
      </c>
      <c r="T26" s="10">
        <f t="shared" si="8"/>
        <v>96.021846993246029</v>
      </c>
      <c r="U26" s="9">
        <f t="shared" si="9"/>
        <v>399.07815300675401</v>
      </c>
      <c r="V26">
        <v>23</v>
      </c>
    </row>
    <row r="27" spans="1:23" x14ac:dyDescent="0.25">
      <c r="B27" s="4">
        <v>408511.54</v>
      </c>
      <c r="C27" s="5">
        <v>4117566.1</v>
      </c>
      <c r="D27" s="9">
        <v>495.1</v>
      </c>
      <c r="E27" s="4">
        <v>408528.9</v>
      </c>
      <c r="F27" s="5">
        <v>4117524.8</v>
      </c>
      <c r="G27" s="9">
        <v>494.37</v>
      </c>
      <c r="H27" s="4">
        <v>1.24</v>
      </c>
      <c r="I27" s="5">
        <v>0</v>
      </c>
      <c r="J27" s="6">
        <v>0</v>
      </c>
      <c r="K27" s="5">
        <f t="shared" si="1"/>
        <v>17.360000000044238</v>
      </c>
      <c r="L27" s="5">
        <f t="shared" si="2"/>
        <v>-41.300000000279397</v>
      </c>
      <c r="M27" s="5">
        <f t="shared" si="3"/>
        <v>408520.22</v>
      </c>
      <c r="N27" s="5">
        <f t="shared" si="4"/>
        <v>4117545.45</v>
      </c>
      <c r="O27" s="10">
        <f t="shared" si="5"/>
        <v>494.73500000000001</v>
      </c>
      <c r="P27" s="10">
        <f t="shared" si="6"/>
        <v>22.400109374870329</v>
      </c>
      <c r="Q27" s="10">
        <f t="shared" si="0"/>
        <v>44.800218749740658</v>
      </c>
      <c r="R27" s="10">
        <f t="shared" si="10"/>
        <v>676.25648243705893</v>
      </c>
      <c r="S27" s="10">
        <f t="shared" si="7"/>
        <v>105.4</v>
      </c>
      <c r="T27" s="10">
        <f t="shared" si="8"/>
        <v>102.99220892860706</v>
      </c>
      <c r="U27" s="9">
        <f t="shared" si="9"/>
        <v>391.74279107139296</v>
      </c>
      <c r="V27">
        <v>24</v>
      </c>
    </row>
    <row r="28" spans="1:23" x14ac:dyDescent="0.25">
      <c r="B28" s="4">
        <v>408520.22</v>
      </c>
      <c r="C28" s="5">
        <v>4117545.4</v>
      </c>
      <c r="D28" s="9">
        <v>494.74</v>
      </c>
      <c r="E28" s="4">
        <v>408537.57</v>
      </c>
      <c r="F28" s="5">
        <v>4117504.2</v>
      </c>
      <c r="G28" s="9">
        <v>494.01</v>
      </c>
      <c r="H28" s="4">
        <v>1.28</v>
      </c>
      <c r="I28" s="5">
        <v>0</v>
      </c>
      <c r="J28" s="6">
        <v>0</v>
      </c>
      <c r="K28" s="5">
        <f t="shared" si="1"/>
        <v>17.350000000034925</v>
      </c>
      <c r="L28" s="5">
        <f t="shared" si="2"/>
        <v>-41.199999999720603</v>
      </c>
      <c r="M28" s="5">
        <f t="shared" si="3"/>
        <v>408528.89500000002</v>
      </c>
      <c r="N28" s="5">
        <f t="shared" si="4"/>
        <v>4117524.8</v>
      </c>
      <c r="O28" s="10">
        <f t="shared" si="5"/>
        <v>494.375</v>
      </c>
      <c r="P28" s="10">
        <f t="shared" si="6"/>
        <v>22.352083236122475</v>
      </c>
      <c r="Q28" s="10">
        <f t="shared" si="0"/>
        <v>44.70416647224495</v>
      </c>
      <c r="R28" s="10">
        <f t="shared" si="10"/>
        <v>698.60856567318137</v>
      </c>
      <c r="S28" s="10">
        <f t="shared" si="7"/>
        <v>108.8</v>
      </c>
      <c r="T28" s="10">
        <f t="shared" si="8"/>
        <v>106.47922039067271</v>
      </c>
      <c r="U28" s="9">
        <f t="shared" si="9"/>
        <v>387.89577960932729</v>
      </c>
      <c r="V28">
        <v>25</v>
      </c>
    </row>
    <row r="29" spans="1:23" x14ac:dyDescent="0.25">
      <c r="B29" s="4">
        <v>408528.9</v>
      </c>
      <c r="C29" s="5">
        <v>4117524.8</v>
      </c>
      <c r="D29" s="9">
        <v>494.37</v>
      </c>
      <c r="E29" s="4">
        <v>408546.25</v>
      </c>
      <c r="F29" s="5">
        <v>4117483.6</v>
      </c>
      <c r="G29" s="9">
        <v>495.44</v>
      </c>
      <c r="H29" s="4">
        <v>1.32</v>
      </c>
      <c r="I29" s="5">
        <v>1.6</v>
      </c>
      <c r="J29" s="6">
        <v>0</v>
      </c>
      <c r="K29" s="5">
        <f t="shared" si="1"/>
        <v>17.349999999976717</v>
      </c>
      <c r="L29" s="5">
        <f t="shared" si="2"/>
        <v>-41.199999999720603</v>
      </c>
      <c r="M29" s="5">
        <f t="shared" si="3"/>
        <v>408537.57500000001</v>
      </c>
      <c r="N29" s="5">
        <f t="shared" si="4"/>
        <v>4117504.2</v>
      </c>
      <c r="O29" s="10">
        <f t="shared" si="5"/>
        <v>494.90499999999997</v>
      </c>
      <c r="P29" s="10">
        <f t="shared" si="6"/>
        <v>22.352083236111181</v>
      </c>
      <c r="Q29" s="10">
        <f t="shared" si="0"/>
        <v>44.704166472222362</v>
      </c>
      <c r="R29" s="10">
        <f t="shared" si="10"/>
        <v>720.96064890929256</v>
      </c>
      <c r="S29" s="10">
        <f t="shared" si="7"/>
        <v>112.2</v>
      </c>
      <c r="T29" s="10">
        <f t="shared" si="8"/>
        <v>109.95100897675272</v>
      </c>
      <c r="U29" s="9">
        <f t="shared" si="9"/>
        <v>384.95399102324723</v>
      </c>
      <c r="V29">
        <v>26</v>
      </c>
    </row>
    <row r="30" spans="1:23" x14ac:dyDescent="0.25">
      <c r="B30" s="4">
        <v>408537.57</v>
      </c>
      <c r="C30" s="5">
        <v>4117504.2</v>
      </c>
      <c r="D30" s="9">
        <v>494.01</v>
      </c>
      <c r="E30" s="4">
        <v>408554.93</v>
      </c>
      <c r="F30" s="5">
        <v>4117462.9</v>
      </c>
      <c r="G30" s="9">
        <v>496.88</v>
      </c>
      <c r="H30" s="4">
        <v>1.34</v>
      </c>
      <c r="I30" s="5">
        <v>0</v>
      </c>
      <c r="J30" s="6">
        <v>0</v>
      </c>
      <c r="K30" s="5">
        <f t="shared" si="1"/>
        <v>17.35999999998603</v>
      </c>
      <c r="L30" s="5">
        <f t="shared" si="2"/>
        <v>-41.300000000279397</v>
      </c>
      <c r="M30" s="5">
        <f t="shared" si="3"/>
        <v>408546.25</v>
      </c>
      <c r="N30" s="5">
        <f t="shared" si="4"/>
        <v>4117483.55</v>
      </c>
      <c r="O30" s="10">
        <f t="shared" si="5"/>
        <v>495.44499999999999</v>
      </c>
      <c r="P30" s="10">
        <f t="shared" si="6"/>
        <v>22.400109374859049</v>
      </c>
      <c r="Q30" s="10">
        <f t="shared" si="0"/>
        <v>44.800218749718098</v>
      </c>
      <c r="R30" s="10">
        <f t="shared" si="10"/>
        <v>743.36075828415164</v>
      </c>
      <c r="S30" s="10">
        <f t="shared" si="7"/>
        <v>113.9</v>
      </c>
      <c r="T30" s="10">
        <f t="shared" si="8"/>
        <v>111.67562446655202</v>
      </c>
      <c r="U30" s="9">
        <f t="shared" si="9"/>
        <v>383.76937553344794</v>
      </c>
      <c r="V30">
        <v>27</v>
      </c>
    </row>
    <row r="31" spans="1:23" x14ac:dyDescent="0.25">
      <c r="B31" s="4">
        <v>408546.25</v>
      </c>
      <c r="C31" s="5">
        <v>4117483.6</v>
      </c>
      <c r="D31" s="9">
        <v>495.44</v>
      </c>
      <c r="E31" s="4">
        <v>408563.61</v>
      </c>
      <c r="F31" s="5">
        <v>4117442.3</v>
      </c>
      <c r="G31" s="9">
        <v>498.31</v>
      </c>
      <c r="H31" s="4">
        <v>1.32</v>
      </c>
      <c r="I31" s="5">
        <v>1.78</v>
      </c>
      <c r="J31" s="6">
        <v>0</v>
      </c>
      <c r="K31" s="5">
        <f t="shared" si="1"/>
        <v>17.35999999998603</v>
      </c>
      <c r="L31" s="5">
        <f t="shared" si="2"/>
        <v>-41.300000000279397</v>
      </c>
      <c r="M31" s="5">
        <f t="shared" si="3"/>
        <v>408554.93</v>
      </c>
      <c r="N31" s="5">
        <f t="shared" si="4"/>
        <v>4117462.95</v>
      </c>
      <c r="O31" s="10">
        <f t="shared" si="5"/>
        <v>496.875</v>
      </c>
      <c r="P31" s="10">
        <f t="shared" si="6"/>
        <v>22.400109374859049</v>
      </c>
      <c r="Q31" s="10">
        <f t="shared" si="0"/>
        <v>44.800218749718098</v>
      </c>
      <c r="R31" s="10">
        <f t="shared" si="10"/>
        <v>765.76086765901073</v>
      </c>
      <c r="S31" s="10">
        <f t="shared" si="7"/>
        <v>112.2</v>
      </c>
      <c r="T31" s="10">
        <f t="shared" si="8"/>
        <v>109.94123475745737</v>
      </c>
      <c r="U31" s="9">
        <f t="shared" si="9"/>
        <v>386.93376524254262</v>
      </c>
      <c r="V31">
        <v>28</v>
      </c>
    </row>
    <row r="32" spans="1:23" x14ac:dyDescent="0.25">
      <c r="B32" s="4">
        <v>408554.93</v>
      </c>
      <c r="C32" s="5">
        <v>4117462.9</v>
      </c>
      <c r="D32" s="9">
        <v>496.88</v>
      </c>
      <c r="E32" s="4">
        <v>408572.29</v>
      </c>
      <c r="F32" s="5">
        <v>4117421.7</v>
      </c>
      <c r="G32" s="9">
        <v>499.74</v>
      </c>
      <c r="H32" s="4">
        <v>1.34</v>
      </c>
      <c r="I32" s="5">
        <v>0</v>
      </c>
      <c r="J32" s="6">
        <v>0</v>
      </c>
      <c r="K32" s="5">
        <f t="shared" si="1"/>
        <v>17.35999999998603</v>
      </c>
      <c r="L32" s="5">
        <f t="shared" si="2"/>
        <v>-41.199999999720603</v>
      </c>
      <c r="M32" s="5">
        <f t="shared" si="3"/>
        <v>408563.61</v>
      </c>
      <c r="N32" s="5">
        <f t="shared" si="4"/>
        <v>4117442.3</v>
      </c>
      <c r="O32" s="10">
        <f t="shared" si="5"/>
        <v>498.31</v>
      </c>
      <c r="P32" s="10">
        <f t="shared" si="6"/>
        <v>22.354024246075319</v>
      </c>
      <c r="Q32" s="10">
        <f t="shared" si="0"/>
        <v>44.708048492150638</v>
      </c>
      <c r="R32" s="10">
        <f t="shared" si="10"/>
        <v>788.1148919050861</v>
      </c>
      <c r="S32" s="10">
        <f t="shared" si="7"/>
        <v>113.9</v>
      </c>
      <c r="T32" s="10">
        <f t="shared" si="8"/>
        <v>111.68485841870364</v>
      </c>
      <c r="U32" s="9">
        <f t="shared" si="9"/>
        <v>386.62514158129636</v>
      </c>
      <c r="V32">
        <v>29</v>
      </c>
    </row>
    <row r="33" spans="1:22" x14ac:dyDescent="0.25">
      <c r="B33" s="4">
        <v>408563.61</v>
      </c>
      <c r="C33" s="5">
        <v>4117442.3</v>
      </c>
      <c r="D33" s="9">
        <v>498.31</v>
      </c>
      <c r="E33" s="4">
        <v>408580.97</v>
      </c>
      <c r="F33" s="5">
        <v>4117401</v>
      </c>
      <c r="G33" s="9">
        <v>501.18</v>
      </c>
      <c r="H33" s="4">
        <v>1.36</v>
      </c>
      <c r="I33" s="5">
        <v>0</v>
      </c>
      <c r="J33" s="6">
        <v>0</v>
      </c>
      <c r="K33" s="5">
        <f t="shared" si="1"/>
        <v>17.35999999998603</v>
      </c>
      <c r="L33" s="5">
        <f t="shared" si="2"/>
        <v>-41.299999999813735</v>
      </c>
      <c r="M33" s="5">
        <f t="shared" si="3"/>
        <v>408572.29</v>
      </c>
      <c r="N33" s="5">
        <f t="shared" si="4"/>
        <v>4117421.65</v>
      </c>
      <c r="O33" s="10">
        <f t="shared" si="5"/>
        <v>499.745</v>
      </c>
      <c r="P33" s="10">
        <f t="shared" si="6"/>
        <v>22.400109374644412</v>
      </c>
      <c r="Q33" s="10">
        <f t="shared" si="0"/>
        <v>44.800218749288824</v>
      </c>
      <c r="R33" s="10">
        <f t="shared" si="10"/>
        <v>810.51500127973054</v>
      </c>
      <c r="S33" s="10">
        <f t="shared" si="7"/>
        <v>115.60000000000001</v>
      </c>
      <c r="T33" s="10">
        <f t="shared" si="8"/>
        <v>113.40897274909058</v>
      </c>
      <c r="U33" s="9">
        <f t="shared" si="9"/>
        <v>386.33602725090941</v>
      </c>
      <c r="V33">
        <v>30</v>
      </c>
    </row>
    <row r="34" spans="1:22" x14ac:dyDescent="0.25">
      <c r="B34" s="4">
        <v>408572.29</v>
      </c>
      <c r="C34" s="5">
        <v>4117421.7</v>
      </c>
      <c r="D34" s="9">
        <v>499.74</v>
      </c>
      <c r="E34" s="4">
        <v>408589.65</v>
      </c>
      <c r="F34" s="5">
        <v>4117380.4</v>
      </c>
      <c r="G34" s="9">
        <v>502.61</v>
      </c>
      <c r="H34" s="4">
        <v>1.26</v>
      </c>
      <c r="I34" s="5">
        <v>0</v>
      </c>
      <c r="J34" s="6">
        <v>0</v>
      </c>
      <c r="K34" s="5">
        <f t="shared" si="1"/>
        <v>17.360000000044238</v>
      </c>
      <c r="L34" s="5">
        <f t="shared" si="2"/>
        <v>-41.300000000279397</v>
      </c>
      <c r="M34" s="5">
        <f t="shared" si="3"/>
        <v>408580.97</v>
      </c>
      <c r="N34" s="5">
        <f t="shared" si="4"/>
        <v>4117401.05</v>
      </c>
      <c r="O34" s="10">
        <f t="shared" si="5"/>
        <v>501.17500000000001</v>
      </c>
      <c r="P34" s="10">
        <f t="shared" si="6"/>
        <v>22.400109374870329</v>
      </c>
      <c r="Q34" s="10">
        <f t="shared" si="0"/>
        <v>44.800218749740658</v>
      </c>
      <c r="R34" s="10">
        <f t="shared" si="10"/>
        <v>832.91511065460088</v>
      </c>
      <c r="S34" s="10">
        <f t="shared" si="7"/>
        <v>107.1</v>
      </c>
      <c r="T34" s="10">
        <f t="shared" si="8"/>
        <v>104.73129952403839</v>
      </c>
      <c r="U34" s="9">
        <f t="shared" si="9"/>
        <v>396.44370047596163</v>
      </c>
      <c r="V34">
        <v>31</v>
      </c>
    </row>
    <row r="35" spans="1:22" x14ac:dyDescent="0.25">
      <c r="B35" s="4">
        <v>408580.97</v>
      </c>
      <c r="C35" s="5">
        <v>4117401</v>
      </c>
      <c r="D35" s="9">
        <v>501.18</v>
      </c>
      <c r="E35" s="4">
        <v>408598.33</v>
      </c>
      <c r="F35" s="5">
        <v>4117359.8</v>
      </c>
      <c r="G35" s="9">
        <v>504.04</v>
      </c>
      <c r="H35" s="4">
        <v>1.1399999999999999</v>
      </c>
      <c r="I35" s="5">
        <v>0</v>
      </c>
      <c r="J35" s="6">
        <v>0</v>
      </c>
      <c r="K35" s="5">
        <f t="shared" si="1"/>
        <v>17.360000000044238</v>
      </c>
      <c r="L35" s="5">
        <f t="shared" si="2"/>
        <v>-41.200000000186265</v>
      </c>
      <c r="M35" s="5">
        <f t="shared" si="3"/>
        <v>408589.65</v>
      </c>
      <c r="N35" s="5">
        <f t="shared" si="4"/>
        <v>4117380.4</v>
      </c>
      <c r="O35" s="10">
        <f t="shared" si="5"/>
        <v>502.61</v>
      </c>
      <c r="P35" s="10">
        <f t="shared" si="6"/>
        <v>22.354024246301179</v>
      </c>
      <c r="Q35" s="10">
        <f t="shared" si="0"/>
        <v>44.708048492602359</v>
      </c>
      <c r="R35" s="10">
        <f t="shared" si="10"/>
        <v>855.26913490090203</v>
      </c>
      <c r="S35" s="10">
        <f t="shared" si="7"/>
        <v>96.899999999999991</v>
      </c>
      <c r="T35" s="10">
        <f t="shared" si="8"/>
        <v>94.286306534914061</v>
      </c>
      <c r="U35" s="9">
        <f t="shared" si="9"/>
        <v>408.32369346508597</v>
      </c>
      <c r="V35">
        <v>32</v>
      </c>
    </row>
    <row r="36" spans="1:22" x14ac:dyDescent="0.25">
      <c r="B36" s="4">
        <v>408589.65</v>
      </c>
      <c r="C36" s="5">
        <v>4117380.4</v>
      </c>
      <c r="D36" s="9">
        <v>502.61</v>
      </c>
      <c r="E36" s="4">
        <v>408607.01</v>
      </c>
      <c r="F36" s="5">
        <v>4117339.2</v>
      </c>
      <c r="G36" s="9">
        <v>505.48</v>
      </c>
      <c r="H36" s="4">
        <v>0.88</v>
      </c>
      <c r="I36" s="5">
        <v>0</v>
      </c>
      <c r="J36" s="6">
        <v>0</v>
      </c>
      <c r="K36" s="5">
        <f t="shared" si="1"/>
        <v>17.35999999998603</v>
      </c>
      <c r="L36" s="5">
        <f t="shared" si="2"/>
        <v>-41.199999999720603</v>
      </c>
      <c r="M36" s="5">
        <f t="shared" si="3"/>
        <v>408598.33</v>
      </c>
      <c r="N36" s="5">
        <f t="shared" si="4"/>
        <v>4117359.8</v>
      </c>
      <c r="O36" s="10">
        <f t="shared" si="5"/>
        <v>504.04500000000002</v>
      </c>
      <c r="P36" s="10">
        <f t="shared" si="6"/>
        <v>22.354024246075319</v>
      </c>
      <c r="Q36" s="10">
        <f t="shared" si="0"/>
        <v>44.708048492150638</v>
      </c>
      <c r="R36" s="10">
        <f t="shared" si="10"/>
        <v>877.6231591469774</v>
      </c>
      <c r="S36" s="10">
        <f t="shared" si="7"/>
        <v>74.8</v>
      </c>
      <c r="T36" s="10">
        <f t="shared" si="8"/>
        <v>71.381633492137723</v>
      </c>
      <c r="U36" s="9">
        <f t="shared" si="9"/>
        <v>432.66336650786229</v>
      </c>
      <c r="V36">
        <v>33</v>
      </c>
    </row>
    <row r="37" spans="1:22" x14ac:dyDescent="0.25">
      <c r="B37" s="4">
        <v>408598.33</v>
      </c>
      <c r="C37" s="5">
        <v>4117359.8</v>
      </c>
      <c r="D37" s="9">
        <v>504.04</v>
      </c>
      <c r="E37" s="4">
        <v>408615.69</v>
      </c>
      <c r="F37" s="5">
        <v>4117318.5</v>
      </c>
      <c r="G37" s="9">
        <v>506.91908999999998</v>
      </c>
      <c r="H37" s="4">
        <v>0.76</v>
      </c>
      <c r="I37" s="5">
        <v>1.02</v>
      </c>
      <c r="J37" s="6">
        <v>0</v>
      </c>
      <c r="K37" s="5">
        <f t="shared" si="1"/>
        <v>17.35999999998603</v>
      </c>
      <c r="L37" s="5">
        <f t="shared" si="2"/>
        <v>-41.299999999813735</v>
      </c>
      <c r="M37" s="5">
        <f t="shared" si="3"/>
        <v>408607.01</v>
      </c>
      <c r="N37" s="5">
        <f t="shared" si="4"/>
        <v>4117339.15</v>
      </c>
      <c r="O37" s="10">
        <f t="shared" si="5"/>
        <v>505.47954500000003</v>
      </c>
      <c r="P37" s="10">
        <f t="shared" si="6"/>
        <v>22.400109374644412</v>
      </c>
      <c r="Q37" s="10">
        <f t="shared" si="0"/>
        <v>44.800218749288824</v>
      </c>
      <c r="R37" s="10">
        <f t="shared" si="10"/>
        <v>900.02326852162184</v>
      </c>
      <c r="S37" s="10">
        <f t="shared" si="7"/>
        <v>64.599999999999994</v>
      </c>
      <c r="T37" s="10">
        <f t="shared" si="8"/>
        <v>60.592038255896014</v>
      </c>
      <c r="U37" s="9">
        <f t="shared" si="9"/>
        <v>444.88750674410403</v>
      </c>
      <c r="V37">
        <v>34</v>
      </c>
    </row>
    <row r="38" spans="1:22" x14ac:dyDescent="0.25">
      <c r="B38" s="4">
        <v>408607.01</v>
      </c>
      <c r="C38" s="5">
        <v>4117339.2</v>
      </c>
      <c r="D38" s="9">
        <v>505.48</v>
      </c>
      <c r="E38" s="4">
        <v>408624.37</v>
      </c>
      <c r="F38" s="5">
        <v>4117297.9</v>
      </c>
      <c r="G38" s="9">
        <v>507.36455000000001</v>
      </c>
      <c r="H38" s="4">
        <v>0.8</v>
      </c>
      <c r="I38" s="5">
        <v>0</v>
      </c>
      <c r="J38" s="6">
        <v>0</v>
      </c>
      <c r="K38" s="5">
        <f t="shared" si="1"/>
        <v>17.35999999998603</v>
      </c>
      <c r="L38" s="5">
        <f t="shared" si="2"/>
        <v>-41.300000000279397</v>
      </c>
      <c r="M38" s="5">
        <f t="shared" si="3"/>
        <v>408615.69</v>
      </c>
      <c r="N38" s="5">
        <f t="shared" si="4"/>
        <v>4117318.55</v>
      </c>
      <c r="O38" s="10">
        <f t="shared" si="5"/>
        <v>506.42227500000001</v>
      </c>
      <c r="P38" s="10">
        <f t="shared" si="6"/>
        <v>22.400109374859049</v>
      </c>
      <c r="Q38" s="10">
        <f t="shared" si="0"/>
        <v>44.800218749718098</v>
      </c>
      <c r="R38" s="10">
        <f t="shared" si="10"/>
        <v>922.42337789648093</v>
      </c>
      <c r="S38" s="10">
        <f t="shared" si="7"/>
        <v>68</v>
      </c>
      <c r="T38" s="10">
        <f t="shared" si="8"/>
        <v>64.204634567874862</v>
      </c>
      <c r="U38" s="9">
        <f t="shared" si="9"/>
        <v>442.21764043212517</v>
      </c>
      <c r="V38">
        <v>35</v>
      </c>
    </row>
    <row r="39" spans="1:22" x14ac:dyDescent="0.25">
      <c r="B39" s="4">
        <v>408615.69</v>
      </c>
      <c r="C39" s="5">
        <v>4117318.5</v>
      </c>
      <c r="D39" s="9">
        <v>506.91908999999998</v>
      </c>
      <c r="E39" s="4">
        <v>408633.05</v>
      </c>
      <c r="F39" s="5">
        <v>4117277.3</v>
      </c>
      <c r="G39" s="9">
        <v>507.81</v>
      </c>
      <c r="H39" s="4">
        <v>0.65600000000000003</v>
      </c>
      <c r="I39" s="5">
        <v>0</v>
      </c>
      <c r="J39" s="6">
        <v>0</v>
      </c>
      <c r="K39" s="5">
        <f t="shared" si="1"/>
        <v>17.35999999998603</v>
      </c>
      <c r="L39" s="5">
        <f t="shared" si="2"/>
        <v>-41.200000000186265</v>
      </c>
      <c r="M39" s="5">
        <f t="shared" si="3"/>
        <v>408624.37</v>
      </c>
      <c r="N39" s="5">
        <f t="shared" si="4"/>
        <v>4117297.9</v>
      </c>
      <c r="O39" s="10">
        <f t="shared" si="5"/>
        <v>507.36454500000002</v>
      </c>
      <c r="P39" s="10">
        <f t="shared" si="6"/>
        <v>22.354024246289878</v>
      </c>
      <c r="Q39" s="10">
        <f t="shared" si="0"/>
        <v>44.708048492579756</v>
      </c>
      <c r="R39" s="10">
        <f>R38+P39</f>
        <v>944.77740214277082</v>
      </c>
      <c r="S39" s="10">
        <f t="shared" si="7"/>
        <v>55.760000000000005</v>
      </c>
      <c r="T39" s="10">
        <f t="shared" si="8"/>
        <v>51.08302262000835</v>
      </c>
      <c r="U39" s="9">
        <f t="shared" si="9"/>
        <v>456.28152237999166</v>
      </c>
      <c r="V39">
        <v>36</v>
      </c>
    </row>
    <row r="40" spans="1:22" x14ac:dyDescent="0.25">
      <c r="A40" t="s">
        <v>14</v>
      </c>
      <c r="B40" s="11">
        <v>408633.05</v>
      </c>
      <c r="C40" s="12">
        <v>4117277.3</v>
      </c>
      <c r="D40" s="13">
        <v>507.81</v>
      </c>
      <c r="E40" s="11"/>
      <c r="F40" s="12"/>
      <c r="G40" s="14"/>
      <c r="H40" s="11"/>
      <c r="I40" s="12"/>
      <c r="J40" s="14"/>
      <c r="K40" s="12">
        <f>B40-B39</f>
        <v>17.35999999998603</v>
      </c>
      <c r="L40" s="12">
        <f>C40-C39</f>
        <v>-41.200000000186265</v>
      </c>
      <c r="M40" s="12">
        <f>B40</f>
        <v>408633.05</v>
      </c>
      <c r="N40" s="12">
        <f>C40</f>
        <v>4117277.3</v>
      </c>
      <c r="O40" s="12">
        <f>D40</f>
        <v>507.81</v>
      </c>
      <c r="P40" s="15">
        <f>0.5*SQRT(K40^2+L40^2)</f>
        <v>22.354024246289878</v>
      </c>
      <c r="Q40" s="15">
        <f>2*P40</f>
        <v>44.708048492579756</v>
      </c>
      <c r="R40" s="16">
        <f>R39+Q40</f>
        <v>989.48545063535062</v>
      </c>
      <c r="S40" s="12"/>
      <c r="T40" s="12"/>
      <c r="U40" s="14">
        <f>O40</f>
        <v>507.81</v>
      </c>
      <c r="V40" t="s">
        <v>34</v>
      </c>
    </row>
    <row r="41" spans="1:22" x14ac:dyDescent="0.25">
      <c r="A41" t="s">
        <v>13</v>
      </c>
      <c r="B41" s="5">
        <v>408247.1519</v>
      </c>
      <c r="C41" s="5">
        <v>4118187.125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10"/>
      <c r="Q41" s="10"/>
    </row>
    <row r="42" spans="1:22" x14ac:dyDescent="0.25">
      <c r="A42" t="s">
        <v>14</v>
      </c>
      <c r="B42" s="5">
        <v>408633.05</v>
      </c>
      <c r="C42" s="5">
        <v>4117277.3</v>
      </c>
      <c r="D42" s="5"/>
      <c r="E42" s="5"/>
      <c r="F42" s="5"/>
      <c r="G42" s="5"/>
      <c r="H42" s="5"/>
      <c r="I42" s="5"/>
      <c r="J42" s="5"/>
      <c r="K42" s="5">
        <f>B42-B41</f>
        <v>385.89809999999125</v>
      </c>
      <c r="L42" s="5">
        <f>C42-C41</f>
        <v>-909.82500000018626</v>
      </c>
      <c r="M42" s="5"/>
      <c r="N42" s="5"/>
      <c r="O42" s="5"/>
      <c r="P42" s="10">
        <f>0.5*SQRT(K42^2+L42^2)</f>
        <v>494.14038344607656</v>
      </c>
      <c r="Q42" s="16">
        <f>2*P42</f>
        <v>988.28076689215311</v>
      </c>
      <c r="R42" t="s">
        <v>36</v>
      </c>
    </row>
    <row r="43" spans="1:22" x14ac:dyDescent="0.25">
      <c r="B43" t="s">
        <v>28</v>
      </c>
      <c r="C43">
        <v>408561.09840000002</v>
      </c>
      <c r="D43">
        <v>4117426.0044</v>
      </c>
    </row>
    <row r="44" spans="1:22" x14ac:dyDescent="0.25">
      <c r="B44" t="s">
        <v>29</v>
      </c>
      <c r="C44">
        <v>408521.05650000001</v>
      </c>
      <c r="D44">
        <v>4117527.9372999999</v>
      </c>
    </row>
    <row r="45" spans="1:22" x14ac:dyDescent="0.25">
      <c r="B45" t="s">
        <v>30</v>
      </c>
      <c r="C45">
        <v>408480.7378</v>
      </c>
      <c r="D45">
        <v>4117630.2930000001</v>
      </c>
    </row>
    <row r="46" spans="1:22" x14ac:dyDescent="0.25">
      <c r="B46" t="s">
        <v>31</v>
      </c>
      <c r="C46">
        <v>408398.63299999997</v>
      </c>
      <c r="D46">
        <v>4117833.7673999998</v>
      </c>
    </row>
    <row r="47" spans="1:22" x14ac:dyDescent="0.25">
      <c r="B47" t="s">
        <v>32</v>
      </c>
      <c r="C47">
        <v>408357.69689999998</v>
      </c>
      <c r="D47">
        <v>4117934.8596999999</v>
      </c>
    </row>
    <row r="48" spans="1:22" x14ac:dyDescent="0.25">
      <c r="B48" t="s">
        <v>15</v>
      </c>
      <c r="C48">
        <v>408439.24</v>
      </c>
      <c r="D48">
        <v>4117730.1444999999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bg35</vt:lpstr>
    </vt:vector>
  </TitlesOfParts>
  <Company>Australian Antarctic Division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Thost</dc:creator>
  <cp:lastModifiedBy>Dave Connell</cp:lastModifiedBy>
  <dcterms:created xsi:type="dcterms:W3CDTF">2004-05-10T02:42:45Z</dcterms:created>
  <dcterms:modified xsi:type="dcterms:W3CDTF">2021-04-07T05:52:25Z</dcterms:modified>
</cp:coreProperties>
</file>