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datasets\science\ASAC_2363\RES\"/>
    </mc:Choice>
  </mc:AlternateContent>
  <bookViews>
    <workbookView xWindow="720" yWindow="828" windowWidth="17772" windowHeight="11676" activeTab="1"/>
  </bookViews>
  <sheets>
    <sheet name="BG20prof" sheetId="2" r:id="rId1"/>
    <sheet name="BG25prof" sheetId="1" r:id="rId2"/>
  </sheets>
  <calcPr calcId="162913"/>
</workbook>
</file>

<file path=xl/calcChain.xml><?xml version="1.0" encoding="utf-8"?>
<calcChain xmlns="http://schemas.openxmlformats.org/spreadsheetml/2006/main">
  <c r="D5" i="2" l="1"/>
  <c r="E5" i="2" s="1"/>
  <c r="E6" i="2" s="1"/>
  <c r="E7" i="2" s="1"/>
  <c r="E8" i="2" s="1"/>
  <c r="E9" i="2" s="1"/>
  <c r="D6" i="2"/>
  <c r="D7" i="2"/>
  <c r="D8" i="2"/>
  <c r="D9" i="2"/>
  <c r="J4" i="2"/>
  <c r="G14" i="2" s="1"/>
  <c r="H14" i="2" s="1"/>
  <c r="I5" i="2"/>
  <c r="G15" i="2"/>
  <c r="H15" i="2" s="1"/>
  <c r="J5" i="2"/>
  <c r="G17" i="2" s="1"/>
  <c r="H17" i="2" s="1"/>
  <c r="I6" i="2"/>
  <c r="G18" i="2"/>
  <c r="H18" i="2"/>
  <c r="J6" i="2"/>
  <c r="G20" i="2" s="1"/>
  <c r="H20" i="2" s="1"/>
  <c r="I7" i="2"/>
  <c r="G21" i="2"/>
  <c r="H21" i="2" s="1"/>
  <c r="J7" i="2"/>
  <c r="G23" i="2"/>
  <c r="H23" i="2"/>
  <c r="I8" i="2"/>
  <c r="G24" i="2" s="1"/>
  <c r="H24" i="2" s="1"/>
  <c r="J8" i="2"/>
  <c r="G26" i="2" s="1"/>
  <c r="H26" i="2" s="1"/>
  <c r="J9" i="2"/>
  <c r="G29" i="2"/>
  <c r="H29" i="2" s="1"/>
  <c r="I4" i="2"/>
  <c r="G12" i="2" s="1"/>
  <c r="H12" i="2" s="1"/>
  <c r="I9" i="2"/>
  <c r="J4" i="1"/>
  <c r="G16" i="1"/>
  <c r="H16" i="1"/>
  <c r="I5" i="1"/>
  <c r="G17" i="1" s="1"/>
  <c r="H17" i="1" s="1"/>
  <c r="J5" i="1"/>
  <c r="G19" i="1" s="1"/>
  <c r="H19" i="1" s="1"/>
  <c r="I6" i="1"/>
  <c r="G20" i="1"/>
  <c r="H20" i="1" s="1"/>
  <c r="J6" i="1"/>
  <c r="G22" i="1" s="1"/>
  <c r="H22" i="1" s="1"/>
  <c r="I7" i="1"/>
  <c r="G23" i="1"/>
  <c r="H23" i="1"/>
  <c r="J8" i="1"/>
  <c r="G25" i="1" s="1"/>
  <c r="H25" i="1" s="1"/>
  <c r="I8" i="1"/>
  <c r="G26" i="1"/>
  <c r="H26" i="1" s="1"/>
  <c r="J9" i="1"/>
  <c r="G28" i="1"/>
  <c r="H28" i="1"/>
  <c r="I9" i="1"/>
  <c r="G29" i="1" s="1"/>
  <c r="H29" i="1" s="1"/>
  <c r="J10" i="1"/>
  <c r="G34" i="1" s="1"/>
  <c r="H34" i="1" s="1"/>
  <c r="I10" i="1"/>
  <c r="G32" i="1"/>
  <c r="H32" i="1" s="1"/>
  <c r="J11" i="1"/>
  <c r="G37" i="1" s="1"/>
  <c r="H37" i="1" s="1"/>
  <c r="I4" i="1"/>
  <c r="G14" i="1"/>
  <c r="H14" i="1" s="1"/>
  <c r="D5" i="1"/>
  <c r="E5" i="1" s="1"/>
  <c r="E6" i="1" s="1"/>
  <c r="E7" i="1" s="1"/>
  <c r="E8" i="1" s="1"/>
  <c r="E9" i="1" s="1"/>
  <c r="E10" i="1" s="1"/>
  <c r="E11" i="1" s="1"/>
  <c r="D6" i="1"/>
  <c r="D7" i="1"/>
  <c r="D8" i="1"/>
  <c r="D9" i="1"/>
  <c r="D10" i="1"/>
  <c r="D11" i="1"/>
  <c r="J7" i="1"/>
  <c r="I11" i="1"/>
  <c r="G31" i="1" l="1"/>
  <c r="H31" i="1" s="1"/>
</calcChain>
</file>

<file path=xl/comments1.xml><?xml version="1.0" encoding="utf-8"?>
<comments xmlns="http://schemas.openxmlformats.org/spreadsheetml/2006/main">
  <authors>
    <author>Martin</author>
  </authors>
  <commentList>
    <comment ref="H10" authorId="0" shapeId="0">
      <text>
        <r>
          <rPr>
            <b/>
            <sz val="8"/>
            <color indexed="81"/>
            <rFont val="Tahoma"/>
          </rPr>
          <t>Martin:</t>
        </r>
        <r>
          <rPr>
            <sz val="8"/>
            <color indexed="81"/>
            <rFont val="Tahoma"/>
          </rPr>
          <t xml:space="preserve">
corrected the actual time by 24 ns, because we couldn't detect the first negative peak and measured to the first positive instead</t>
        </r>
      </text>
    </comment>
  </commentList>
</comments>
</file>

<file path=xl/sharedStrings.xml><?xml version="1.0" encoding="utf-8"?>
<sst xmlns="http://schemas.openxmlformats.org/spreadsheetml/2006/main" count="44" uniqueCount="27">
  <si>
    <t>Point Name</t>
  </si>
  <si>
    <t>UTM East</t>
  </si>
  <si>
    <t>UTM North</t>
  </si>
  <si>
    <t>Elevation</t>
  </si>
  <si>
    <t>E-return time</t>
  </si>
  <si>
    <t>W-return time</t>
  </si>
  <si>
    <t>BG256-7</t>
  </si>
  <si>
    <t>BG255-7</t>
  </si>
  <si>
    <t>BG254-7</t>
  </si>
  <si>
    <t>BG253-7</t>
  </si>
  <si>
    <t>BG25-7</t>
  </si>
  <si>
    <t>BG252-7</t>
  </si>
  <si>
    <t>BG251-7</t>
  </si>
  <si>
    <t>BG257-7</t>
  </si>
  <si>
    <t>BG202-7</t>
  </si>
  <si>
    <t>BG201-7</t>
  </si>
  <si>
    <t>BG20-7</t>
  </si>
  <si>
    <t>R1</t>
  </si>
  <si>
    <t>R2</t>
  </si>
  <si>
    <t>R3</t>
  </si>
  <si>
    <t>microsecs</t>
  </si>
  <si>
    <t>metres</t>
  </si>
  <si>
    <t>depth W</t>
  </si>
  <si>
    <t>depth E</t>
  </si>
  <si>
    <t>speed in ice (m/usec)</t>
  </si>
  <si>
    <t>distance</t>
  </si>
  <si>
    <t>distance between sites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</si>
</sst>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8"/>
      <color indexed="81"/>
      <name val="Tahoma"/>
    </font>
    <font>
      <b/>
      <sz val="8"/>
      <color indexed="81"/>
      <name val="Tahoma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096896886731576"/>
          <c:y val="7.0103304516262829E-2"/>
          <c:w val="0.76353422400779869"/>
          <c:h val="0.80206427814194836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BG20prof!$B$4:$B$9</c:f>
              <c:numCache>
                <c:formatCode>General</c:formatCode>
                <c:ptCount val="6"/>
                <c:pt idx="0">
                  <c:v>406898.25799999997</c:v>
                </c:pt>
                <c:pt idx="1">
                  <c:v>406991</c:v>
                </c:pt>
                <c:pt idx="2">
                  <c:v>407102.52</c:v>
                </c:pt>
                <c:pt idx="3">
                  <c:v>407236</c:v>
                </c:pt>
                <c:pt idx="4">
                  <c:v>407295.16700000002</c:v>
                </c:pt>
                <c:pt idx="5">
                  <c:v>407418</c:v>
                </c:pt>
              </c:numCache>
            </c:numRef>
          </c:xVal>
          <c:yVal>
            <c:numRef>
              <c:f>BG20prof!$C$4:$C$9</c:f>
              <c:numCache>
                <c:formatCode>General</c:formatCode>
                <c:ptCount val="6"/>
                <c:pt idx="0">
                  <c:v>4117417.2790000001</c:v>
                </c:pt>
                <c:pt idx="1">
                  <c:v>4117269</c:v>
                </c:pt>
                <c:pt idx="2">
                  <c:v>4117149.0180000002</c:v>
                </c:pt>
                <c:pt idx="3">
                  <c:v>4117013</c:v>
                </c:pt>
                <c:pt idx="4">
                  <c:v>4116886.7310000001</c:v>
                </c:pt>
                <c:pt idx="5">
                  <c:v>4116710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B2-4711-98D8-8AFC0535BD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7810616"/>
        <c:axId val="1"/>
      </c:scatterChart>
      <c:valAx>
        <c:axId val="667810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67810616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6472277792219"/>
          <c:y val="7.0663922389298792E-2"/>
          <c:w val="0.67731189707180606"/>
          <c:h val="0.80728178002320128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diamond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BG20prof!$E$12:$E$29</c:f>
              <c:numCache>
                <c:formatCode>General</c:formatCode>
                <c:ptCount val="18"/>
                <c:pt idx="0">
                  <c:v>-20</c:v>
                </c:pt>
                <c:pt idx="1">
                  <c:v>0</c:v>
                </c:pt>
                <c:pt idx="2">
                  <c:v>20</c:v>
                </c:pt>
                <c:pt idx="3">
                  <c:v>155</c:v>
                </c:pt>
                <c:pt idx="4">
                  <c:v>175</c:v>
                </c:pt>
                <c:pt idx="5">
                  <c:v>195</c:v>
                </c:pt>
                <c:pt idx="6">
                  <c:v>319</c:v>
                </c:pt>
                <c:pt idx="7">
                  <c:v>339</c:v>
                </c:pt>
                <c:pt idx="8">
                  <c:v>359</c:v>
                </c:pt>
                <c:pt idx="9">
                  <c:v>509</c:v>
                </c:pt>
                <c:pt idx="10">
                  <c:v>529</c:v>
                </c:pt>
                <c:pt idx="11">
                  <c:v>549</c:v>
                </c:pt>
                <c:pt idx="12">
                  <c:v>649</c:v>
                </c:pt>
                <c:pt idx="13">
                  <c:v>669</c:v>
                </c:pt>
                <c:pt idx="14">
                  <c:v>689</c:v>
                </c:pt>
                <c:pt idx="15">
                  <c:v>864</c:v>
                </c:pt>
                <c:pt idx="16">
                  <c:v>884</c:v>
                </c:pt>
                <c:pt idx="17">
                  <c:v>904</c:v>
                </c:pt>
              </c:numCache>
            </c:numRef>
          </c:xVal>
          <c:yVal>
            <c:numRef>
              <c:f>BG20prof!$F$12:$F$29</c:f>
              <c:numCache>
                <c:formatCode>General</c:formatCode>
                <c:ptCount val="18"/>
                <c:pt idx="0">
                  <c:v>753</c:v>
                </c:pt>
                <c:pt idx="1">
                  <c:v>753</c:v>
                </c:pt>
                <c:pt idx="2">
                  <c:v>753</c:v>
                </c:pt>
                <c:pt idx="3">
                  <c:v>750</c:v>
                </c:pt>
                <c:pt idx="4">
                  <c:v>750</c:v>
                </c:pt>
                <c:pt idx="5">
                  <c:v>750</c:v>
                </c:pt>
                <c:pt idx="6">
                  <c:v>749</c:v>
                </c:pt>
                <c:pt idx="7">
                  <c:v>749</c:v>
                </c:pt>
                <c:pt idx="8">
                  <c:v>749</c:v>
                </c:pt>
                <c:pt idx="9">
                  <c:v>762</c:v>
                </c:pt>
                <c:pt idx="10">
                  <c:v>762</c:v>
                </c:pt>
                <c:pt idx="11">
                  <c:v>762</c:v>
                </c:pt>
                <c:pt idx="12">
                  <c:v>776</c:v>
                </c:pt>
                <c:pt idx="13">
                  <c:v>776</c:v>
                </c:pt>
                <c:pt idx="14">
                  <c:v>776</c:v>
                </c:pt>
                <c:pt idx="15">
                  <c:v>780</c:v>
                </c:pt>
                <c:pt idx="16">
                  <c:v>780</c:v>
                </c:pt>
                <c:pt idx="17">
                  <c:v>780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75-4302-A400-B2EA602BF5AC}"/>
            </c:ext>
          </c:extLst>
        </c:ser>
        <c:ser>
          <c:idx val="1"/>
          <c:order val="1"/>
          <c:spPr>
            <a:ln w="19050">
              <a:noFill/>
            </a:ln>
          </c:spPr>
          <c:marker>
            <c:symbol val="square"/>
            <c:size val="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BG20prof!$E$12:$E$29</c:f>
              <c:numCache>
                <c:formatCode>General</c:formatCode>
                <c:ptCount val="18"/>
                <c:pt idx="0">
                  <c:v>-20</c:v>
                </c:pt>
                <c:pt idx="1">
                  <c:v>0</c:v>
                </c:pt>
                <c:pt idx="2">
                  <c:v>20</c:v>
                </c:pt>
                <c:pt idx="3">
                  <c:v>155</c:v>
                </c:pt>
                <c:pt idx="4">
                  <c:v>175</c:v>
                </c:pt>
                <c:pt idx="5">
                  <c:v>195</c:v>
                </c:pt>
                <c:pt idx="6">
                  <c:v>319</c:v>
                </c:pt>
                <c:pt idx="7">
                  <c:v>339</c:v>
                </c:pt>
                <c:pt idx="8">
                  <c:v>359</c:v>
                </c:pt>
                <c:pt idx="9">
                  <c:v>509</c:v>
                </c:pt>
                <c:pt idx="10">
                  <c:v>529</c:v>
                </c:pt>
                <c:pt idx="11">
                  <c:v>549</c:v>
                </c:pt>
                <c:pt idx="12">
                  <c:v>649</c:v>
                </c:pt>
                <c:pt idx="13">
                  <c:v>669</c:v>
                </c:pt>
                <c:pt idx="14">
                  <c:v>689</c:v>
                </c:pt>
                <c:pt idx="15">
                  <c:v>864</c:v>
                </c:pt>
                <c:pt idx="16">
                  <c:v>884</c:v>
                </c:pt>
                <c:pt idx="17">
                  <c:v>904</c:v>
                </c:pt>
              </c:numCache>
            </c:numRef>
          </c:xVal>
          <c:yVal>
            <c:numRef>
              <c:f>BG20prof!$H$12:$H$29</c:f>
              <c:numCache>
                <c:formatCode>General</c:formatCode>
                <c:ptCount val="18"/>
                <c:pt idx="0">
                  <c:v>702.40988238796035</c:v>
                </c:pt>
                <c:pt idx="2">
                  <c:v>702.40988238796035</c:v>
                </c:pt>
                <c:pt idx="3">
                  <c:v>686.43200805436754</c:v>
                </c:pt>
                <c:pt idx="5">
                  <c:v>677.21792528376238</c:v>
                </c:pt>
                <c:pt idx="6">
                  <c:v>665.51214160130826</c:v>
                </c:pt>
                <c:pt idx="8">
                  <c:v>664.63833809128698</c:v>
                </c:pt>
                <c:pt idx="9">
                  <c:v>705.60119150194748</c:v>
                </c:pt>
                <c:pt idx="11">
                  <c:v>706.32320411517924</c:v>
                </c:pt>
                <c:pt idx="12">
                  <c:v>729.08518357704043</c:v>
                </c:pt>
                <c:pt idx="14">
                  <c:v>743.99519411088386</c:v>
                </c:pt>
                <c:pt idx="17">
                  <c:v>761.3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75-4302-A400-B2EA602BF5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7807664"/>
        <c:axId val="1"/>
      </c:scatterChart>
      <c:valAx>
        <c:axId val="667807664"/>
        <c:scaling>
          <c:orientation val="minMax"/>
          <c:min val="-2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inorUnit val="20"/>
      </c:valAx>
      <c:valAx>
        <c:axId val="1"/>
        <c:scaling>
          <c:orientation val="minMax"/>
          <c:max val="102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67807664"/>
        <c:crossesAt val="-20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4369869064527692"/>
          <c:y val="0.4197008723728049"/>
          <c:w val="0.13949599865250595"/>
          <c:h val="0.1092078800561890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9010003560243948E-2"/>
          <c:y val="7.0663922389298792E-2"/>
          <c:w val="0.72135859736749142"/>
          <c:h val="0.80728178002320128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diamond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BG25prof!$E$14:$E$37</c:f>
              <c:numCache>
                <c:formatCode>General</c:formatCode>
                <c:ptCount val="24"/>
                <c:pt idx="0">
                  <c:v>-20</c:v>
                </c:pt>
                <c:pt idx="1">
                  <c:v>0</c:v>
                </c:pt>
                <c:pt idx="2">
                  <c:v>20</c:v>
                </c:pt>
                <c:pt idx="3">
                  <c:v>187</c:v>
                </c:pt>
                <c:pt idx="4">
                  <c:v>207</c:v>
                </c:pt>
                <c:pt idx="5">
                  <c:v>227</c:v>
                </c:pt>
                <c:pt idx="6">
                  <c:v>335</c:v>
                </c:pt>
                <c:pt idx="7">
                  <c:v>355</c:v>
                </c:pt>
                <c:pt idx="8">
                  <c:v>375</c:v>
                </c:pt>
                <c:pt idx="9">
                  <c:v>512</c:v>
                </c:pt>
                <c:pt idx="10">
                  <c:v>532</c:v>
                </c:pt>
                <c:pt idx="11">
                  <c:v>552</c:v>
                </c:pt>
                <c:pt idx="12">
                  <c:v>672</c:v>
                </c:pt>
                <c:pt idx="13">
                  <c:v>692</c:v>
                </c:pt>
                <c:pt idx="14">
                  <c:v>712</c:v>
                </c:pt>
                <c:pt idx="15">
                  <c:v>905</c:v>
                </c:pt>
                <c:pt idx="16">
                  <c:v>925</c:v>
                </c:pt>
                <c:pt idx="17">
                  <c:v>945</c:v>
                </c:pt>
                <c:pt idx="18">
                  <c:v>1151</c:v>
                </c:pt>
                <c:pt idx="19">
                  <c:v>1171</c:v>
                </c:pt>
                <c:pt idx="20">
                  <c:v>1191</c:v>
                </c:pt>
                <c:pt idx="21">
                  <c:v>1481</c:v>
                </c:pt>
                <c:pt idx="22">
                  <c:v>1501</c:v>
                </c:pt>
                <c:pt idx="23">
                  <c:v>1521</c:v>
                </c:pt>
              </c:numCache>
            </c:numRef>
          </c:xVal>
          <c:yVal>
            <c:numRef>
              <c:f>BG25prof!$F$14:$F$37</c:f>
              <c:numCache>
                <c:formatCode>General</c:formatCode>
                <c:ptCount val="24"/>
                <c:pt idx="0">
                  <c:v>673</c:v>
                </c:pt>
                <c:pt idx="1">
                  <c:v>673</c:v>
                </c:pt>
                <c:pt idx="2">
                  <c:v>673</c:v>
                </c:pt>
                <c:pt idx="3">
                  <c:v>675</c:v>
                </c:pt>
                <c:pt idx="4">
                  <c:v>675</c:v>
                </c:pt>
                <c:pt idx="5">
                  <c:v>675</c:v>
                </c:pt>
                <c:pt idx="6">
                  <c:v>670</c:v>
                </c:pt>
                <c:pt idx="7">
                  <c:v>670</c:v>
                </c:pt>
                <c:pt idx="8">
                  <c:v>670</c:v>
                </c:pt>
                <c:pt idx="9">
                  <c:v>676</c:v>
                </c:pt>
                <c:pt idx="10">
                  <c:v>676</c:v>
                </c:pt>
                <c:pt idx="11">
                  <c:v>676</c:v>
                </c:pt>
                <c:pt idx="12">
                  <c:v>679</c:v>
                </c:pt>
                <c:pt idx="13">
                  <c:v>679</c:v>
                </c:pt>
                <c:pt idx="14">
                  <c:v>679</c:v>
                </c:pt>
                <c:pt idx="15">
                  <c:v>701</c:v>
                </c:pt>
                <c:pt idx="16">
                  <c:v>701</c:v>
                </c:pt>
                <c:pt idx="17">
                  <c:v>701</c:v>
                </c:pt>
                <c:pt idx="18">
                  <c:v>702</c:v>
                </c:pt>
                <c:pt idx="19">
                  <c:v>702</c:v>
                </c:pt>
                <c:pt idx="20">
                  <c:v>702</c:v>
                </c:pt>
                <c:pt idx="21">
                  <c:v>703</c:v>
                </c:pt>
                <c:pt idx="22">
                  <c:v>703</c:v>
                </c:pt>
                <c:pt idx="23">
                  <c:v>703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71-45B1-A020-C5C90F7BC692}"/>
            </c:ext>
          </c:extLst>
        </c:ser>
        <c:ser>
          <c:idx val="1"/>
          <c:order val="1"/>
          <c:spPr>
            <a:ln w="19050">
              <a:noFill/>
            </a:ln>
          </c:spPr>
          <c:marker>
            <c:symbol val="square"/>
            <c:size val="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BG25prof!$E$14:$E$37</c:f>
              <c:numCache>
                <c:formatCode>General</c:formatCode>
                <c:ptCount val="24"/>
                <c:pt idx="0">
                  <c:v>-20</c:v>
                </c:pt>
                <c:pt idx="1">
                  <c:v>0</c:v>
                </c:pt>
                <c:pt idx="2">
                  <c:v>20</c:v>
                </c:pt>
                <c:pt idx="3">
                  <c:v>187</c:v>
                </c:pt>
                <c:pt idx="4">
                  <c:v>207</c:v>
                </c:pt>
                <c:pt idx="5">
                  <c:v>227</c:v>
                </c:pt>
                <c:pt idx="6">
                  <c:v>335</c:v>
                </c:pt>
                <c:pt idx="7">
                  <c:v>355</c:v>
                </c:pt>
                <c:pt idx="8">
                  <c:v>375</c:v>
                </c:pt>
                <c:pt idx="9">
                  <c:v>512</c:v>
                </c:pt>
                <c:pt idx="10">
                  <c:v>532</c:v>
                </c:pt>
                <c:pt idx="11">
                  <c:v>552</c:v>
                </c:pt>
                <c:pt idx="12">
                  <c:v>672</c:v>
                </c:pt>
                <c:pt idx="13">
                  <c:v>692</c:v>
                </c:pt>
                <c:pt idx="14">
                  <c:v>712</c:v>
                </c:pt>
                <c:pt idx="15">
                  <c:v>905</c:v>
                </c:pt>
                <c:pt idx="16">
                  <c:v>925</c:v>
                </c:pt>
                <c:pt idx="17">
                  <c:v>945</c:v>
                </c:pt>
                <c:pt idx="18">
                  <c:v>1151</c:v>
                </c:pt>
                <c:pt idx="19">
                  <c:v>1171</c:v>
                </c:pt>
                <c:pt idx="20">
                  <c:v>1191</c:v>
                </c:pt>
                <c:pt idx="21">
                  <c:v>1481</c:v>
                </c:pt>
                <c:pt idx="22">
                  <c:v>1501</c:v>
                </c:pt>
                <c:pt idx="23">
                  <c:v>1521</c:v>
                </c:pt>
              </c:numCache>
            </c:numRef>
          </c:xVal>
          <c:yVal>
            <c:numRef>
              <c:f>BG25prof!$H$14:$H$37</c:f>
              <c:numCache>
                <c:formatCode>General</c:formatCode>
                <c:ptCount val="24"/>
                <c:pt idx="0">
                  <c:v>650.74676652708649</c:v>
                </c:pt>
                <c:pt idx="2">
                  <c:v>647.20524084237263</c:v>
                </c:pt>
                <c:pt idx="3">
                  <c:v>623.67937646520647</c:v>
                </c:pt>
                <c:pt idx="5">
                  <c:v>619.32320411517924</c:v>
                </c:pt>
                <c:pt idx="6">
                  <c:v>601.45833383991896</c:v>
                </c:pt>
                <c:pt idx="8">
                  <c:v>600.04274447921784</c:v>
                </c:pt>
                <c:pt idx="9">
                  <c:v>621.77048773960803</c:v>
                </c:pt>
                <c:pt idx="11">
                  <c:v>609.58607374955159</c:v>
                </c:pt>
                <c:pt idx="12">
                  <c:v>617.57394689547436</c:v>
                </c:pt>
                <c:pt idx="14">
                  <c:v>638.82271288401864</c:v>
                </c:pt>
                <c:pt idx="15">
                  <c:v>669.7999423077456</c:v>
                </c:pt>
                <c:pt idx="17">
                  <c:v>693.33081490639324</c:v>
                </c:pt>
                <c:pt idx="18">
                  <c:v>682.62</c:v>
                </c:pt>
                <c:pt idx="20">
                  <c:v>680.58</c:v>
                </c:pt>
                <c:pt idx="23">
                  <c:v>641.57394689547436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71-45B1-A020-C5C90F7BC6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7806024"/>
        <c:axId val="1"/>
      </c:scatterChart>
      <c:valAx>
        <c:axId val="667806024"/>
        <c:scaling>
          <c:orientation val="minMax"/>
          <c:min val="-2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200"/>
        <c:minorUnit val="20"/>
      </c:valAx>
      <c:valAx>
        <c:axId val="1"/>
        <c:scaling>
          <c:orientation val="minMax"/>
          <c:max val="18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67806024"/>
        <c:crossesAt val="-20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6845917408556828"/>
          <c:y val="0.4197008723728049"/>
          <c:w val="0.1173975756500035"/>
          <c:h val="0.1092078800561890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30</xdr:row>
      <xdr:rowOff>0</xdr:rowOff>
    </xdr:from>
    <xdr:to>
      <xdr:col>6</xdr:col>
      <xdr:colOff>571500</xdr:colOff>
      <xdr:row>52</xdr:row>
      <xdr:rowOff>7620</xdr:rowOff>
    </xdr:to>
    <xdr:graphicFrame macro="">
      <xdr:nvGraphicFramePr>
        <xdr:cNvPr id="204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822960</xdr:colOff>
      <xdr:row>30</xdr:row>
      <xdr:rowOff>0</xdr:rowOff>
    </xdr:from>
    <xdr:to>
      <xdr:col>13</xdr:col>
      <xdr:colOff>464820</xdr:colOff>
      <xdr:row>51</xdr:row>
      <xdr:rowOff>38100</xdr:rowOff>
    </xdr:to>
    <xdr:graphicFrame macro="">
      <xdr:nvGraphicFramePr>
        <xdr:cNvPr id="205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335280</xdr:colOff>
      <xdr:row>12</xdr:row>
      <xdr:rowOff>91440</xdr:rowOff>
    </xdr:from>
    <xdr:to>
      <xdr:col>17</xdr:col>
      <xdr:colOff>236220</xdr:colOff>
      <xdr:row>33</xdr:row>
      <xdr:rowOff>129540</xdr:rowOff>
    </xdr:to>
    <xdr:graphicFrame macro="">
      <xdr:nvGraphicFramePr>
        <xdr:cNvPr id="102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zoomScale="75" workbookViewId="0"/>
  </sheetViews>
  <sheetFormatPr defaultRowHeight="13.2" x14ac:dyDescent="0.25"/>
  <cols>
    <col min="1" max="1" width="12.109375" customWidth="1"/>
    <col min="2" max="2" width="10.5546875" customWidth="1"/>
    <col min="3" max="5" width="12.109375" customWidth="1"/>
    <col min="6" max="6" width="10.6640625" customWidth="1"/>
    <col min="7" max="7" width="12.44140625" customWidth="1"/>
    <col min="8" max="8" width="14.44140625" customWidth="1"/>
  </cols>
  <sheetData>
    <row r="1" spans="1:11" ht="13.8" thickBot="1" x14ac:dyDescent="0.3">
      <c r="F1" t="s">
        <v>21</v>
      </c>
      <c r="G1" t="s">
        <v>20</v>
      </c>
      <c r="H1" t="s">
        <v>20</v>
      </c>
      <c r="I1" t="s">
        <v>24</v>
      </c>
      <c r="K1" s="1">
        <v>170</v>
      </c>
    </row>
    <row r="2" spans="1:11" x14ac:dyDescent="0.25">
      <c r="A2" t="s">
        <v>0</v>
      </c>
      <c r="B2" t="s">
        <v>1</v>
      </c>
      <c r="C2" t="s">
        <v>2</v>
      </c>
      <c r="D2" t="s">
        <v>26</v>
      </c>
      <c r="E2" t="s">
        <v>25</v>
      </c>
      <c r="F2" t="s">
        <v>3</v>
      </c>
      <c r="G2" t="s">
        <v>5</v>
      </c>
      <c r="H2" t="s">
        <v>4</v>
      </c>
      <c r="I2" t="s">
        <v>22</v>
      </c>
      <c r="J2" t="s">
        <v>23</v>
      </c>
    </row>
    <row r="4" spans="1:11" x14ac:dyDescent="0.25">
      <c r="A4" t="s">
        <v>15</v>
      </c>
      <c r="B4">
        <v>406898.25799999997</v>
      </c>
      <c r="C4">
        <v>4117417.2790000001</v>
      </c>
      <c r="D4">
        <v>0</v>
      </c>
      <c r="E4">
        <v>0</v>
      </c>
      <c r="F4">
        <v>752.73599999999999</v>
      </c>
      <c r="G4">
        <v>0.64</v>
      </c>
      <c r="H4">
        <v>0.64</v>
      </c>
      <c r="I4">
        <f t="shared" ref="I4:J9" si="0">0.5*(G4*$K$1)</f>
        <v>54.4</v>
      </c>
      <c r="J4">
        <f t="shared" si="0"/>
        <v>54.4</v>
      </c>
    </row>
    <row r="5" spans="1:11" x14ac:dyDescent="0.25">
      <c r="A5" t="s">
        <v>17</v>
      </c>
      <c r="B5">
        <v>406991</v>
      </c>
      <c r="C5">
        <v>4117269</v>
      </c>
      <c r="D5">
        <f>SQRT((C5-C4)^2+(B5-B4)^2)</f>
        <v>174.89351161502196</v>
      </c>
      <c r="E5">
        <f>E4+D5</f>
        <v>174.89351161502196</v>
      </c>
      <c r="F5">
        <v>750</v>
      </c>
      <c r="G5">
        <v>0.78400000000000003</v>
      </c>
      <c r="H5">
        <v>0.88800000000000001</v>
      </c>
      <c r="I5">
        <f t="shared" si="0"/>
        <v>66.64</v>
      </c>
      <c r="J5">
        <f t="shared" si="0"/>
        <v>75.48</v>
      </c>
    </row>
    <row r="6" spans="1:11" x14ac:dyDescent="0.25">
      <c r="A6" t="s">
        <v>16</v>
      </c>
      <c r="B6">
        <v>407102.52</v>
      </c>
      <c r="C6">
        <v>4117149.0180000002</v>
      </c>
      <c r="D6">
        <f>SQRT((C6-C5)^2+(B6-B5)^2)</f>
        <v>163.80595448263352</v>
      </c>
      <c r="E6">
        <f>E5+D6</f>
        <v>338.69946609765549</v>
      </c>
      <c r="F6">
        <v>748.87400000000002</v>
      </c>
      <c r="G6">
        <v>1.01</v>
      </c>
      <c r="H6">
        <v>1.02</v>
      </c>
      <c r="I6">
        <f t="shared" si="0"/>
        <v>85.85</v>
      </c>
      <c r="J6">
        <f t="shared" si="0"/>
        <v>86.7</v>
      </c>
    </row>
    <row r="7" spans="1:11" x14ac:dyDescent="0.25">
      <c r="A7" t="s">
        <v>18</v>
      </c>
      <c r="B7">
        <v>407236</v>
      </c>
      <c r="C7">
        <v>4117013</v>
      </c>
      <c r="D7">
        <f>SQRT((C7-C6)^2+(B7-B6)^2)</f>
        <v>190.57231363458226</v>
      </c>
      <c r="E7">
        <f>E6+D7</f>
        <v>529.27177973223775</v>
      </c>
      <c r="F7">
        <v>762</v>
      </c>
      <c r="G7">
        <v>0.70399999999999996</v>
      </c>
      <c r="H7">
        <v>0.69599999999999995</v>
      </c>
      <c r="I7">
        <f t="shared" si="0"/>
        <v>59.839999999999996</v>
      </c>
      <c r="J7">
        <f t="shared" si="0"/>
        <v>59.16</v>
      </c>
    </row>
    <row r="8" spans="1:11" x14ac:dyDescent="0.25">
      <c r="A8" t="s">
        <v>14</v>
      </c>
      <c r="B8">
        <v>407295.16700000002</v>
      </c>
      <c r="C8">
        <v>4116886.7310000001</v>
      </c>
      <c r="D8">
        <f>SQRT((C8-C7)^2+(B8-B7)^2)</f>
        <v>139.44387491017733</v>
      </c>
      <c r="E8">
        <f>E7+D8</f>
        <v>668.71565464241507</v>
      </c>
      <c r="F8">
        <v>776.2</v>
      </c>
      <c r="G8">
        <v>0.6</v>
      </c>
      <c r="H8">
        <v>0.44400000000000001</v>
      </c>
      <c r="I8">
        <f t="shared" si="0"/>
        <v>51</v>
      </c>
      <c r="J8">
        <f t="shared" si="0"/>
        <v>37.74</v>
      </c>
    </row>
    <row r="9" spans="1:11" x14ac:dyDescent="0.25">
      <c r="A9" t="s">
        <v>19</v>
      </c>
      <c r="B9">
        <v>407418</v>
      </c>
      <c r="C9">
        <v>4116710</v>
      </c>
      <c r="D9">
        <f>SQRT((C9-C8)^2+(B9-B8)^2)</f>
        <v>215.22498054372653</v>
      </c>
      <c r="E9">
        <f>E8+D9</f>
        <v>883.94063518614166</v>
      </c>
      <c r="F9">
        <v>780</v>
      </c>
      <c r="G9">
        <v>0</v>
      </c>
      <c r="H9">
        <v>0.22</v>
      </c>
      <c r="I9">
        <f t="shared" si="0"/>
        <v>0</v>
      </c>
      <c r="J9">
        <f t="shared" si="0"/>
        <v>18.7</v>
      </c>
    </row>
    <row r="11" spans="1:11" x14ac:dyDescent="0.25">
      <c r="E11" t="s">
        <v>25</v>
      </c>
    </row>
    <row r="12" spans="1:11" x14ac:dyDescent="0.25">
      <c r="E12">
        <v>-20</v>
      </c>
      <c r="F12">
        <v>753</v>
      </c>
      <c r="G12">
        <f>SQRT(I4^2-400)</f>
        <v>50.590117612039606</v>
      </c>
      <c r="H12">
        <f>F12-G12</f>
        <v>702.40988238796035</v>
      </c>
    </row>
    <row r="13" spans="1:11" x14ac:dyDescent="0.25">
      <c r="E13">
        <v>0</v>
      </c>
      <c r="F13">
        <v>753</v>
      </c>
    </row>
    <row r="14" spans="1:11" x14ac:dyDescent="0.25">
      <c r="E14">
        <v>20</v>
      </c>
      <c r="F14">
        <v>753</v>
      </c>
      <c r="G14">
        <f>SQRT(J4^2-400)</f>
        <v>50.590117612039606</v>
      </c>
      <c r="H14">
        <f t="shared" ref="H14:H29" si="1">F14-G14</f>
        <v>702.40988238796035</v>
      </c>
    </row>
    <row r="15" spans="1:11" x14ac:dyDescent="0.25">
      <c r="E15">
        <v>155</v>
      </c>
      <c r="F15">
        <v>750</v>
      </c>
      <c r="G15">
        <f>SQRT(I5^2-400)</f>
        <v>63.567991945632514</v>
      </c>
      <c r="H15">
        <f t="shared" si="1"/>
        <v>686.43200805436754</v>
      </c>
    </row>
    <row r="16" spans="1:11" x14ac:dyDescent="0.25">
      <c r="E16">
        <v>175</v>
      </c>
      <c r="F16">
        <v>750</v>
      </c>
    </row>
    <row r="17" spans="5:8" x14ac:dyDescent="0.25">
      <c r="E17">
        <v>195</v>
      </c>
      <c r="F17">
        <v>750</v>
      </c>
      <c r="G17">
        <f>SQRT(J5^2-400)</f>
        <v>72.782074716237659</v>
      </c>
      <c r="H17">
        <f t="shared" si="1"/>
        <v>677.21792528376238</v>
      </c>
    </row>
    <row r="18" spans="5:8" x14ac:dyDescent="0.25">
      <c r="E18">
        <v>319</v>
      </c>
      <c r="F18">
        <v>749</v>
      </c>
      <c r="G18">
        <f>SQRT(I6^2-400)</f>
        <v>83.487858398691714</v>
      </c>
      <c r="H18">
        <f t="shared" si="1"/>
        <v>665.51214160130826</v>
      </c>
    </row>
    <row r="19" spans="5:8" x14ac:dyDescent="0.25">
      <c r="E19">
        <v>339</v>
      </c>
      <c r="F19">
        <v>749</v>
      </c>
    </row>
    <row r="20" spans="5:8" x14ac:dyDescent="0.25">
      <c r="E20">
        <v>359</v>
      </c>
      <c r="F20">
        <v>749</v>
      </c>
      <c r="G20">
        <f>SQRT(J6^2-400)</f>
        <v>84.361661908713018</v>
      </c>
      <c r="H20">
        <f t="shared" si="1"/>
        <v>664.63833809128698</v>
      </c>
    </row>
    <row r="21" spans="5:8" x14ac:dyDescent="0.25">
      <c r="E21">
        <v>509</v>
      </c>
      <c r="F21">
        <v>762</v>
      </c>
      <c r="G21">
        <f>SQRT(I7^2-400)</f>
        <v>56.39880849805251</v>
      </c>
      <c r="H21">
        <f t="shared" si="1"/>
        <v>705.60119150194748</v>
      </c>
    </row>
    <row r="22" spans="5:8" x14ac:dyDescent="0.25">
      <c r="E22">
        <v>529</v>
      </c>
      <c r="F22">
        <v>762</v>
      </c>
    </row>
    <row r="23" spans="5:8" x14ac:dyDescent="0.25">
      <c r="E23">
        <v>549</v>
      </c>
      <c r="F23">
        <v>762</v>
      </c>
      <c r="G23">
        <f>SQRT(J7^2-400)</f>
        <v>55.676795884820812</v>
      </c>
      <c r="H23">
        <f t="shared" si="1"/>
        <v>706.32320411517924</v>
      </c>
    </row>
    <row r="24" spans="5:8" x14ac:dyDescent="0.25">
      <c r="E24">
        <v>649</v>
      </c>
      <c r="F24">
        <v>776</v>
      </c>
      <c r="G24">
        <f>SQRT(I8^2-400)</f>
        <v>46.914816422959603</v>
      </c>
      <c r="H24">
        <f t="shared" si="1"/>
        <v>729.08518357704043</v>
      </c>
    </row>
    <row r="25" spans="5:8" x14ac:dyDescent="0.25">
      <c r="E25">
        <v>669</v>
      </c>
      <c r="F25">
        <v>776</v>
      </c>
    </row>
    <row r="26" spans="5:8" x14ac:dyDescent="0.25">
      <c r="E26">
        <v>689</v>
      </c>
      <c r="F26">
        <v>776</v>
      </c>
      <c r="G26">
        <f>SQRT(J8^2-400)</f>
        <v>32.004805889116092</v>
      </c>
      <c r="H26">
        <f t="shared" si="1"/>
        <v>743.99519411088386</v>
      </c>
    </row>
    <row r="27" spans="5:8" x14ac:dyDescent="0.25">
      <c r="E27">
        <v>864</v>
      </c>
      <c r="F27">
        <v>780</v>
      </c>
      <c r="G27">
        <v>0</v>
      </c>
    </row>
    <row r="28" spans="5:8" x14ac:dyDescent="0.25">
      <c r="E28">
        <v>884</v>
      </c>
      <c r="F28">
        <v>780</v>
      </c>
    </row>
    <row r="29" spans="5:8" x14ac:dyDescent="0.25">
      <c r="E29">
        <v>904</v>
      </c>
      <c r="F29">
        <v>780</v>
      </c>
      <c r="G29">
        <f>SQRT(J9^2)</f>
        <v>18.7</v>
      </c>
      <c r="H29">
        <f t="shared" si="1"/>
        <v>761.3</v>
      </c>
    </row>
  </sheetData>
  <phoneticPr fontId="0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37"/>
  <sheetViews>
    <sheetView tabSelected="1" zoomScale="75" workbookViewId="0"/>
  </sheetViews>
  <sheetFormatPr defaultRowHeight="13.2" x14ac:dyDescent="0.25"/>
  <cols>
    <col min="1" max="1" width="12" customWidth="1"/>
    <col min="2" max="2" width="10.5546875" customWidth="1"/>
    <col min="3" max="5" width="11.109375" customWidth="1"/>
    <col min="7" max="7" width="12.88671875" customWidth="1"/>
    <col min="8" max="8" width="14.44140625" customWidth="1"/>
  </cols>
  <sheetData>
    <row r="1" spans="1:11" ht="13.8" thickBot="1" x14ac:dyDescent="0.3">
      <c r="F1" t="s">
        <v>21</v>
      </c>
      <c r="G1" t="s">
        <v>20</v>
      </c>
      <c r="H1" t="s">
        <v>20</v>
      </c>
      <c r="I1" t="s">
        <v>24</v>
      </c>
      <c r="K1" s="1">
        <v>170</v>
      </c>
    </row>
    <row r="2" spans="1:11" x14ac:dyDescent="0.25">
      <c r="A2" t="s">
        <v>0</v>
      </c>
      <c r="B2" t="s">
        <v>1</v>
      </c>
      <c r="C2" t="s">
        <v>2</v>
      </c>
      <c r="D2" t="s">
        <v>26</v>
      </c>
      <c r="E2" t="s">
        <v>25</v>
      </c>
      <c r="F2" t="s">
        <v>3</v>
      </c>
      <c r="G2" t="s">
        <v>5</v>
      </c>
      <c r="H2" t="s">
        <v>4</v>
      </c>
      <c r="I2" t="s">
        <v>22</v>
      </c>
      <c r="J2" t="s">
        <v>23</v>
      </c>
    </row>
    <row r="4" spans="1:11" x14ac:dyDescent="0.25">
      <c r="A4" t="s">
        <v>12</v>
      </c>
      <c r="B4">
        <v>407244.1</v>
      </c>
      <c r="C4">
        <v>4117686.4610000001</v>
      </c>
      <c r="D4">
        <v>0</v>
      </c>
      <c r="E4">
        <v>0</v>
      </c>
      <c r="F4">
        <v>673.22900000000004</v>
      </c>
      <c r="G4">
        <v>0.35199999999999998</v>
      </c>
      <c r="H4">
        <v>0.38400000000000001</v>
      </c>
      <c r="I4">
        <f>0.5*(G4*$K$1)</f>
        <v>29.919999999999998</v>
      </c>
      <c r="J4">
        <f>0.5*(H4*$K$1)</f>
        <v>32.64</v>
      </c>
    </row>
    <row r="5" spans="1:11" x14ac:dyDescent="0.25">
      <c r="A5" t="s">
        <v>11</v>
      </c>
      <c r="B5">
        <v>407373.17700000003</v>
      </c>
      <c r="C5">
        <v>4117524.088</v>
      </c>
      <c r="D5">
        <f>SQRT((C5-C4)^2+(B5-B4)^2)</f>
        <v>207.4267655295653</v>
      </c>
      <c r="E5">
        <f>E4+D5</f>
        <v>207.4267655295653</v>
      </c>
      <c r="F5">
        <v>674.91899999999998</v>
      </c>
      <c r="G5">
        <v>0.64800000000000002</v>
      </c>
      <c r="H5">
        <v>0.69599999999999995</v>
      </c>
      <c r="I5">
        <f t="shared" ref="I5:I11" si="0">0.5*(G5*$K$1)</f>
        <v>55.08</v>
      </c>
      <c r="J5">
        <f t="shared" ref="J5:J11" si="1">0.5*(H5*$K$1)</f>
        <v>59.16</v>
      </c>
    </row>
    <row r="6" spans="1:11" x14ac:dyDescent="0.25">
      <c r="A6" t="s">
        <v>10</v>
      </c>
      <c r="B6">
        <v>407481.45699999999</v>
      </c>
      <c r="C6">
        <v>4117423.912</v>
      </c>
      <c r="D6">
        <f t="shared" ref="D6:D11" si="2">SQRT((C6-C5)^2+(B6-B5)^2)</f>
        <v>147.51199739678455</v>
      </c>
      <c r="E6">
        <f t="shared" ref="E6:E11" si="3">E5+D6</f>
        <v>354.93876292634985</v>
      </c>
      <c r="F6">
        <v>670.45299999999997</v>
      </c>
      <c r="G6">
        <v>0.84</v>
      </c>
      <c r="H6">
        <v>0.85599999999999998</v>
      </c>
      <c r="I6">
        <f t="shared" si="0"/>
        <v>71.399999999999991</v>
      </c>
      <c r="J6">
        <f t="shared" si="1"/>
        <v>72.760000000000005</v>
      </c>
    </row>
    <row r="7" spans="1:11" x14ac:dyDescent="0.25">
      <c r="A7" t="s">
        <v>9</v>
      </c>
      <c r="B7">
        <v>407574.94</v>
      </c>
      <c r="C7">
        <v>4117273.9890000001</v>
      </c>
      <c r="D7">
        <f t="shared" si="2"/>
        <v>176.68043813050406</v>
      </c>
      <c r="E7">
        <f t="shared" si="3"/>
        <v>531.61920105685385</v>
      </c>
      <c r="F7">
        <v>676.15599999999995</v>
      </c>
      <c r="G7">
        <v>0.68</v>
      </c>
      <c r="H7">
        <v>0.64</v>
      </c>
      <c r="I7">
        <f t="shared" si="0"/>
        <v>57.800000000000004</v>
      </c>
      <c r="J7">
        <f t="shared" si="1"/>
        <v>54.4</v>
      </c>
    </row>
    <row r="8" spans="1:11" x14ac:dyDescent="0.25">
      <c r="A8" t="s">
        <v>8</v>
      </c>
      <c r="B8">
        <v>407662.84299999999</v>
      </c>
      <c r="C8">
        <v>4117139.8</v>
      </c>
      <c r="D8">
        <f t="shared" si="2"/>
        <v>160.41703503700731</v>
      </c>
      <c r="E8">
        <f t="shared" si="3"/>
        <v>692.03623609386113</v>
      </c>
      <c r="F8">
        <v>679.48299999999995</v>
      </c>
      <c r="G8">
        <v>0.76</v>
      </c>
      <c r="H8">
        <v>0.81599999999999995</v>
      </c>
      <c r="I8">
        <f t="shared" si="0"/>
        <v>64.599999999999994</v>
      </c>
      <c r="J8">
        <f t="shared" si="1"/>
        <v>69.36</v>
      </c>
    </row>
    <row r="9" spans="1:11" x14ac:dyDescent="0.25">
      <c r="A9" t="s">
        <v>7</v>
      </c>
      <c r="B9">
        <v>407795.07400000002</v>
      </c>
      <c r="C9">
        <v>4116947.9410000001</v>
      </c>
      <c r="D9">
        <f t="shared" si="2"/>
        <v>233.01268901477169</v>
      </c>
      <c r="E9">
        <f t="shared" si="3"/>
        <v>925.04892510863283</v>
      </c>
      <c r="F9">
        <v>700.88300000000004</v>
      </c>
      <c r="G9">
        <v>0.436</v>
      </c>
      <c r="H9">
        <v>0.52800000000000002</v>
      </c>
      <c r="I9">
        <f t="shared" si="0"/>
        <v>37.06</v>
      </c>
      <c r="J9">
        <f t="shared" si="1"/>
        <v>44.88</v>
      </c>
    </row>
    <row r="10" spans="1:11" x14ac:dyDescent="0.25">
      <c r="A10" t="s">
        <v>6</v>
      </c>
      <c r="B10">
        <v>407944.59</v>
      </c>
      <c r="C10">
        <v>4116752.2880000002</v>
      </c>
      <c r="D10">
        <f t="shared" si="2"/>
        <v>246.24201644921351</v>
      </c>
      <c r="E10">
        <f t="shared" si="3"/>
        <v>1171.2909415578463</v>
      </c>
      <c r="F10">
        <v>701.96900000000005</v>
      </c>
      <c r="G10">
        <v>0.22800000000000001</v>
      </c>
      <c r="H10">
        <v>0.252</v>
      </c>
      <c r="I10">
        <f t="shared" si="0"/>
        <v>19.38</v>
      </c>
      <c r="J10">
        <f t="shared" si="1"/>
        <v>21.42</v>
      </c>
    </row>
    <row r="11" spans="1:11" x14ac:dyDescent="0.25">
      <c r="A11" t="s">
        <v>13</v>
      </c>
      <c r="B11">
        <v>408073.261</v>
      </c>
      <c r="C11">
        <v>4116449.0860000001</v>
      </c>
      <c r="D11">
        <f t="shared" si="2"/>
        <v>329.37467881581671</v>
      </c>
      <c r="E11">
        <f t="shared" si="3"/>
        <v>1500.6656203736629</v>
      </c>
      <c r="F11">
        <v>703.12800000000004</v>
      </c>
      <c r="G11">
        <v>0</v>
      </c>
      <c r="H11">
        <v>0.76</v>
      </c>
      <c r="I11">
        <f t="shared" si="0"/>
        <v>0</v>
      </c>
      <c r="J11">
        <f t="shared" si="1"/>
        <v>64.599999999999994</v>
      </c>
    </row>
    <row r="13" spans="1:11" x14ac:dyDescent="0.25">
      <c r="E13" t="s">
        <v>25</v>
      </c>
    </row>
    <row r="14" spans="1:11" x14ac:dyDescent="0.25">
      <c r="E14">
        <v>-20</v>
      </c>
      <c r="F14">
        <v>673</v>
      </c>
      <c r="G14">
        <f>SQRT(I4^2-400)</f>
        <v>22.253233472913546</v>
      </c>
      <c r="H14">
        <f>F14-G14</f>
        <v>650.74676652708649</v>
      </c>
    </row>
    <row r="15" spans="1:11" x14ac:dyDescent="0.25">
      <c r="E15">
        <v>0</v>
      </c>
      <c r="F15">
        <v>673</v>
      </c>
    </row>
    <row r="16" spans="1:11" x14ac:dyDescent="0.25">
      <c r="E16">
        <v>20</v>
      </c>
      <c r="F16">
        <v>673</v>
      </c>
      <c r="G16">
        <f>SQRT(J4^2-400)</f>
        <v>25.79475915762735</v>
      </c>
      <c r="H16">
        <f t="shared" ref="H16:H37" si="4">F16-G16</f>
        <v>647.20524084237263</v>
      </c>
    </row>
    <row r="17" spans="5:8" x14ac:dyDescent="0.25">
      <c r="E17">
        <v>187</v>
      </c>
      <c r="F17">
        <v>675</v>
      </c>
      <c r="G17">
        <f>SQRT(I5^2-400)</f>
        <v>51.320623534793498</v>
      </c>
      <c r="H17">
        <f t="shared" si="4"/>
        <v>623.67937646520647</v>
      </c>
    </row>
    <row r="18" spans="5:8" x14ac:dyDescent="0.25">
      <c r="E18">
        <v>207</v>
      </c>
      <c r="F18">
        <v>675</v>
      </c>
    </row>
    <row r="19" spans="5:8" x14ac:dyDescent="0.25">
      <c r="E19">
        <v>227</v>
      </c>
      <c r="F19">
        <v>675</v>
      </c>
      <c r="G19">
        <f>SQRT(J5^2-400)</f>
        <v>55.676795884820812</v>
      </c>
      <c r="H19">
        <f t="shared" si="4"/>
        <v>619.32320411517924</v>
      </c>
    </row>
    <row r="20" spans="5:8" x14ac:dyDescent="0.25">
      <c r="E20">
        <v>335</v>
      </c>
      <c r="F20">
        <v>670</v>
      </c>
      <c r="G20">
        <f>SQRT(I6^2-400)</f>
        <v>68.54166616008105</v>
      </c>
      <c r="H20">
        <f t="shared" si="4"/>
        <v>601.45833383991896</v>
      </c>
    </row>
    <row r="21" spans="5:8" x14ac:dyDescent="0.25">
      <c r="E21">
        <v>355</v>
      </c>
      <c r="F21">
        <v>670</v>
      </c>
    </row>
    <row r="22" spans="5:8" x14ac:dyDescent="0.25">
      <c r="E22">
        <v>375</v>
      </c>
      <c r="F22">
        <v>670</v>
      </c>
      <c r="G22">
        <f>SQRT(J6^2-400)</f>
        <v>69.957255520782127</v>
      </c>
      <c r="H22">
        <f t="shared" si="4"/>
        <v>600.04274447921784</v>
      </c>
    </row>
    <row r="23" spans="5:8" x14ac:dyDescent="0.25">
      <c r="E23">
        <v>512</v>
      </c>
      <c r="F23">
        <v>676</v>
      </c>
      <c r="G23">
        <f>SQRT(I7^2-400)</f>
        <v>54.229512260391949</v>
      </c>
      <c r="H23">
        <f t="shared" si="4"/>
        <v>621.77048773960803</v>
      </c>
    </row>
    <row r="24" spans="5:8" x14ac:dyDescent="0.25">
      <c r="E24">
        <v>532</v>
      </c>
      <c r="F24">
        <v>676</v>
      </c>
    </row>
    <row r="25" spans="5:8" x14ac:dyDescent="0.25">
      <c r="E25">
        <v>552</v>
      </c>
      <c r="F25">
        <v>676</v>
      </c>
      <c r="G25">
        <f>SQRT(J8^2-400)</f>
        <v>66.413926250448398</v>
      </c>
      <c r="H25">
        <f t="shared" si="4"/>
        <v>609.58607374955159</v>
      </c>
    </row>
    <row r="26" spans="5:8" x14ac:dyDescent="0.25">
      <c r="E26">
        <v>672</v>
      </c>
      <c r="F26">
        <v>679</v>
      </c>
      <c r="G26">
        <f>SQRT(I8^2-400)</f>
        <v>61.4260531045256</v>
      </c>
      <c r="H26">
        <f t="shared" si="4"/>
        <v>617.57394689547436</v>
      </c>
    </row>
    <row r="27" spans="5:8" x14ac:dyDescent="0.25">
      <c r="E27">
        <v>692</v>
      </c>
      <c r="F27">
        <v>679</v>
      </c>
    </row>
    <row r="28" spans="5:8" x14ac:dyDescent="0.25">
      <c r="E28">
        <v>712</v>
      </c>
      <c r="F28">
        <v>679</v>
      </c>
      <c r="G28">
        <f>SQRT(J9^2-400)</f>
        <v>40.177287115981343</v>
      </c>
      <c r="H28">
        <f t="shared" si="4"/>
        <v>638.82271288401864</v>
      </c>
    </row>
    <row r="29" spans="5:8" x14ac:dyDescent="0.25">
      <c r="E29">
        <v>905</v>
      </c>
      <c r="F29">
        <v>701</v>
      </c>
      <c r="G29">
        <f>SQRT(I9^2-400)</f>
        <v>31.200057692254354</v>
      </c>
      <c r="H29">
        <f t="shared" si="4"/>
        <v>669.7999423077456</v>
      </c>
    </row>
    <row r="30" spans="5:8" x14ac:dyDescent="0.25">
      <c r="E30">
        <v>925</v>
      </c>
      <c r="F30">
        <v>701</v>
      </c>
    </row>
    <row r="31" spans="5:8" x14ac:dyDescent="0.25">
      <c r="E31">
        <v>945</v>
      </c>
      <c r="F31">
        <v>701</v>
      </c>
      <c r="G31">
        <f>SQRT(J10^2-400)</f>
        <v>7.6691850936067585</v>
      </c>
      <c r="H31">
        <f t="shared" si="4"/>
        <v>693.33081490639324</v>
      </c>
    </row>
    <row r="32" spans="5:8" x14ac:dyDescent="0.25">
      <c r="E32">
        <v>1151</v>
      </c>
      <c r="F32">
        <v>702</v>
      </c>
      <c r="G32">
        <f>SQRT(I10^2)</f>
        <v>19.38</v>
      </c>
      <c r="H32">
        <f t="shared" si="4"/>
        <v>682.62</v>
      </c>
    </row>
    <row r="33" spans="5:8" x14ac:dyDescent="0.25">
      <c r="E33">
        <v>1171</v>
      </c>
      <c r="F33">
        <v>702</v>
      </c>
    </row>
    <row r="34" spans="5:8" x14ac:dyDescent="0.25">
      <c r="E34">
        <v>1191</v>
      </c>
      <c r="F34">
        <v>702</v>
      </c>
      <c r="G34">
        <f>SQRT(J10^2)</f>
        <v>21.42</v>
      </c>
      <c r="H34">
        <f t="shared" si="4"/>
        <v>680.58</v>
      </c>
    </row>
    <row r="35" spans="5:8" x14ac:dyDescent="0.25">
      <c r="E35">
        <v>1481</v>
      </c>
      <c r="F35">
        <v>703</v>
      </c>
    </row>
    <row r="36" spans="5:8" x14ac:dyDescent="0.25">
      <c r="E36">
        <v>1501</v>
      </c>
      <c r="F36">
        <v>703</v>
      </c>
    </row>
    <row r="37" spans="5:8" x14ac:dyDescent="0.25">
      <c r="E37">
        <v>1521</v>
      </c>
      <c r="F37">
        <v>703</v>
      </c>
      <c r="G37">
        <f>SQRT(J11^2-400)</f>
        <v>61.4260531045256</v>
      </c>
      <c r="H37">
        <f t="shared" si="4"/>
        <v>641.57394689547436</v>
      </c>
    </row>
  </sheetData>
  <phoneticPr fontId="0" type="noConversion"/>
  <pageMargins left="0.75" right="0.75" top="1" bottom="1" header="0.5" footer="0.5"/>
  <headerFooter alignWithMargins="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BG20prof</vt:lpstr>
      <vt:lpstr>BG25prof</vt:lpstr>
    </vt:vector>
  </TitlesOfParts>
  <Company>Geophysical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Dave Connell</cp:lastModifiedBy>
  <dcterms:created xsi:type="dcterms:W3CDTF">2004-01-29T19:00:07Z</dcterms:created>
  <dcterms:modified xsi:type="dcterms:W3CDTF">2021-04-07T05:52:11Z</dcterms:modified>
</cp:coreProperties>
</file>